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413863\Documents\GitHub\TopGun\"/>
    </mc:Choice>
  </mc:AlternateContent>
  <xr:revisionPtr revIDLastSave="0" documentId="13_ncr:1_{97478B00-E794-4BA1-A161-819BA0D93FA7}" xr6:coauthVersionLast="45" xr6:coauthVersionMax="45" xr10:uidLastSave="{00000000-0000-0000-0000-000000000000}"/>
  <bookViews>
    <workbookView xWindow="28680" yWindow="-120" windowWidth="29040" windowHeight="15840" tabRatio="870" firstSheet="1" activeTab="1" xr2:uid="{00000000-000D-0000-FFFF-FFFF00000000}"/>
  </bookViews>
  <sheets>
    <sheet name="Sheet1" sheetId="136" state="hidden" r:id="rId1"/>
    <sheet name="TIMESERIES" sheetId="134" r:id="rId2"/>
    <sheet name="xlwings" sheetId="110" state="hidden" r:id="rId3"/>
    <sheet name="Enhanced" sheetId="137" state="hidden" r:id="rId4"/>
    <sheet name="Core" sheetId="138" state="hidden" r:id="rId5"/>
    <sheet name="SMM" sheetId="140" state="hidden" r:id="rId6"/>
    <sheet name="Sheet2" sheetId="139" state="hidden" r:id="rId7"/>
    <sheet name="BDH" sheetId="16" state="hidden" r:id="rId8"/>
    <sheet name="BDP" sheetId="39" state="hidden" r:id="rId9"/>
    <sheet name="BDP_BULK" sheetId="91" state="hidden" r:id="rId10"/>
    <sheet name="PMI" sheetId="15" state="hidden" r:id="rId11"/>
    <sheet name="INDX_MWEIGHT" sheetId="30" state="hidden" r:id="rId12"/>
  </sheets>
  <functionGroups builtInGroupCount="19"/>
  <externalReferences>
    <externalReference r:id="rId13"/>
  </externalReferences>
  <definedNames>
    <definedName name="_Regression_Int">1</definedName>
    <definedName name="BBG_CDS_ANCHOR">#REF!</definedName>
    <definedName name="BBG_CDS_ANCHOR2">#REF!</definedName>
    <definedName name="BBG_CDS_ANCHOR3">#REF!</definedName>
    <definedName name="BBG_GDP_END_DATE">#REF!</definedName>
    <definedName name="BBG_GDP_FCAST_DATA">#REF!</definedName>
    <definedName name="BBG_GDP_FCAST_IMF">#REF!</definedName>
    <definedName name="BBG_GDP_FCAST_IMF_DATA">#REF!</definedName>
    <definedName name="BBG_GDP_FCAST_MEDIAN">#REF!</definedName>
    <definedName name="BBG_GDP_HIST">#REF!</definedName>
    <definedName name="BBG_GDP_HIST_DATA">#REF!</definedName>
    <definedName name="BBG_GDP_PERIOD">#REF!</definedName>
    <definedName name="BBG_GDP_START_DATE">#REF!</definedName>
    <definedName name="BBG_INF_FCAST_DATA">#REF!</definedName>
    <definedName name="BBG_INF_FCAST_IMF">#REF!</definedName>
    <definedName name="BBG_INF_FCAST_IMF_DATA">#REF!</definedName>
    <definedName name="BBG_INF_FCAST_MEDIAN">#REF!</definedName>
    <definedName name="BBG_INF_HIST">#REF!</definedName>
    <definedName name="BBG_INF_HIST_DATA">#REF!</definedName>
    <definedName name="BBG_PMI_DATA">PMI!$A$8:$BJ$45</definedName>
    <definedName name="BBG_TREND">#REF!</definedName>
    <definedName name="BBG_TREND_ANCHOR1">#REF!</definedName>
    <definedName name="BBG_TREND_ANCHOR2">#REF!</definedName>
    <definedName name="BBG_TREND_HEADER">#REF!</definedName>
    <definedName name="BBG_TS_DATA">#REF!</definedName>
    <definedName name="BBG_TS_DATES">#REF!</definedName>
    <definedName name="BBG_TS_END_DATE">#REF!</definedName>
    <definedName name="BBG_TS_FIRST_TICKER">#REF!</definedName>
    <definedName name="BBG_TS_FIRST_TICKER_2">#REF!</definedName>
    <definedName name="BBG_TS_HEADER">#REF!</definedName>
    <definedName name="BBG_TS_PERIOD">#REF!</definedName>
    <definedName name="BBG_TS_START_DATE">#REF!</definedName>
    <definedName name="BMK02YR">#REF!</definedName>
    <definedName name="BMK05YR">#REF!</definedName>
    <definedName name="BMK10YR">#REF!</definedName>
    <definedName name="CIQWBGuid" hidden="1">"d5c96f1c-0b8a-4f1d-9499-e87469d8b72c"</definedName>
    <definedName name="CONTROL_DS_ANCHOR">#REF!</definedName>
    <definedName name="DY">#REF!</definedName>
    <definedName name="EPSDN">#REF!</definedName>
    <definedName name="EPSNO">#REF!</definedName>
    <definedName name="EPSUP">#REF!</definedName>
    <definedName name="FwdEPS">#REF!</definedName>
    <definedName name="FwdPE">#REF!</definedName>
    <definedName name="FXSPOT">#REF!</definedName>
    <definedName name="IQ_ADDIN" hidden="1">"AUTO"</definedName>
    <definedName name="IQ_CH">110000</definedName>
    <definedName name="IQ_CONV_RATE" hidden="1">"c2192"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43637.646724537</definedName>
    <definedName name="IQ_NTM">6000</definedName>
    <definedName name="IQ_OG_TOTAL_OIL_PRODUCTON" hidden="1">"c2059"</definedName>
    <definedName name="IQ_QTD" hidden="1">750000</definedName>
    <definedName name="IQ_SHAREOUTSTANDING" hidden="1">"c1347"</definedName>
    <definedName name="IQ_TODAY" hidden="1">0</definedName>
    <definedName name="IQ_WEEK">50000</definedName>
    <definedName name="IQ_YTD">3000</definedName>
    <definedName name="IQ_YTDMONTH" hidden="1">130000</definedName>
    <definedName name="MD">#REF!</definedName>
    <definedName name="MSCI.ROE">#REF!</definedName>
    <definedName name="OAS">#REF!</definedName>
    <definedName name="PB">#REF!</definedName>
    <definedName name="PE">#REF!</definedName>
    <definedName name="PPP">#REF!</definedName>
    <definedName name="PX">#REF!</definedName>
    <definedName name="Rating_Table">#REF!</definedName>
    <definedName name="Ratings_Fitch">#REF!</definedName>
    <definedName name="Ratings_Moody">#REF!</definedName>
    <definedName name="Ratings_SandP">#REF!</definedName>
    <definedName name="REER">#REF!</definedName>
    <definedName name="ROE">#REF!</definedName>
    <definedName name="SIGNAL_MATRIX_CREDIT">#REF!</definedName>
    <definedName name="SIGNAL_MATRIX_EQ">#REF!</definedName>
    <definedName name="SIGNAL_MATRIX_EX_RTN">#REF!</definedName>
    <definedName name="SIGNAL_MATRIX_FX">#REF!</definedName>
    <definedName name="SPWS_WBID">"D59E1A16-371E-4D0F-A93D-481B765CD67C"</definedName>
    <definedName name="test">#REF!</definedName>
    <definedName name="TRNR_01b69df5a97542be8db4d5b4ea72ec33_123_27" hidden="1">#REF!</definedName>
    <definedName name="TRNR_09fcb37b506e4e5fb75c9752165f5528_60_3" hidden="1">#REF!</definedName>
    <definedName name="TRNR_1b2101ae54744d20969f795abd551b8e_680_9" hidden="1">#REF!</definedName>
    <definedName name="TRNR_3006966176004de48a48cfad55c3dfed_526_10" hidden="1">#REF!</definedName>
    <definedName name="TRNR_443c06947ffa490397eee236ccfdeabf_29_2" hidden="1">#REF!</definedName>
    <definedName name="TRNR_46f613d8072f42c79586961b334ead31_65_4" hidden="1">#REF!</definedName>
    <definedName name="TRNR_483f22422e7b4b2cb7439dd820c3a5a4_428_36" hidden="1">#REF!</definedName>
    <definedName name="TRNR_4e80d55d63ee44029a8f1171620a4d2c_3_12" hidden="1">#REF!</definedName>
    <definedName name="TRNR_57800d027a8e427996d5899f0c0f8a09_392_6" hidden="1">#REF!</definedName>
    <definedName name="TRNR_5ebbf2dc221a46929ec3c5c630aee1d1_525_32" hidden="1">#REF!</definedName>
    <definedName name="TRNR_5f872ff4eefe4eb4b84ffad244083bf2_3_1" hidden="1">#REF!</definedName>
    <definedName name="TRNR_737c291813664c5b937801d6667907b8_680_9" hidden="1">#REF!</definedName>
    <definedName name="TRNR_8b7c27b73b54407295138c41a9a9a958_428_12" hidden="1">#REF!</definedName>
    <definedName name="TRNR_8bfa168f02384d608998f837a6bb2827_703_4" hidden="1">[1]DS_UK!#REF!</definedName>
    <definedName name="TRNR_8ff428b4041b4a84820ceb02ffb15b2e_3_12" hidden="1">#REF!</definedName>
    <definedName name="TRNR_965813a29dae4cc39d6065e8f2876f27_5_10" hidden="1">#REF!</definedName>
    <definedName name="TRNR_9b9d953b79de48129eab983390d048d6_524_31" hidden="1">#REF!</definedName>
    <definedName name="TRNR_a707bf090e08434ab3896e4c0785d084_405_12" hidden="1">#REF!</definedName>
    <definedName name="TRNR_a85f16c30fae40dfa6a620174bf2ace8_108_5" hidden="1">#REF!</definedName>
    <definedName name="TRNR_e1021f0e310449ca91f0e4c24678fbef_680_4" hidden="1">#REF!</definedName>
    <definedName name="TRNR_e52d5a4a6fef445092007bbd80156ca2_703_3" hidden="1">[1]DS_UK!#REF!</definedName>
    <definedName name="TRNR_edd2f837a3ac4d54aab30291d7b49490_525_32" hidden="1">#REF!</definedName>
    <definedName name="YTM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7" i="138" l="1"/>
  <c r="C47" i="138"/>
  <c r="B48" i="138"/>
  <c r="C48" i="138"/>
  <c r="C46" i="138"/>
  <c r="B46" i="138"/>
  <c r="C215" i="137"/>
  <c r="C216" i="137"/>
  <c r="C214" i="137"/>
  <c r="O4" i="134" a="1"/>
  <c r="M4" i="134" a="1"/>
  <c r="P4" i="134" a="1"/>
  <c r="N4" i="134" a="1"/>
  <c r="N4" i="134" l="1"/>
  <c r="M4" i="134"/>
  <c r="O4" i="134"/>
  <c r="P4" i="134"/>
  <c r="G37" i="139"/>
  <c r="F3" i="139"/>
  <c r="F4" i="139" s="1"/>
  <c r="F5" i="139" s="1"/>
  <c r="F6" i="139" s="1"/>
  <c r="F7" i="139" s="1"/>
  <c r="F8" i="139" s="1"/>
  <c r="F9" i="139" s="1"/>
  <c r="F10" i="139" s="1"/>
  <c r="F11" i="139" s="1"/>
  <c r="F12" i="139" s="1"/>
  <c r="F13" i="139" s="1"/>
  <c r="F14" i="139" s="1"/>
  <c r="F15" i="139" s="1"/>
  <c r="F16" i="139" s="1"/>
  <c r="F17" i="139" s="1"/>
  <c r="F18" i="139" s="1"/>
  <c r="F19" i="139" s="1"/>
  <c r="F20" i="139" s="1"/>
  <c r="F21" i="139" s="1"/>
  <c r="F22" i="139" s="1"/>
  <c r="F23" i="139" s="1"/>
  <c r="F24" i="139" s="1"/>
  <c r="F25" i="139" s="1"/>
  <c r="F26" i="139" s="1"/>
  <c r="F27" i="139" s="1"/>
  <c r="F28" i="139" s="1"/>
  <c r="F29" i="139" s="1"/>
  <c r="F30" i="139" s="1"/>
  <c r="F31" i="139" s="1"/>
  <c r="F32" i="139" s="1"/>
  <c r="F33" i="139" s="1"/>
  <c r="F34" i="139" s="1"/>
  <c r="F35" i="139" s="1"/>
  <c r="F36" i="139" s="1"/>
  <c r="F37" i="139" s="1"/>
  <c r="F38" i="139" s="1"/>
  <c r="F39" i="139" s="1"/>
  <c r="F40" i="139" s="1"/>
  <c r="F41" i="139" s="1"/>
  <c r="F42" i="139" s="1"/>
  <c r="F43" i="139" s="1"/>
  <c r="F44" i="139" s="1"/>
  <c r="F2" i="139"/>
  <c r="F1" i="139"/>
  <c r="E2" i="139"/>
  <c r="E3" i="139"/>
  <c r="E4" i="139"/>
  <c r="E5" i="139"/>
  <c r="E6" i="139"/>
  <c r="E7" i="139"/>
  <c r="E8" i="139"/>
  <c r="E9" i="139"/>
  <c r="E10" i="139"/>
  <c r="E11" i="139"/>
  <c r="E12" i="139"/>
  <c r="E13" i="139"/>
  <c r="E14" i="139"/>
  <c r="E15" i="139"/>
  <c r="E16" i="139"/>
  <c r="E17" i="139"/>
  <c r="E18" i="139"/>
  <c r="E19" i="139"/>
  <c r="E20" i="139"/>
  <c r="E21" i="139"/>
  <c r="E22" i="139"/>
  <c r="E23" i="139"/>
  <c r="E24" i="139"/>
  <c r="E25" i="139"/>
  <c r="E26" i="139"/>
  <c r="E27" i="139"/>
  <c r="E28" i="139"/>
  <c r="E29" i="139"/>
  <c r="E30" i="139"/>
  <c r="E31" i="139"/>
  <c r="E32" i="139"/>
  <c r="E33" i="139"/>
  <c r="E34" i="139"/>
  <c r="E35" i="139"/>
  <c r="E36" i="139"/>
  <c r="E37" i="139"/>
  <c r="E38" i="139"/>
  <c r="E39" i="139"/>
  <c r="E40" i="139"/>
  <c r="E41" i="139"/>
  <c r="E42" i="139"/>
  <c r="E43" i="139"/>
  <c r="E44" i="139"/>
  <c r="E1" i="139"/>
  <c r="B7" i="134" l="1"/>
  <c r="I4" i="134" a="1"/>
  <c r="K4" i="134" a="1"/>
  <c r="H4" i="134" a="1"/>
  <c r="F4" i="134" a="1"/>
  <c r="L4" i="134" a="1"/>
  <c r="J4" i="134" a="1"/>
  <c r="G4" i="134" a="1"/>
  <c r="E4" i="134" a="1"/>
  <c r="BG1" i="15" l="1"/>
  <c r="BH1" i="15"/>
  <c r="BI1" i="15"/>
  <c r="BJ1" i="15"/>
  <c r="C2" i="15"/>
  <c r="C1" i="15"/>
  <c r="B5" i="15"/>
  <c r="F4" i="134"/>
  <c r="K4" i="134"/>
  <c r="E4" i="134"/>
  <c r="G4" i="134"/>
  <c r="L4" i="134"/>
  <c r="J4" i="134"/>
  <c r="I4" i="134"/>
  <c r="H4" i="134"/>
  <c r="B7" i="16" l="1"/>
  <c r="GJ5" i="91" l="1"/>
  <c r="GJ6" i="91"/>
  <c r="GJ17" i="91"/>
  <c r="GJ18" i="91"/>
  <c r="GJ20" i="91"/>
  <c r="GJ21" i="91"/>
  <c r="GJ22" i="91"/>
  <c r="GJ23" i="91"/>
  <c r="GJ24" i="91"/>
  <c r="GJ25" i="91"/>
  <c r="GJ26" i="91"/>
  <c r="GJ27" i="91"/>
  <c r="GJ28" i="91"/>
  <c r="GJ29" i="91"/>
  <c r="GJ30" i="91"/>
  <c r="GJ31" i="91"/>
  <c r="GJ32" i="91"/>
  <c r="GJ33" i="91"/>
  <c r="GJ34" i="91"/>
  <c r="GJ35" i="91"/>
  <c r="GJ36" i="91"/>
  <c r="GJ37" i="91"/>
  <c r="GJ39" i="91"/>
  <c r="GJ40" i="91"/>
  <c r="GJ41" i="91"/>
  <c r="GJ42" i="91"/>
  <c r="GJ43" i="91"/>
  <c r="GJ44" i="91"/>
  <c r="GJ45" i="91"/>
  <c r="GJ4" i="91"/>
  <c r="GE20" i="91"/>
  <c r="GE21" i="91"/>
  <c r="GE22" i="91"/>
  <c r="GE23" i="91"/>
  <c r="GE24" i="91"/>
  <c r="GE25" i="91"/>
  <c r="GE26" i="91"/>
  <c r="GE27" i="91"/>
  <c r="GE28" i="91"/>
  <c r="GE29" i="91"/>
  <c r="GE30" i="91"/>
  <c r="GE31" i="91"/>
  <c r="GE32" i="91"/>
  <c r="GE33" i="91"/>
  <c r="GE34" i="91"/>
  <c r="GE35" i="91"/>
  <c r="GE36" i="91"/>
  <c r="GE37" i="91"/>
  <c r="GE39" i="91"/>
  <c r="GE40" i="91"/>
  <c r="GE41" i="91"/>
  <c r="GE42" i="91"/>
  <c r="GE43" i="91"/>
  <c r="GE44" i="91"/>
  <c r="GE45" i="91"/>
  <c r="GE18" i="91"/>
  <c r="GE17" i="91"/>
  <c r="GE6" i="91"/>
  <c r="GE5" i="91"/>
  <c r="GE4" i="91"/>
  <c r="EO8" i="91"/>
  <c r="EO9" i="91"/>
  <c r="EO10" i="91"/>
  <c r="EO11" i="91"/>
  <c r="EO12" i="91"/>
  <c r="EO13" i="91"/>
  <c r="EO14" i="91"/>
  <c r="EO15" i="91"/>
  <c r="EO16" i="91"/>
  <c r="EO17" i="91"/>
  <c r="EO18" i="91"/>
  <c r="EO19" i="91"/>
  <c r="EO20" i="91"/>
  <c r="EO21" i="91"/>
  <c r="EO22" i="91"/>
  <c r="EO25" i="91"/>
  <c r="EO26" i="91"/>
  <c r="EO27" i="91"/>
  <c r="EO28" i="91"/>
  <c r="EO30" i="91"/>
  <c r="EO32" i="91"/>
  <c r="EO35" i="91"/>
  <c r="EO36" i="91"/>
  <c r="EO37" i="91"/>
  <c r="EO38" i="91"/>
  <c r="EO39" i="91"/>
  <c r="EO40" i="91"/>
  <c r="EO41" i="91"/>
  <c r="EO42" i="91"/>
  <c r="EO43" i="91"/>
  <c r="EO45" i="91"/>
  <c r="EO7" i="91"/>
  <c r="EO5" i="91"/>
  <c r="EO4" i="91"/>
  <c r="GA5" i="91"/>
  <c r="GA7" i="91"/>
  <c r="GA8" i="91"/>
  <c r="GA9" i="91"/>
  <c r="GA10" i="91"/>
  <c r="GA11" i="91"/>
  <c r="GA12" i="91"/>
  <c r="GA13" i="91"/>
  <c r="GA14" i="91"/>
  <c r="GA15" i="91"/>
  <c r="GA16" i="91"/>
  <c r="GA17" i="91"/>
  <c r="GA18" i="91"/>
  <c r="GA19" i="91"/>
  <c r="GA20" i="91"/>
  <c r="GA21" i="91"/>
  <c r="GA22" i="91"/>
  <c r="GA23" i="91"/>
  <c r="GA24" i="91"/>
  <c r="GA25" i="91"/>
  <c r="GA26" i="91"/>
  <c r="GA27" i="91"/>
  <c r="GA28" i="91"/>
  <c r="GA29" i="91"/>
  <c r="GA30" i="91"/>
  <c r="GA31" i="91"/>
  <c r="GA32" i="91"/>
  <c r="GA33" i="91"/>
  <c r="GA34" i="91"/>
  <c r="GA35" i="91"/>
  <c r="GA36" i="91"/>
  <c r="GA37" i="91"/>
  <c r="GA38" i="91"/>
  <c r="GA39" i="91"/>
  <c r="GA40" i="91"/>
  <c r="GA41" i="91"/>
  <c r="GA42" i="91"/>
  <c r="GA43" i="91"/>
  <c r="GA44" i="91"/>
  <c r="GA45" i="91"/>
  <c r="GA4" i="91"/>
  <c r="FO12" i="91" l="1"/>
  <c r="FP12" i="91" s="1"/>
  <c r="FO13" i="91"/>
  <c r="FP13" i="91" s="1"/>
  <c r="FO14" i="91"/>
  <c r="FP14" i="91" s="1"/>
  <c r="FO15" i="91"/>
  <c r="FP15" i="91" s="1"/>
  <c r="FO16" i="91"/>
  <c r="FP16" i="91" s="1"/>
  <c r="FO17" i="91"/>
  <c r="FP17" i="91" s="1"/>
  <c r="FO18" i="91"/>
  <c r="FP18" i="91" s="1"/>
  <c r="FO19" i="91"/>
  <c r="FP19" i="91" s="1"/>
  <c r="FO20" i="91"/>
  <c r="FP20" i="91" s="1"/>
  <c r="FO21" i="91"/>
  <c r="FP21" i="91" s="1"/>
  <c r="FO22" i="91"/>
  <c r="FP22" i="91" s="1"/>
  <c r="FO23" i="91"/>
  <c r="FP23" i="91" s="1"/>
  <c r="FO24" i="91"/>
  <c r="FP24" i="91" s="1"/>
  <c r="FO25" i="91"/>
  <c r="FP25" i="91" s="1"/>
  <c r="FO26" i="91"/>
  <c r="FP26" i="91" s="1"/>
  <c r="FO27" i="91"/>
  <c r="FP27" i="91" s="1"/>
  <c r="FO28" i="91"/>
  <c r="FP28" i="91" s="1"/>
  <c r="FO29" i="91"/>
  <c r="FP29" i="91" s="1"/>
  <c r="FO30" i="91"/>
  <c r="FP30" i="91" s="1"/>
  <c r="FO31" i="91"/>
  <c r="FP31" i="91" s="1"/>
  <c r="FO32" i="91"/>
  <c r="FP32" i="91" s="1"/>
  <c r="FO33" i="91"/>
  <c r="FP33" i="91" s="1"/>
  <c r="FO34" i="91"/>
  <c r="FP34" i="91" s="1"/>
  <c r="FO35" i="91"/>
  <c r="FP35" i="91" s="1"/>
  <c r="FO36" i="91"/>
  <c r="FP36" i="91" s="1"/>
  <c r="FO37" i="91"/>
  <c r="FP37" i="91" s="1"/>
  <c r="FO38" i="91"/>
  <c r="FP38" i="91" s="1"/>
  <c r="FO39" i="91"/>
  <c r="FP39" i="91" s="1"/>
  <c r="FO40" i="91"/>
  <c r="FP40" i="91" s="1"/>
  <c r="FO41" i="91"/>
  <c r="FP41" i="91" s="1"/>
  <c r="FO42" i="91"/>
  <c r="FP42" i="91" s="1"/>
  <c r="FO43" i="91"/>
  <c r="FP43" i="91" s="1"/>
  <c r="FO44" i="91"/>
  <c r="FP44" i="91" s="1"/>
  <c r="FO45" i="91"/>
  <c r="FP45" i="91" s="1"/>
  <c r="FO5" i="91"/>
  <c r="FP5" i="91" s="1"/>
  <c r="FO6" i="91"/>
  <c r="FP6" i="91" s="1"/>
  <c r="FO7" i="91"/>
  <c r="FP7" i="91" s="1"/>
  <c r="FO8" i="91"/>
  <c r="FP8" i="91" s="1"/>
  <c r="FO9" i="91"/>
  <c r="FP9" i="91" s="1"/>
  <c r="FO10" i="91"/>
  <c r="FP10" i="91" s="1"/>
  <c r="FO11" i="91"/>
  <c r="FP11" i="91" s="1"/>
  <c r="FO4" i="91"/>
  <c r="FP4" i="91" s="1"/>
  <c r="CU45" i="91"/>
  <c r="CU44" i="91"/>
  <c r="CU43" i="91"/>
  <c r="CU42" i="91"/>
  <c r="CU41" i="91"/>
  <c r="CU40" i="91"/>
  <c r="CU39" i="91"/>
  <c r="CU38" i="91"/>
  <c r="CU37" i="91"/>
  <c r="CU36" i="91"/>
  <c r="CU35" i="91"/>
  <c r="CU34" i="91"/>
  <c r="CU33" i="91"/>
  <c r="CU32" i="91"/>
  <c r="CU31" i="91"/>
  <c r="CU30" i="91"/>
  <c r="CU29" i="91"/>
  <c r="CU28" i="91"/>
  <c r="CU27" i="91"/>
  <c r="CU26" i="91"/>
  <c r="CU25" i="91"/>
  <c r="CU24" i="91"/>
  <c r="CU23" i="91"/>
  <c r="CU22" i="91"/>
  <c r="CU21" i="91"/>
  <c r="CU20" i="91"/>
  <c r="CU19" i="91"/>
  <c r="CU18" i="91"/>
  <c r="CU17" i="91"/>
  <c r="CU16" i="91"/>
  <c r="CU15" i="91"/>
  <c r="CU14" i="91"/>
  <c r="CU13" i="91"/>
  <c r="CU12" i="91"/>
  <c r="CU11" i="91"/>
  <c r="CU10" i="91"/>
  <c r="CU9" i="91"/>
  <c r="CU8" i="91"/>
  <c r="CU7" i="91"/>
  <c r="CU6" i="91"/>
  <c r="CU5" i="91"/>
  <c r="CU4" i="91"/>
  <c r="BO45" i="91"/>
  <c r="BO44" i="91"/>
  <c r="BO43" i="91"/>
  <c r="BO42" i="91"/>
  <c r="BO41" i="91"/>
  <c r="BO40" i="91"/>
  <c r="BO39" i="91"/>
  <c r="BO38" i="91"/>
  <c r="BO37" i="91"/>
  <c r="BO36" i="91"/>
  <c r="BO35" i="91"/>
  <c r="BO34" i="91"/>
  <c r="BO33" i="91"/>
  <c r="BO32" i="91"/>
  <c r="BO31" i="91"/>
  <c r="BO30" i="91"/>
  <c r="BO29" i="91"/>
  <c r="BO28" i="91"/>
  <c r="BO27" i="91"/>
  <c r="BO26" i="91"/>
  <c r="BO25" i="91"/>
  <c r="BO24" i="91"/>
  <c r="BO23" i="91"/>
  <c r="BO22" i="91"/>
  <c r="BO21" i="91"/>
  <c r="BO20" i="91"/>
  <c r="BO19" i="91"/>
  <c r="BO18" i="91"/>
  <c r="BO17" i="91"/>
  <c r="BO16" i="91"/>
  <c r="BO15" i="91"/>
  <c r="BO14" i="91"/>
  <c r="BO13" i="91"/>
  <c r="BO12" i="91"/>
  <c r="BO11" i="91"/>
  <c r="BO10" i="91"/>
  <c r="BO9" i="91"/>
  <c r="BO8" i="91"/>
  <c r="BO7" i="91"/>
  <c r="BO6" i="91"/>
  <c r="BO5" i="91"/>
  <c r="BO4" i="91"/>
  <c r="A2" i="91" l="1"/>
  <c r="AN4" i="91"/>
  <c r="AN6" i="91"/>
  <c r="AN7" i="91"/>
  <c r="AN8" i="91"/>
  <c r="AN9" i="91"/>
  <c r="AN10" i="91"/>
  <c r="AN11" i="91"/>
  <c r="AN12" i="91"/>
  <c r="AN13" i="91"/>
  <c r="AN14" i="91"/>
  <c r="AN15" i="91"/>
  <c r="AN16" i="91"/>
  <c r="AN17" i="91"/>
  <c r="AN18" i="91"/>
  <c r="AN19" i="91"/>
  <c r="AN20" i="91"/>
  <c r="AN21" i="91"/>
  <c r="AN22" i="91"/>
  <c r="AN23" i="91"/>
  <c r="AN24" i="91"/>
  <c r="AN25" i="91"/>
  <c r="AN26" i="91"/>
  <c r="AN27" i="91"/>
  <c r="AN28" i="91"/>
  <c r="AN29" i="91"/>
  <c r="AN30" i="91"/>
  <c r="AN31" i="91"/>
  <c r="AN32" i="91"/>
  <c r="AN33" i="91"/>
  <c r="AN34" i="91"/>
  <c r="AN35" i="91"/>
  <c r="AN36" i="91"/>
  <c r="AN37" i="91"/>
  <c r="AN38" i="91"/>
  <c r="AN39" i="91"/>
  <c r="AN40" i="91"/>
  <c r="AN41" i="91"/>
  <c r="AN42" i="91"/>
  <c r="AN43" i="91"/>
  <c r="AN44" i="91"/>
  <c r="AN45" i="91"/>
  <c r="AN5" i="91"/>
  <c r="AB6" i="91"/>
  <c r="AB7" i="91"/>
  <c r="AB8" i="91"/>
  <c r="AB9" i="91"/>
  <c r="AB10" i="91"/>
  <c r="AB11" i="91"/>
  <c r="AB12" i="91"/>
  <c r="AB13" i="91"/>
  <c r="AB14" i="91"/>
  <c r="AB15" i="91"/>
  <c r="AB16" i="91"/>
  <c r="AB17" i="91"/>
  <c r="AB18" i="91"/>
  <c r="AB19" i="91"/>
  <c r="AB20" i="91"/>
  <c r="AB21" i="91"/>
  <c r="AB22" i="91"/>
  <c r="AB23" i="91"/>
  <c r="AB24" i="91"/>
  <c r="AB25" i="91"/>
  <c r="AB26" i="91"/>
  <c r="AB27" i="91"/>
  <c r="AB28" i="91"/>
  <c r="AB29" i="91"/>
  <c r="AB30" i="91"/>
  <c r="AB31" i="91"/>
  <c r="AB32" i="91"/>
  <c r="AB33" i="91"/>
  <c r="AB34" i="91"/>
  <c r="AB35" i="91"/>
  <c r="AB36" i="91"/>
  <c r="AB37" i="91"/>
  <c r="AB38" i="91"/>
  <c r="AB39" i="91"/>
  <c r="AB40" i="91"/>
  <c r="AB41" i="91"/>
  <c r="AB42" i="91"/>
  <c r="AB43" i="91"/>
  <c r="AB44" i="91"/>
  <c r="AB45" i="91"/>
  <c r="AB5" i="91"/>
  <c r="AB4" i="91"/>
  <c r="Y6" i="91"/>
  <c r="Y7" i="91"/>
  <c r="Y8" i="91"/>
  <c r="Y9" i="91"/>
  <c r="Y10" i="91"/>
  <c r="Y11" i="91"/>
  <c r="Y12" i="91"/>
  <c r="Y13" i="91"/>
  <c r="Y14" i="91"/>
  <c r="Y15" i="91"/>
  <c r="Y17" i="91"/>
  <c r="Y18" i="91"/>
  <c r="Y19" i="91"/>
  <c r="Y16" i="91"/>
  <c r="Y20" i="91"/>
  <c r="Y21" i="91"/>
  <c r="Y22" i="91"/>
  <c r="Y23" i="91"/>
  <c r="Y24" i="91"/>
  <c r="Y25" i="91"/>
  <c r="Y26" i="91"/>
  <c r="Y27" i="91"/>
  <c r="Y28" i="91"/>
  <c r="Y29" i="91"/>
  <c r="Y30" i="91"/>
  <c r="Y31" i="91"/>
  <c r="Y32" i="91"/>
  <c r="Y33" i="91"/>
  <c r="Y34" i="91"/>
  <c r="Y35" i="91"/>
  <c r="Y36" i="91"/>
  <c r="Y37" i="91"/>
  <c r="Y38" i="91"/>
  <c r="Y39" i="91"/>
  <c r="Y40" i="91"/>
  <c r="Y41" i="91"/>
  <c r="Y42" i="91"/>
  <c r="Y43" i="91"/>
  <c r="Y44" i="91"/>
  <c r="Y45" i="91"/>
  <c r="Y5" i="91"/>
  <c r="V5" i="91"/>
  <c r="V6" i="91"/>
  <c r="V7" i="91"/>
  <c r="V8" i="91"/>
  <c r="V9" i="91"/>
  <c r="V10" i="91"/>
  <c r="V11" i="91"/>
  <c r="V12" i="91"/>
  <c r="V13" i="91"/>
  <c r="V14" i="91"/>
  <c r="V15" i="91"/>
  <c r="V17" i="91"/>
  <c r="V18" i="91"/>
  <c r="V19" i="91"/>
  <c r="V16" i="91"/>
  <c r="V20" i="91"/>
  <c r="V21" i="91"/>
  <c r="V22" i="91"/>
  <c r="V23" i="91"/>
  <c r="V24" i="91"/>
  <c r="V25" i="91"/>
  <c r="V26" i="91"/>
  <c r="V27" i="91"/>
  <c r="V28" i="91"/>
  <c r="V29" i="91"/>
  <c r="V30" i="91"/>
  <c r="V31" i="91"/>
  <c r="V32" i="91"/>
  <c r="V33" i="91"/>
  <c r="V34" i="91"/>
  <c r="V35" i="91"/>
  <c r="V36" i="91"/>
  <c r="V37" i="91"/>
  <c r="V38" i="91"/>
  <c r="V39" i="91"/>
  <c r="V40" i="91"/>
  <c r="V41" i="91"/>
  <c r="V42" i="91"/>
  <c r="V43" i="91"/>
  <c r="V44" i="91"/>
  <c r="V45" i="91"/>
  <c r="CV2" i="91" l="1"/>
  <c r="DK2" i="91"/>
  <c r="CE2" i="91"/>
  <c r="CH2" i="91" s="1"/>
  <c r="CK2" i="91" s="1"/>
  <c r="CK29" i="91" s="1"/>
  <c r="BP2" i="91"/>
  <c r="BQ1" i="91" s="1"/>
  <c r="AO2" i="91"/>
  <c r="AR2" i="91" s="1"/>
  <c r="AU2" i="91" s="1"/>
  <c r="AX2" i="91" s="1"/>
  <c r="BA2" i="91" s="1"/>
  <c r="BA24" i="91" s="1"/>
  <c r="AC33" i="91"/>
  <c r="CV4" i="91" l="1"/>
  <c r="CV5" i="91"/>
  <c r="CV11" i="91"/>
  <c r="CV17" i="91"/>
  <c r="CV23" i="91"/>
  <c r="CV29" i="91"/>
  <c r="CV35" i="91"/>
  <c r="CV41" i="91"/>
  <c r="CV21" i="91"/>
  <c r="CV45" i="91"/>
  <c r="CV6" i="91"/>
  <c r="CV12" i="91"/>
  <c r="CV18" i="91"/>
  <c r="CV24" i="91"/>
  <c r="CV30" i="91"/>
  <c r="CV36" i="91"/>
  <c r="CV42" i="91"/>
  <c r="CV7" i="91"/>
  <c r="CV13" i="91"/>
  <c r="CV19" i="91"/>
  <c r="CV25" i="91"/>
  <c r="CV31" i="91"/>
  <c r="CV37" i="91"/>
  <c r="CV43" i="91"/>
  <c r="CV8" i="91"/>
  <c r="CV14" i="91"/>
  <c r="CV20" i="91"/>
  <c r="CV26" i="91"/>
  <c r="CV32" i="91"/>
  <c r="CV38" i="91"/>
  <c r="CV44" i="91"/>
  <c r="CV9" i="91"/>
  <c r="CV15" i="91"/>
  <c r="CV27" i="91"/>
  <c r="CV33" i="91"/>
  <c r="CV39" i="91"/>
  <c r="CV10" i="91"/>
  <c r="CV16" i="91"/>
  <c r="CV22" i="91"/>
  <c r="CV28" i="91"/>
  <c r="CV34" i="91"/>
  <c r="CV40" i="91"/>
  <c r="DK4" i="91"/>
  <c r="DK5" i="91"/>
  <c r="DK11" i="91"/>
  <c r="DK17" i="91"/>
  <c r="DK23" i="91"/>
  <c r="DK29" i="91"/>
  <c r="DK35" i="91"/>
  <c r="DK41" i="91"/>
  <c r="DK14" i="91"/>
  <c r="DK6" i="91"/>
  <c r="DK12" i="91"/>
  <c r="DK18" i="91"/>
  <c r="DK24" i="91"/>
  <c r="DK30" i="91"/>
  <c r="DK36" i="91"/>
  <c r="DK42" i="91"/>
  <c r="DK7" i="91"/>
  <c r="DK13" i="91"/>
  <c r="DK19" i="91"/>
  <c r="DK25" i="91"/>
  <c r="DK31" i="91"/>
  <c r="DK37" i="91"/>
  <c r="DK43" i="91"/>
  <c r="DK9" i="91"/>
  <c r="DK15" i="91"/>
  <c r="DK21" i="91"/>
  <c r="DK27" i="91"/>
  <c r="DK33" i="91"/>
  <c r="DK39" i="91"/>
  <c r="DK45" i="91"/>
  <c r="DK8" i="91"/>
  <c r="DK20" i="91"/>
  <c r="DK26" i="91"/>
  <c r="DK32" i="91"/>
  <c r="DK38" i="91"/>
  <c r="DK44" i="91"/>
  <c r="DK10" i="91"/>
  <c r="DK16" i="91"/>
  <c r="DK22" i="91"/>
  <c r="DK28" i="91"/>
  <c r="DK34" i="91"/>
  <c r="DK40" i="91"/>
  <c r="CW1" i="91"/>
  <c r="DL1" i="91"/>
  <c r="DN2" i="91"/>
  <c r="CY2" i="91"/>
  <c r="CK34" i="91"/>
  <c r="CK4" i="91"/>
  <c r="CK7" i="91"/>
  <c r="CK37" i="91"/>
  <c r="CK30" i="91"/>
  <c r="CK23" i="91"/>
  <c r="CK40" i="91"/>
  <c r="CK22" i="91"/>
  <c r="CK21" i="91"/>
  <c r="CK44" i="91"/>
  <c r="CK9" i="91"/>
  <c r="CK32" i="91"/>
  <c r="CK43" i="91"/>
  <c r="CK36" i="91"/>
  <c r="AO17" i="91"/>
  <c r="CK31" i="91"/>
  <c r="CK28" i="91"/>
  <c r="CK38" i="91"/>
  <c r="CK24" i="91"/>
  <c r="CK10" i="91"/>
  <c r="CK20" i="91"/>
  <c r="CK17" i="91"/>
  <c r="CK25" i="91"/>
  <c r="CK16" i="91"/>
  <c r="CK26" i="91"/>
  <c r="CK18" i="91"/>
  <c r="CK39" i="91"/>
  <c r="CK14" i="91"/>
  <c r="CK11" i="91"/>
  <c r="CK19" i="91"/>
  <c r="CK45" i="91"/>
  <c r="CK8" i="91"/>
  <c r="CK12" i="91"/>
  <c r="CK27" i="91"/>
  <c r="CK41" i="91"/>
  <c r="CK5" i="91"/>
  <c r="CL1" i="91"/>
  <c r="CK13" i="91"/>
  <c r="CK33" i="91"/>
  <c r="CK42" i="91"/>
  <c r="CK6" i="91"/>
  <c r="CK15" i="91"/>
  <c r="CK35" i="91"/>
  <c r="CH4" i="91"/>
  <c r="CH5" i="91"/>
  <c r="CH11" i="91"/>
  <c r="CH17" i="91"/>
  <c r="CH23" i="91"/>
  <c r="CH29" i="91"/>
  <c r="CH35" i="91"/>
  <c r="CH41" i="91"/>
  <c r="CH9" i="91"/>
  <c r="CH27" i="91"/>
  <c r="CH45" i="91"/>
  <c r="CH6" i="91"/>
  <c r="CH12" i="91"/>
  <c r="CH18" i="91"/>
  <c r="CH24" i="91"/>
  <c r="CH30" i="91"/>
  <c r="CH36" i="91"/>
  <c r="CH42" i="91"/>
  <c r="CH15" i="91"/>
  <c r="CH33" i="91"/>
  <c r="CH7" i="91"/>
  <c r="CH13" i="91"/>
  <c r="CH19" i="91"/>
  <c r="CH25" i="91"/>
  <c r="CH31" i="91"/>
  <c r="CH37" i="91"/>
  <c r="CH43" i="91"/>
  <c r="CH8" i="91"/>
  <c r="CH14" i="91"/>
  <c r="CH20" i="91"/>
  <c r="CH26" i="91"/>
  <c r="CH32" i="91"/>
  <c r="CH38" i="91"/>
  <c r="CH44" i="91"/>
  <c r="CH21" i="91"/>
  <c r="CH39" i="91"/>
  <c r="CH10" i="91"/>
  <c r="CH16" i="91"/>
  <c r="CH22" i="91"/>
  <c r="CH28" i="91"/>
  <c r="CH34" i="91"/>
  <c r="CH40" i="91"/>
  <c r="BP33" i="91"/>
  <c r="BP14" i="91"/>
  <c r="CI1" i="91"/>
  <c r="BP13" i="91"/>
  <c r="BP23" i="91"/>
  <c r="BP10" i="91"/>
  <c r="BP36" i="91"/>
  <c r="BP11" i="91"/>
  <c r="BP38" i="91"/>
  <c r="BP20" i="91"/>
  <c r="BP7" i="91"/>
  <c r="BP44" i="91"/>
  <c r="BP19" i="91"/>
  <c r="BP8" i="91"/>
  <c r="BS2" i="91"/>
  <c r="BT1" i="91" s="1"/>
  <c r="BP34" i="91"/>
  <c r="BP30" i="91"/>
  <c r="BP28" i="91"/>
  <c r="BP25" i="91"/>
  <c r="BP15" i="91"/>
  <c r="BP37" i="91"/>
  <c r="BP45" i="91"/>
  <c r="BP31" i="91"/>
  <c r="BP26" i="91"/>
  <c r="BP35" i="91"/>
  <c r="BP9" i="91"/>
  <c r="BP5" i="91"/>
  <c r="BP39" i="91"/>
  <c r="BP41" i="91"/>
  <c r="BP29" i="91"/>
  <c r="BP24" i="91"/>
  <c r="BP21" i="91"/>
  <c r="BP18" i="91"/>
  <c r="BP17" i="91"/>
  <c r="BP22" i="91"/>
  <c r="BP40" i="91"/>
  <c r="BP43" i="91"/>
  <c r="BP12" i="91"/>
  <c r="BP6" i="91"/>
  <c r="BP32" i="91"/>
  <c r="BP27" i="91"/>
  <c r="BP16" i="91"/>
  <c r="BP4" i="91"/>
  <c r="BP42" i="91"/>
  <c r="AO43" i="91"/>
  <c r="AO31" i="91"/>
  <c r="AR40" i="91"/>
  <c r="AO16" i="91"/>
  <c r="AO21" i="91"/>
  <c r="AO34" i="91"/>
  <c r="AO7" i="91"/>
  <c r="AO44" i="91"/>
  <c r="AO13" i="91"/>
  <c r="AO9" i="91"/>
  <c r="AP1" i="91"/>
  <c r="AR23" i="91"/>
  <c r="AR12" i="91"/>
  <c r="AO36" i="91"/>
  <c r="AO28" i="91"/>
  <c r="AR30" i="91"/>
  <c r="AR19" i="91"/>
  <c r="AO22" i="91"/>
  <c r="AO11" i="91"/>
  <c r="AR31" i="91"/>
  <c r="AO33" i="91"/>
  <c r="AO23" i="91"/>
  <c r="AO4" i="91"/>
  <c r="AO24" i="91"/>
  <c r="AR37" i="91"/>
  <c r="AO25" i="91"/>
  <c r="AO45" i="91"/>
  <c r="AO30" i="91"/>
  <c r="AO39" i="91"/>
  <c r="AO14" i="91"/>
  <c r="AO5" i="91"/>
  <c r="AR27" i="91"/>
  <c r="AR34" i="91"/>
  <c r="AR18" i="91"/>
  <c r="AR7" i="91"/>
  <c r="AO38" i="91"/>
  <c r="AO15" i="91"/>
  <c r="AO37" i="91"/>
  <c r="AO19" i="91"/>
  <c r="AO26" i="91"/>
  <c r="AO20" i="91"/>
  <c r="AO29" i="91"/>
  <c r="AR29" i="91"/>
  <c r="AR35" i="91"/>
  <c r="AO35" i="91"/>
  <c r="AR36" i="91"/>
  <c r="AR25" i="91"/>
  <c r="AO18" i="91"/>
  <c r="AO27" i="91"/>
  <c r="AO40" i="91"/>
  <c r="AO6" i="91"/>
  <c r="AO8" i="91"/>
  <c r="AO10" i="91"/>
  <c r="AR41" i="91"/>
  <c r="AR42" i="91"/>
  <c r="AO42" i="91"/>
  <c r="AO12" i="91"/>
  <c r="AO32" i="91"/>
  <c r="AO41" i="91"/>
  <c r="AR14" i="91"/>
  <c r="AR15" i="91"/>
  <c r="AR24" i="91"/>
  <c r="AR38" i="91"/>
  <c r="AR5" i="91"/>
  <c r="AR43" i="91"/>
  <c r="AR39" i="91"/>
  <c r="AR16" i="91"/>
  <c r="AR33" i="91"/>
  <c r="AR22" i="91"/>
  <c r="AR13" i="91"/>
  <c r="AS1" i="91"/>
  <c r="AR28" i="91"/>
  <c r="AR45" i="91"/>
  <c r="AR8" i="91"/>
  <c r="AR32" i="91"/>
  <c r="AR9" i="91"/>
  <c r="AR21" i="91"/>
  <c r="AR26" i="91"/>
  <c r="AR6" i="91"/>
  <c r="AR20" i="91"/>
  <c r="AR10" i="91"/>
  <c r="AR44" i="91"/>
  <c r="AR4" i="91"/>
  <c r="AR11" i="91"/>
  <c r="AR17" i="91"/>
  <c r="AX18" i="91"/>
  <c r="AX9" i="91"/>
  <c r="AU20" i="91"/>
  <c r="BA15" i="91"/>
  <c r="AU12" i="91"/>
  <c r="BA20" i="91"/>
  <c r="AU41" i="91"/>
  <c r="BA22" i="91"/>
  <c r="AX31" i="91"/>
  <c r="AU25" i="91"/>
  <c r="AX10" i="91"/>
  <c r="BA34" i="91"/>
  <c r="BA18" i="91"/>
  <c r="AU40" i="91"/>
  <c r="AU5" i="91"/>
  <c r="AX8" i="91"/>
  <c r="BA7" i="91"/>
  <c r="AU45" i="91"/>
  <c r="AX14" i="91"/>
  <c r="AX11" i="91"/>
  <c r="BA43" i="91"/>
  <c r="AU34" i="91"/>
  <c r="AU21" i="91"/>
  <c r="AU19" i="91"/>
  <c r="AU42" i="91"/>
  <c r="AU6" i="91"/>
  <c r="AU35" i="91"/>
  <c r="AU4" i="91"/>
  <c r="AX40" i="91"/>
  <c r="AX45" i="91"/>
  <c r="AX25" i="91"/>
  <c r="AX20" i="91"/>
  <c r="AX12" i="91"/>
  <c r="AX41" i="91"/>
  <c r="AX5" i="91"/>
  <c r="BA16" i="91"/>
  <c r="BA9" i="91"/>
  <c r="BA14" i="91"/>
  <c r="BA45" i="91"/>
  <c r="BA41" i="91"/>
  <c r="BA37" i="91"/>
  <c r="BA12" i="91"/>
  <c r="AU39" i="91"/>
  <c r="AU28" i="91"/>
  <c r="AU9" i="91"/>
  <c r="AU13" i="91"/>
  <c r="AU36" i="91"/>
  <c r="AU27" i="91"/>
  <c r="AU29" i="91"/>
  <c r="AY1" i="91"/>
  <c r="AX34" i="91"/>
  <c r="AX21" i="91"/>
  <c r="AX19" i="91"/>
  <c r="AX42" i="91"/>
  <c r="AX6" i="91"/>
  <c r="AX35" i="91"/>
  <c r="AX4" i="91"/>
  <c r="BA39" i="91"/>
  <c r="BA44" i="91"/>
  <c r="BA8" i="91"/>
  <c r="BA31" i="91"/>
  <c r="BA23" i="91"/>
  <c r="BA42" i="91"/>
  <c r="BA6" i="91"/>
  <c r="AU15" i="91"/>
  <c r="AU22" i="91"/>
  <c r="AU43" i="91"/>
  <c r="AU7" i="91"/>
  <c r="AU30" i="91"/>
  <c r="AU44" i="91"/>
  <c r="AU23" i="91"/>
  <c r="AX39" i="91"/>
  <c r="AX28" i="91"/>
  <c r="AX32" i="91"/>
  <c r="AX13" i="91"/>
  <c r="AX36" i="91"/>
  <c r="AX27" i="91"/>
  <c r="AX29" i="91"/>
  <c r="BB1" i="91"/>
  <c r="BA33" i="91"/>
  <c r="BA38" i="91"/>
  <c r="BA35" i="91"/>
  <c r="BA25" i="91"/>
  <c r="BA5" i="91"/>
  <c r="BA36" i="91"/>
  <c r="BA4" i="91"/>
  <c r="AU32" i="91"/>
  <c r="AU16" i="91"/>
  <c r="AU37" i="91"/>
  <c r="AU33" i="91"/>
  <c r="AU24" i="91"/>
  <c r="AU26" i="91"/>
  <c r="AU17" i="91"/>
  <c r="AX15" i="91"/>
  <c r="AX22" i="91"/>
  <c r="AX43" i="91"/>
  <c r="AX7" i="91"/>
  <c r="AX30" i="91"/>
  <c r="AX44" i="91"/>
  <c r="AX23" i="91"/>
  <c r="BA29" i="91"/>
  <c r="BA27" i="91"/>
  <c r="BA32" i="91"/>
  <c r="BA17" i="91"/>
  <c r="BA19" i="91"/>
  <c r="BA28" i="91"/>
  <c r="BA30" i="91"/>
  <c r="AU14" i="91"/>
  <c r="AU10" i="91"/>
  <c r="AU31" i="91"/>
  <c r="AU38" i="91"/>
  <c r="AU18" i="91"/>
  <c r="AU8" i="91"/>
  <c r="AU11" i="91"/>
  <c r="AX38" i="91"/>
  <c r="AX16" i="91"/>
  <c r="AX37" i="91"/>
  <c r="AX33" i="91"/>
  <c r="AX24" i="91"/>
  <c r="AX26" i="91"/>
  <c r="AX17" i="91"/>
  <c r="BA11" i="91"/>
  <c r="BA21" i="91"/>
  <c r="BA26" i="91"/>
  <c r="BA40" i="91"/>
  <c r="BA13" i="91"/>
  <c r="BA10" i="91"/>
  <c r="AV1" i="91"/>
  <c r="AC10" i="91"/>
  <c r="AC5" i="91"/>
  <c r="AC21" i="91"/>
  <c r="AC35" i="91"/>
  <c r="AC20" i="91"/>
  <c r="AC6" i="91"/>
  <c r="AC42" i="91"/>
  <c r="AC16" i="91"/>
  <c r="AC31" i="91"/>
  <c r="AC45" i="91"/>
  <c r="AC41" i="91"/>
  <c r="AC12" i="91"/>
  <c r="AC7" i="91"/>
  <c r="AC22" i="91"/>
  <c r="AC8" i="91"/>
  <c r="AC11" i="91"/>
  <c r="AC4" i="91"/>
  <c r="AC9" i="91"/>
  <c r="AC18" i="91"/>
  <c r="AC13" i="91"/>
  <c r="AC28" i="91"/>
  <c r="AC26" i="91"/>
  <c r="AC17" i="91"/>
  <c r="AC19" i="91"/>
  <c r="AC15" i="91"/>
  <c r="AC24" i="91"/>
  <c r="AC25" i="91"/>
  <c r="AC34" i="91"/>
  <c r="AC32" i="91"/>
  <c r="AC23" i="91"/>
  <c r="AC43" i="91"/>
  <c r="AC27" i="91"/>
  <c r="AC30" i="91"/>
  <c r="AC37" i="91"/>
  <c r="AC40" i="91"/>
  <c r="AC44" i="91"/>
  <c r="AC29" i="91"/>
  <c r="AC14" i="91"/>
  <c r="AC39" i="91"/>
  <c r="AC36" i="91"/>
  <c r="CY4" i="91" l="1"/>
  <c r="CY5" i="91"/>
  <c r="CY11" i="91"/>
  <c r="CY17" i="91"/>
  <c r="CY23" i="91"/>
  <c r="CY29" i="91"/>
  <c r="CY35" i="91"/>
  <c r="CY41" i="91"/>
  <c r="CY15" i="91"/>
  <c r="CY39" i="91"/>
  <c r="CY6" i="91"/>
  <c r="CY12" i="91"/>
  <c r="CY18" i="91"/>
  <c r="CY24" i="91"/>
  <c r="CY30" i="91"/>
  <c r="CY36" i="91"/>
  <c r="CY42" i="91"/>
  <c r="CY7" i="91"/>
  <c r="CY13" i="91"/>
  <c r="CY19" i="91"/>
  <c r="CY25" i="91"/>
  <c r="CY31" i="91"/>
  <c r="CY37" i="91"/>
  <c r="CY43" i="91"/>
  <c r="CY8" i="91"/>
  <c r="CY14" i="91"/>
  <c r="CY20" i="91"/>
  <c r="CY26" i="91"/>
  <c r="CY32" i="91"/>
  <c r="CY38" i="91"/>
  <c r="CY44" i="91"/>
  <c r="CY9" i="91"/>
  <c r="CY21" i="91"/>
  <c r="CY27" i="91"/>
  <c r="CY33" i="91"/>
  <c r="CY45" i="91"/>
  <c r="CY10" i="91"/>
  <c r="CY16" i="91"/>
  <c r="CY22" i="91"/>
  <c r="CY28" i="91"/>
  <c r="CY34" i="91"/>
  <c r="CY40" i="91"/>
  <c r="DN4" i="91"/>
  <c r="DN5" i="91"/>
  <c r="DN11" i="91"/>
  <c r="DN17" i="91"/>
  <c r="DN23" i="91"/>
  <c r="DN29" i="91"/>
  <c r="DN35" i="91"/>
  <c r="DN41" i="91"/>
  <c r="DN8" i="91"/>
  <c r="DN14" i="91"/>
  <c r="DN20" i="91"/>
  <c r="DN26" i="91"/>
  <c r="DN32" i="91"/>
  <c r="DN38" i="91"/>
  <c r="DN44" i="91"/>
  <c r="DN9" i="91"/>
  <c r="DN15" i="91"/>
  <c r="DN21" i="91"/>
  <c r="DN27" i="91"/>
  <c r="DN33" i="91"/>
  <c r="DN39" i="91"/>
  <c r="DN45" i="91"/>
  <c r="DN10" i="91"/>
  <c r="DN16" i="91"/>
  <c r="DN22" i="91"/>
  <c r="DN28" i="91"/>
  <c r="DN34" i="91"/>
  <c r="DN40" i="91"/>
  <c r="DN6" i="91"/>
  <c r="DN12" i="91"/>
  <c r="DN18" i="91"/>
  <c r="DN24" i="91"/>
  <c r="DN30" i="91"/>
  <c r="DN36" i="91"/>
  <c r="DN42" i="91"/>
  <c r="DN7" i="91"/>
  <c r="DN13" i="91"/>
  <c r="DN19" i="91"/>
  <c r="DN25" i="91"/>
  <c r="DN31" i="91"/>
  <c r="DN37" i="91"/>
  <c r="DN43" i="91"/>
  <c r="CZ1" i="91"/>
  <c r="DO1" i="91"/>
  <c r="DB2" i="91"/>
  <c r="DQ2" i="91"/>
  <c r="BV2" i="91"/>
  <c r="BW1" i="91" s="1"/>
  <c r="BS41" i="91"/>
  <c r="BS38" i="91"/>
  <c r="BS9" i="91"/>
  <c r="BS42" i="91"/>
  <c r="BS39" i="91"/>
  <c r="BS32" i="91"/>
  <c r="BS25" i="91"/>
  <c r="BS45" i="91"/>
  <c r="BS8" i="91"/>
  <c r="BS19" i="91"/>
  <c r="BS27" i="91"/>
  <c r="BS43" i="91"/>
  <c r="BS7" i="91"/>
  <c r="BS30" i="91"/>
  <c r="BS29" i="91"/>
  <c r="BS34" i="91"/>
  <c r="BS21" i="91"/>
  <c r="BS37" i="91"/>
  <c r="BS44" i="91"/>
  <c r="BS24" i="91"/>
  <c r="BS17" i="91"/>
  <c r="BS22" i="91"/>
  <c r="BS15" i="91"/>
  <c r="BS31" i="91"/>
  <c r="BS26" i="91"/>
  <c r="BS12" i="91"/>
  <c r="BS11" i="91"/>
  <c r="BS16" i="91"/>
  <c r="BS6" i="91"/>
  <c r="BS5" i="91"/>
  <c r="BS10" i="91"/>
  <c r="BS33" i="91"/>
  <c r="BS20" i="91"/>
  <c r="BS13" i="91"/>
  <c r="BS36" i="91"/>
  <c r="BS35" i="91"/>
  <c r="BS14" i="91"/>
  <c r="BS18" i="91"/>
  <c r="BS23" i="91"/>
  <c r="BS40" i="91"/>
  <c r="BS4" i="91"/>
  <c r="BS28" i="91"/>
  <c r="DB4" i="91" l="1"/>
  <c r="DB5" i="91"/>
  <c r="DB11" i="91"/>
  <c r="DB17" i="91"/>
  <c r="DB23" i="91"/>
  <c r="DB29" i="91"/>
  <c r="DB35" i="91"/>
  <c r="DB41" i="91"/>
  <c r="DB8" i="91"/>
  <c r="DB14" i="91"/>
  <c r="DB20" i="91"/>
  <c r="DB26" i="91"/>
  <c r="DB32" i="91"/>
  <c r="DB38" i="91"/>
  <c r="DB44" i="91"/>
  <c r="DB9" i="91"/>
  <c r="DB15" i="91"/>
  <c r="DB21" i="91"/>
  <c r="DB27" i="91"/>
  <c r="DB33" i="91"/>
  <c r="DB39" i="91"/>
  <c r="DB45" i="91"/>
  <c r="DB10" i="91"/>
  <c r="DB16" i="91"/>
  <c r="DB22" i="91"/>
  <c r="DB28" i="91"/>
  <c r="DB34" i="91"/>
  <c r="DB40" i="91"/>
  <c r="DB6" i="91"/>
  <c r="DB12" i="91"/>
  <c r="DB18" i="91"/>
  <c r="DB24" i="91"/>
  <c r="DB30" i="91"/>
  <c r="DB36" i="91"/>
  <c r="DB42" i="91"/>
  <c r="DB7" i="91"/>
  <c r="DB13" i="91"/>
  <c r="DB19" i="91"/>
  <c r="DB25" i="91"/>
  <c r="DB31" i="91"/>
  <c r="DB37" i="91"/>
  <c r="DB43" i="91"/>
  <c r="DQ4" i="91"/>
  <c r="DQ5" i="91"/>
  <c r="DQ11" i="91"/>
  <c r="DQ17" i="91"/>
  <c r="DQ23" i="91"/>
  <c r="DQ29" i="91"/>
  <c r="DQ35" i="91"/>
  <c r="DQ41" i="91"/>
  <c r="DQ15" i="91"/>
  <c r="DQ33" i="91"/>
  <c r="DQ45" i="91"/>
  <c r="DQ6" i="91"/>
  <c r="DQ12" i="91"/>
  <c r="DQ18" i="91"/>
  <c r="DQ24" i="91"/>
  <c r="DQ30" i="91"/>
  <c r="DQ36" i="91"/>
  <c r="DQ42" i="91"/>
  <c r="DQ7" i="91"/>
  <c r="DQ13" i="91"/>
  <c r="DQ19" i="91"/>
  <c r="DQ25" i="91"/>
  <c r="DQ31" i="91"/>
  <c r="DQ37" i="91"/>
  <c r="DQ43" i="91"/>
  <c r="DQ8" i="91"/>
  <c r="DQ14" i="91"/>
  <c r="DQ20" i="91"/>
  <c r="DQ26" i="91"/>
  <c r="DQ32" i="91"/>
  <c r="DQ38" i="91"/>
  <c r="DQ44" i="91"/>
  <c r="DQ9" i="91"/>
  <c r="DQ21" i="91"/>
  <c r="DQ27" i="91"/>
  <c r="DQ39" i="91"/>
  <c r="DQ10" i="91"/>
  <c r="DQ16" i="91"/>
  <c r="DQ22" i="91"/>
  <c r="DQ28" i="91"/>
  <c r="DQ34" i="91"/>
  <c r="DQ40" i="91"/>
  <c r="DC1" i="91"/>
  <c r="DR1" i="91"/>
  <c r="DE2" i="91"/>
  <c r="BY2" i="91"/>
  <c r="BZ1" i="91" s="1"/>
  <c r="BV25" i="91"/>
  <c r="BV19" i="91"/>
  <c r="BV7" i="91"/>
  <c r="BV24" i="91"/>
  <c r="BV42" i="91"/>
  <c r="BV31" i="91"/>
  <c r="BV41" i="91"/>
  <c r="BV28" i="91"/>
  <c r="BV22" i="91"/>
  <c r="BV10" i="91"/>
  <c r="BV30" i="91"/>
  <c r="BV45" i="91"/>
  <c r="BV6" i="91"/>
  <c r="BV33" i="91"/>
  <c r="BV34" i="91"/>
  <c r="BV21" i="91"/>
  <c r="BV9" i="91"/>
  <c r="BV12" i="91"/>
  <c r="BV16" i="91"/>
  <c r="BV38" i="91"/>
  <c r="BV36" i="91"/>
  <c r="BV23" i="91"/>
  <c r="BV11" i="91"/>
  <c r="BV20" i="91"/>
  <c r="BV39" i="91"/>
  <c r="BV14" i="91"/>
  <c r="BV8" i="91"/>
  <c r="BV5" i="91"/>
  <c r="BV35" i="91"/>
  <c r="BV15" i="91"/>
  <c r="BV29" i="91"/>
  <c r="BV44" i="91"/>
  <c r="BV43" i="91"/>
  <c r="BV26" i="91"/>
  <c r="BV37" i="91"/>
  <c r="BV18" i="91"/>
  <c r="BV40" i="91"/>
  <c r="BV4" i="91"/>
  <c r="BV27" i="91"/>
  <c r="BV32" i="91"/>
  <c r="BV17" i="91"/>
  <c r="BV13" i="91"/>
  <c r="DE4" i="91" l="1"/>
  <c r="DE5" i="91"/>
  <c r="DE11" i="91"/>
  <c r="DE17" i="91"/>
  <c r="DE23" i="91"/>
  <c r="DE29" i="91"/>
  <c r="DE35" i="91"/>
  <c r="DE41" i="91"/>
  <c r="DE15" i="91"/>
  <c r="DE33" i="91"/>
  <c r="DE45" i="91"/>
  <c r="DE6" i="91"/>
  <c r="DE12" i="91"/>
  <c r="DE18" i="91"/>
  <c r="DE24" i="91"/>
  <c r="DE30" i="91"/>
  <c r="DE36" i="91"/>
  <c r="DE42" i="91"/>
  <c r="DE7" i="91"/>
  <c r="DE13" i="91"/>
  <c r="DE19" i="91"/>
  <c r="DE25" i="91"/>
  <c r="DE31" i="91"/>
  <c r="DE37" i="91"/>
  <c r="DE43" i="91"/>
  <c r="DE8" i="91"/>
  <c r="DE14" i="91"/>
  <c r="DE20" i="91"/>
  <c r="DE26" i="91"/>
  <c r="DE32" i="91"/>
  <c r="DE38" i="91"/>
  <c r="DE44" i="91"/>
  <c r="DE9" i="91"/>
  <c r="DE21" i="91"/>
  <c r="DE27" i="91"/>
  <c r="DE39" i="91"/>
  <c r="DE10" i="91"/>
  <c r="DE16" i="91"/>
  <c r="DE22" i="91"/>
  <c r="DE28" i="91"/>
  <c r="DE34" i="91"/>
  <c r="DE40" i="91"/>
  <c r="DF1" i="91"/>
  <c r="DH2" i="91"/>
  <c r="BY5" i="91"/>
  <c r="BY43" i="91"/>
  <c r="BY8" i="91"/>
  <c r="BY22" i="91"/>
  <c r="BY19" i="91"/>
  <c r="BY29" i="91"/>
  <c r="BY11" i="91"/>
  <c r="BY38" i="91"/>
  <c r="BY45" i="91"/>
  <c r="BY30" i="91"/>
  <c r="BY33" i="91"/>
  <c r="BY9" i="91"/>
  <c r="BY28" i="91"/>
  <c r="BY14" i="91"/>
  <c r="BY25" i="91"/>
  <c r="BY21" i="91"/>
  <c r="BY6" i="91"/>
  <c r="BY17" i="91"/>
  <c r="BY34" i="91"/>
  <c r="BY7" i="91"/>
  <c r="BY26" i="91"/>
  <c r="BY41" i="91"/>
  <c r="BY4" i="91"/>
  <c r="BY13" i="91"/>
  <c r="BY24" i="91"/>
  <c r="BY16" i="91"/>
  <c r="BY18" i="91"/>
  <c r="BY12" i="91"/>
  <c r="BY44" i="91"/>
  <c r="BY42" i="91"/>
  <c r="BY23" i="91"/>
  <c r="BY15" i="91"/>
  <c r="BY32" i="91"/>
  <c r="BY39" i="91"/>
  <c r="BY36" i="91"/>
  <c r="BY27" i="91"/>
  <c r="BY31" i="91"/>
  <c r="BY35" i="91"/>
  <c r="BY10" i="91"/>
  <c r="BY20" i="91"/>
  <c r="BY40" i="91"/>
  <c r="BY37" i="91"/>
  <c r="CB2" i="91"/>
  <c r="CB10" i="91" s="1"/>
  <c r="DH4" i="91" l="1"/>
  <c r="DH5" i="91"/>
  <c r="DH11" i="91"/>
  <c r="DH17" i="91"/>
  <c r="DH23" i="91"/>
  <c r="DH29" i="91"/>
  <c r="DH35" i="91"/>
  <c r="DH41" i="91"/>
  <c r="DH15" i="91"/>
  <c r="DH33" i="91"/>
  <c r="DH45" i="91"/>
  <c r="DH6" i="91"/>
  <c r="DH12" i="91"/>
  <c r="DH18" i="91"/>
  <c r="DH24" i="91"/>
  <c r="DH30" i="91"/>
  <c r="DH36" i="91"/>
  <c r="DH42" i="91"/>
  <c r="DH7" i="91"/>
  <c r="DH13" i="91"/>
  <c r="DH19" i="91"/>
  <c r="DH25" i="91"/>
  <c r="DH31" i="91"/>
  <c r="DH37" i="91"/>
  <c r="DH43" i="91"/>
  <c r="DH8" i="91"/>
  <c r="DH14" i="91"/>
  <c r="DH20" i="91"/>
  <c r="DH26" i="91"/>
  <c r="DH32" i="91"/>
  <c r="DH38" i="91"/>
  <c r="DH44" i="91"/>
  <c r="DH9" i="91"/>
  <c r="DH21" i="91"/>
  <c r="DH27" i="91"/>
  <c r="DH39" i="91"/>
  <c r="DH10" i="91"/>
  <c r="DH16" i="91"/>
  <c r="DH22" i="91"/>
  <c r="DH28" i="91"/>
  <c r="DH34" i="91"/>
  <c r="DH40" i="91"/>
  <c r="DI1" i="91"/>
  <c r="CB4" i="91"/>
  <c r="CB28" i="91"/>
  <c r="CB22" i="91"/>
  <c r="CB27" i="91"/>
  <c r="CB21" i="91"/>
  <c r="CB44" i="91"/>
  <c r="CB34" i="91"/>
  <c r="CB12" i="91"/>
  <c r="CB29" i="91"/>
  <c r="CB45" i="91"/>
  <c r="CC1" i="91"/>
  <c r="CB39" i="91"/>
  <c r="CB17" i="91"/>
  <c r="CB8" i="91"/>
  <c r="CB20" i="91"/>
  <c r="CB18" i="91"/>
  <c r="CB42" i="91"/>
  <c r="CB26" i="91"/>
  <c r="CB23" i="91"/>
  <c r="CB19" i="91"/>
  <c r="CB15" i="91"/>
  <c r="CB33" i="91"/>
  <c r="CB5" i="91"/>
  <c r="CB37" i="91"/>
  <c r="CB9" i="91"/>
  <c r="CB14" i="91"/>
  <c r="CB40" i="91"/>
  <c r="CB6" i="91"/>
  <c r="CB31" i="91"/>
  <c r="CB16" i="91"/>
  <c r="CB24" i="91"/>
  <c r="CB13" i="91"/>
  <c r="CB32" i="91"/>
  <c r="CB41" i="91"/>
  <c r="CB36" i="91"/>
  <c r="CB25" i="91"/>
  <c r="CB38" i="91"/>
  <c r="CB11" i="91"/>
  <c r="CB43" i="91"/>
  <c r="CB35" i="91"/>
  <c r="CB30" i="91"/>
  <c r="CB7" i="91"/>
  <c r="CE4" i="91"/>
  <c r="CE5" i="91"/>
  <c r="CE11" i="91"/>
  <c r="CE17" i="91"/>
  <c r="CE23" i="91"/>
  <c r="CE29" i="91"/>
  <c r="CE35" i="91"/>
  <c r="CE41" i="91"/>
  <c r="CE27" i="91"/>
  <c r="CE45" i="91"/>
  <c r="CE6" i="91"/>
  <c r="CE12" i="91"/>
  <c r="CE18" i="91"/>
  <c r="CE24" i="91"/>
  <c r="CE30" i="91"/>
  <c r="CE36" i="91"/>
  <c r="CE42" i="91"/>
  <c r="CE21" i="91"/>
  <c r="CE7" i="91"/>
  <c r="CE13" i="91"/>
  <c r="CE19" i="91"/>
  <c r="CE25" i="91"/>
  <c r="CE31" i="91"/>
  <c r="CE37" i="91"/>
  <c r="CE43" i="91"/>
  <c r="CE8" i="91"/>
  <c r="CE14" i="91"/>
  <c r="CE20" i="91"/>
  <c r="CE26" i="91"/>
  <c r="CE32" i="91"/>
  <c r="CE38" i="91"/>
  <c r="CE44" i="91"/>
  <c r="CE9" i="91"/>
  <c r="CE33" i="91"/>
  <c r="CE10" i="91"/>
  <c r="CE16" i="91"/>
  <c r="CE22" i="91"/>
  <c r="CE28" i="91"/>
  <c r="CE34" i="91"/>
  <c r="CE40" i="91"/>
  <c r="CE15" i="91"/>
  <c r="CE39" i="91"/>
  <c r="CF1" i="91"/>
  <c r="B3" i="15" l="1"/>
  <c r="BF2" i="15"/>
  <c r="BE2" i="15"/>
  <c r="BD2" i="15"/>
  <c r="BC2" i="15"/>
  <c r="BB2" i="15"/>
  <c r="BA2" i="15"/>
  <c r="AZ2" i="15"/>
  <c r="AY2" i="15"/>
  <c r="AX2" i="15"/>
  <c r="AW2" i="15"/>
  <c r="AV2" i="15"/>
  <c r="AU2" i="15"/>
  <c r="AT2" i="15"/>
  <c r="AS2" i="15"/>
  <c r="AR2" i="15"/>
  <c r="AQ2" i="15"/>
  <c r="AP2" i="15"/>
  <c r="AO2" i="15"/>
  <c r="AN2" i="15"/>
  <c r="AM2" i="15"/>
  <c r="AL2" i="15"/>
  <c r="AK2" i="15"/>
  <c r="AJ2" i="15"/>
  <c r="AI2" i="15"/>
  <c r="AH2" i="15"/>
  <c r="AG2" i="15"/>
  <c r="AF2" i="15"/>
  <c r="AE2" i="15"/>
  <c r="AD2" i="15"/>
  <c r="AC2" i="15"/>
  <c r="AB2" i="15"/>
  <c r="AA2" i="15"/>
  <c r="Z2" i="15"/>
  <c r="Y2" i="15"/>
  <c r="X2" i="15"/>
  <c r="W2" i="15"/>
  <c r="V2" i="15"/>
  <c r="U2" i="15"/>
  <c r="T2" i="15"/>
  <c r="S2" i="15"/>
  <c r="R2" i="15"/>
  <c r="Q2" i="15"/>
  <c r="P2" i="15"/>
  <c r="O2" i="15"/>
  <c r="N2" i="15"/>
  <c r="M2" i="15"/>
  <c r="L2" i="15"/>
  <c r="K2" i="15"/>
  <c r="J2" i="15"/>
  <c r="I2" i="15"/>
  <c r="H2" i="15"/>
  <c r="G2" i="15"/>
  <c r="F2" i="15"/>
  <c r="E2" i="15"/>
  <c r="D2" i="15"/>
  <c r="B2" i="15"/>
  <c r="BF1" i="15"/>
  <c r="BE1" i="15"/>
  <c r="BD1" i="15"/>
  <c r="BC1" i="15"/>
  <c r="BB1" i="15"/>
  <c r="BA1" i="15"/>
  <c r="AZ1" i="15"/>
  <c r="AY1" i="15"/>
  <c r="AX1" i="15"/>
  <c r="AW1" i="15"/>
  <c r="AV1" i="15"/>
  <c r="AU1" i="15"/>
  <c r="AT1" i="15"/>
  <c r="AS1" i="15"/>
  <c r="AR1" i="15"/>
  <c r="AQ1" i="15"/>
  <c r="AP1" i="15"/>
  <c r="AO1" i="15"/>
  <c r="AN1" i="15"/>
  <c r="AM1" i="15"/>
  <c r="AL1" i="15"/>
  <c r="AK1" i="15"/>
  <c r="AJ1" i="15"/>
  <c r="AI1" i="15"/>
  <c r="AH1" i="15"/>
  <c r="AG1" i="15"/>
  <c r="AF1" i="15"/>
  <c r="AE1" i="15"/>
  <c r="AD1" i="15"/>
  <c r="AC1" i="15"/>
  <c r="AB1" i="15"/>
  <c r="AA1" i="15"/>
  <c r="Z1" i="15"/>
  <c r="Y1" i="15"/>
  <c r="X1" i="15"/>
  <c r="W1" i="15"/>
  <c r="V1" i="15"/>
  <c r="U1" i="15"/>
  <c r="T1" i="15"/>
  <c r="S1" i="15"/>
  <c r="R1" i="15"/>
  <c r="Q1" i="15"/>
  <c r="P1" i="15"/>
  <c r="O1" i="15"/>
  <c r="N1" i="15"/>
  <c r="M1" i="15"/>
  <c r="L1" i="15"/>
  <c r="K1" i="15"/>
  <c r="J1" i="15"/>
  <c r="I1" i="15"/>
  <c r="H1" i="15"/>
  <c r="G1" i="15"/>
  <c r="F1" i="15"/>
  <c r="E1" i="15"/>
  <c r="D1" i="15"/>
  <c r="B1" i="15"/>
  <c r="E1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<sst xmlns="http://schemas.openxmlformats.org/spreadsheetml/2006/main" count="2301" uniqueCount="1338">
  <si>
    <t>START DATE</t>
  </si>
  <si>
    <t>HISTORY</t>
  </si>
  <si>
    <t>END DATE</t>
  </si>
  <si>
    <t>PERIOD</t>
  </si>
  <si>
    <t>TICKER</t>
  </si>
  <si>
    <t>COUNTRY</t>
  </si>
  <si>
    <t>US</t>
  </si>
  <si>
    <t>FIELD</t>
  </si>
  <si>
    <t>PX_LAST</t>
  </si>
  <si>
    <t>EU</t>
  </si>
  <si>
    <t>GB</t>
  </si>
  <si>
    <t>JP</t>
  </si>
  <si>
    <t>BR</t>
  </si>
  <si>
    <t>RU</t>
  </si>
  <si>
    <t>IN</t>
  </si>
  <si>
    <t>CN</t>
  </si>
  <si>
    <t>USA</t>
  </si>
  <si>
    <t>UNITED KINGDOM</t>
  </si>
  <si>
    <t>Eurozone</t>
  </si>
  <si>
    <t>GERMANY</t>
  </si>
  <si>
    <t>DE</t>
  </si>
  <si>
    <t>FRANCE</t>
  </si>
  <si>
    <t>FR</t>
  </si>
  <si>
    <t>NETHERLANDS</t>
  </si>
  <si>
    <t>NL</t>
  </si>
  <si>
    <t>SPAIN</t>
  </si>
  <si>
    <t>ES</t>
  </si>
  <si>
    <t>ITALY</t>
  </si>
  <si>
    <t>IT</t>
  </si>
  <si>
    <t>BELGIUM</t>
  </si>
  <si>
    <t>BE</t>
  </si>
  <si>
    <t>IRELAND</t>
  </si>
  <si>
    <t>IE</t>
  </si>
  <si>
    <t>AUSTRIA</t>
  </si>
  <si>
    <t>AT</t>
  </si>
  <si>
    <t>PORTUGAL</t>
  </si>
  <si>
    <t>PT</t>
  </si>
  <si>
    <t>SWITZERLAND</t>
  </si>
  <si>
    <t>CH</t>
  </si>
  <si>
    <t>SWEDEN</t>
  </si>
  <si>
    <t>SE</t>
  </si>
  <si>
    <t>DENMARK</t>
  </si>
  <si>
    <t>DK</t>
  </si>
  <si>
    <t>FINLAND</t>
  </si>
  <si>
    <t>FI</t>
  </si>
  <si>
    <t>NORWAY</t>
  </si>
  <si>
    <t>NO</t>
  </si>
  <si>
    <t>JAPAN</t>
  </si>
  <si>
    <t>AUSTRALIA</t>
  </si>
  <si>
    <t>AU</t>
  </si>
  <si>
    <t>HONG KONG</t>
  </si>
  <si>
    <t>HK</t>
  </si>
  <si>
    <t>SINGAPORE</t>
  </si>
  <si>
    <t>SG</t>
  </si>
  <si>
    <t>NEW ZEALAND</t>
  </si>
  <si>
    <t>NZ</t>
  </si>
  <si>
    <t>CANADA</t>
  </si>
  <si>
    <t>CA</t>
  </si>
  <si>
    <t>CHINA</t>
  </si>
  <si>
    <t>KOREA</t>
  </si>
  <si>
    <t>KR</t>
  </si>
  <si>
    <t>TAIWAN</t>
  </si>
  <si>
    <t>TW</t>
  </si>
  <si>
    <t>INDIA</t>
  </si>
  <si>
    <t>MALAYSIA</t>
  </si>
  <si>
    <t>MY</t>
  </si>
  <si>
    <t>INDONESIA</t>
  </si>
  <si>
    <t>ID</t>
  </si>
  <si>
    <t>THAILAND</t>
  </si>
  <si>
    <t>TH</t>
  </si>
  <si>
    <t>PHILIPPINES</t>
  </si>
  <si>
    <t>PH</t>
  </si>
  <si>
    <t>RUSSIA</t>
  </si>
  <si>
    <t>TURKEY</t>
  </si>
  <si>
    <t>TR</t>
  </si>
  <si>
    <t>POLAND</t>
  </si>
  <si>
    <t>PL</t>
  </si>
  <si>
    <t>GREECE</t>
  </si>
  <si>
    <t>GR</t>
  </si>
  <si>
    <t>HUNGARY</t>
  </si>
  <si>
    <t>HU</t>
  </si>
  <si>
    <t>CZECH REPUBLIC</t>
  </si>
  <si>
    <t>CZ</t>
  </si>
  <si>
    <t>BRAZIL</t>
  </si>
  <si>
    <t>MEXICO</t>
  </si>
  <si>
    <t>MX</t>
  </si>
  <si>
    <t>CHILE</t>
  </si>
  <si>
    <t>CL</t>
  </si>
  <si>
    <t>COLOMBIA</t>
  </si>
  <si>
    <t>CO</t>
  </si>
  <si>
    <t>SOUTH AFRICA</t>
  </si>
  <si>
    <t>ZA</t>
  </si>
  <si>
    <t>REFERENCE</t>
  </si>
  <si>
    <t>NAME</t>
  </si>
  <si>
    <t>MPMIGLMA Index</t>
  </si>
  <si>
    <t>MPMIGLSA Index</t>
  </si>
  <si>
    <t>MPMIGLCA Index</t>
  </si>
  <si>
    <t>MPMIDMMA Index</t>
  </si>
  <si>
    <t>MPMIEMMA Index</t>
  </si>
  <si>
    <t>MPMIEMSA Index</t>
  </si>
  <si>
    <t>MPMIEMCA Index</t>
  </si>
  <si>
    <t>MPMIUSMA Index</t>
  </si>
  <si>
    <t>MPMIUSSA Index</t>
  </si>
  <si>
    <t>MPMIUSCA Index</t>
  </si>
  <si>
    <t>MPMIGBMA Index</t>
  </si>
  <si>
    <t>MPMIGBSA Index</t>
  </si>
  <si>
    <t>MPMIGBCA Index</t>
  </si>
  <si>
    <t>MPMIJPMA Index</t>
  </si>
  <si>
    <t>MPMIJPSA Index</t>
  </si>
  <si>
    <t>MPMIJPCA Index</t>
  </si>
  <si>
    <t>MPMICAMA Index</t>
  </si>
  <si>
    <t>MPMIEZMA Index</t>
  </si>
  <si>
    <t>MPMIEZSA Index</t>
  </si>
  <si>
    <t>MPMIEZCA Index</t>
  </si>
  <si>
    <t>MPMIDEMA Index</t>
  </si>
  <si>
    <t>MPMIDESA Index</t>
  </si>
  <si>
    <t>MPMIDECA Index</t>
  </si>
  <si>
    <t>MPMIFRMA Index</t>
  </si>
  <si>
    <t>MPMIFRSA Index</t>
  </si>
  <si>
    <t>MPMIFRCA Index</t>
  </si>
  <si>
    <t>MPMINLMA Index</t>
  </si>
  <si>
    <t>MPMIESMA Index</t>
  </si>
  <si>
    <t>MPMIESSA Index</t>
  </si>
  <si>
    <t>MPMIESCA Index</t>
  </si>
  <si>
    <t>MPMIITMA Index</t>
  </si>
  <si>
    <t>MPMIITSA Index</t>
  </si>
  <si>
    <t>MPMIITCA Index</t>
  </si>
  <si>
    <t>MPMIIEMA Index</t>
  </si>
  <si>
    <t>MPMIIESA Index</t>
  </si>
  <si>
    <t>MPMIIECA Index</t>
  </si>
  <si>
    <t>MPMIATMA Index</t>
  </si>
  <si>
    <t>MPMICNMA Index</t>
  </si>
  <si>
    <t>MPMICNSA Index</t>
  </si>
  <si>
    <t>MPMICNCA Index</t>
  </si>
  <si>
    <t>MPMIKRMA Index</t>
  </si>
  <si>
    <t>MPMITWMA Index</t>
  </si>
  <si>
    <t>MPMIINMA Index</t>
  </si>
  <si>
    <t>MPMIINSA Index</t>
  </si>
  <si>
    <t>MPMIINCA Index</t>
  </si>
  <si>
    <t>MPMIIDMA Index</t>
  </si>
  <si>
    <t>MPMIRUMA Index</t>
  </si>
  <si>
    <t>MPMIRUSA Index</t>
  </si>
  <si>
    <t>MPMIRUCA Index</t>
  </si>
  <si>
    <t>MPMITRMA Index</t>
  </si>
  <si>
    <t>MPMIPLMA Index</t>
  </si>
  <si>
    <t>MPMIGRMA Index</t>
  </si>
  <si>
    <t>MPMICZMA Index</t>
  </si>
  <si>
    <t>MPMIBRMA Index</t>
  </si>
  <si>
    <t>MPMIBRSA Index</t>
  </si>
  <si>
    <t>MPMIBRCA Index</t>
  </si>
  <si>
    <t>MPMIMXMA Index</t>
  </si>
  <si>
    <t>CURRENCY</t>
  </si>
  <si>
    <t>MONTHLY</t>
  </si>
  <si>
    <t>NAPMPMI Index</t>
  </si>
  <si>
    <t>CPMINDX Index</t>
  </si>
  <si>
    <t>NAPMNMI Index</t>
  </si>
  <si>
    <t>CPMINMAN Index</t>
  </si>
  <si>
    <t>USGG10YR Index</t>
  </si>
  <si>
    <t>GUKG10 Index</t>
  </si>
  <si>
    <t>GJGB10 Index</t>
  </si>
  <si>
    <t>GDBR10 Index</t>
  </si>
  <si>
    <t>USGGBE10 Index</t>
  </si>
  <si>
    <t>UKGRABIY Index</t>
  </si>
  <si>
    <t>UKGGBE10 Index</t>
  </si>
  <si>
    <t>EUGNEMUY Index</t>
  </si>
  <si>
    <t>EUSWSB10 Index</t>
  </si>
  <si>
    <t>ECCPEMUY Index</t>
  </si>
  <si>
    <t>JNCPIYOY Index</t>
  </si>
  <si>
    <t>USGG2YR Index</t>
  </si>
  <si>
    <t>GDBR2 Index</t>
  </si>
  <si>
    <t>GUKG2 Index</t>
  </si>
  <si>
    <t>GJGB2 Index</t>
  </si>
  <si>
    <t>NOK</t>
  </si>
  <si>
    <t>HKD</t>
  </si>
  <si>
    <t>CHF</t>
  </si>
  <si>
    <t>USD</t>
  </si>
  <si>
    <t>JPY</t>
  </si>
  <si>
    <t>GBP</t>
  </si>
  <si>
    <t>EUR</t>
  </si>
  <si>
    <t>PHP</t>
  </si>
  <si>
    <t>ZAR</t>
  </si>
  <si>
    <t>INR</t>
  </si>
  <si>
    <t>TWD</t>
  </si>
  <si>
    <t>IDR</t>
  </si>
  <si>
    <t>THB</t>
  </si>
  <si>
    <t>CLP</t>
  </si>
  <si>
    <t>BRL</t>
  </si>
  <si>
    <t>CAD</t>
  </si>
  <si>
    <t>MYR</t>
  </si>
  <si>
    <t>TRY</t>
  </si>
  <si>
    <t>MXN</t>
  </si>
  <si>
    <t>SEK</t>
  </si>
  <si>
    <t>PLN</t>
  </si>
  <si>
    <t>RUB</t>
  </si>
  <si>
    <t>AUD</t>
  </si>
  <si>
    <t>KRW</t>
  </si>
  <si>
    <t>DKK</t>
  </si>
  <si>
    <t>SGD</t>
  </si>
  <si>
    <t>NZD</t>
  </si>
  <si>
    <t>COP</t>
  </si>
  <si>
    <t>CZK</t>
  </si>
  <si>
    <t>HUF</t>
  </si>
  <si>
    <t>LONG_COMP_NAME</t>
  </si>
  <si>
    <t>PRICE</t>
  </si>
  <si>
    <t>BBG Ticker</t>
  </si>
  <si>
    <t>Index Weight</t>
  </si>
  <si>
    <t>Company Name</t>
  </si>
  <si>
    <t>GICS Sector Classification</t>
  </si>
  <si>
    <t>GICS_SECTOR_NAME</t>
  </si>
  <si>
    <t>HSBA LN EQUITY</t>
  </si>
  <si>
    <t>BP/ LN EQUITY</t>
  </si>
  <si>
    <t>RDSA LN EQUITY</t>
  </si>
  <si>
    <t>BATS LN EQUITY</t>
  </si>
  <si>
    <t>RDSB LN EQUITY</t>
  </si>
  <si>
    <t>GSK LN EQUITY</t>
  </si>
  <si>
    <t>VOD LN EQUITY</t>
  </si>
  <si>
    <t>AZN LN EQUITY</t>
  </si>
  <si>
    <t>DGE LN EQUITY</t>
  </si>
  <si>
    <t>RB/ LN EQUITY</t>
  </si>
  <si>
    <t>ULVR LN EQUITY</t>
  </si>
  <si>
    <t>NG/ LN EQUITY</t>
  </si>
  <si>
    <t>IMB LN EQUITY</t>
  </si>
  <si>
    <t>LLOY LN EQUITY</t>
  </si>
  <si>
    <t>PRU LN EQUITY</t>
  </si>
  <si>
    <t>RIO LN EQUITY</t>
  </si>
  <si>
    <t>BARC LN EQUITY</t>
  </si>
  <si>
    <t>BT/A LN EQUITY</t>
  </si>
  <si>
    <t>GLEN LN EQUITY</t>
  </si>
  <si>
    <t>CPG LN EQUITY</t>
  </si>
  <si>
    <t>STAN LN EQUITY</t>
  </si>
  <si>
    <t>WPP LN EQUITY</t>
  </si>
  <si>
    <t>AV/ LN EQUITY</t>
  </si>
  <si>
    <t>TSCO LN EQUITY</t>
  </si>
  <si>
    <t>BA/ LN EQUITY</t>
  </si>
  <si>
    <t>REL LN EQUITY</t>
  </si>
  <si>
    <t>SSE LN EQUITY</t>
  </si>
  <si>
    <t>AAL LN EQUITY</t>
  </si>
  <si>
    <t>EXPN LN EQUITY</t>
  </si>
  <si>
    <t>RR/ LN EQUITY</t>
  </si>
  <si>
    <t>LGEN LN EQUITY</t>
  </si>
  <si>
    <t>CNA LN EQUITY</t>
  </si>
  <si>
    <t>SN/ LN EQUITY</t>
  </si>
  <si>
    <t>LSE LN EQUITY</t>
  </si>
  <si>
    <t>ABF LN EQUITY</t>
  </si>
  <si>
    <t>LAND LN EQUITY</t>
  </si>
  <si>
    <t>SGE LN EQUITY</t>
  </si>
  <si>
    <t>BNZL LN EQUITY</t>
  </si>
  <si>
    <t>CCL LN EQUITY</t>
  </si>
  <si>
    <t>NXT LN EQUITY</t>
  </si>
  <si>
    <t>RBS LN EQUITY</t>
  </si>
  <si>
    <t>WTB LN EQUITY</t>
  </si>
  <si>
    <t>JMAT LN EQUITY</t>
  </si>
  <si>
    <t>BRBY LN EQUITY</t>
  </si>
  <si>
    <t>III LN EQUITY</t>
  </si>
  <si>
    <t>UU/ LN EQUITY</t>
  </si>
  <si>
    <t>AHT LN EQUITY</t>
  </si>
  <si>
    <t>PSON LN EQUITY</t>
  </si>
  <si>
    <t>ITV LN EQUITY</t>
  </si>
  <si>
    <t>IHG LN EQUITY</t>
  </si>
  <si>
    <t>MNDI LN EQUITY</t>
  </si>
  <si>
    <t>DCC LN EQUITY</t>
  </si>
  <si>
    <t>BLND LN EQUITY</t>
  </si>
  <si>
    <t>SMIN LN EQUITY</t>
  </si>
  <si>
    <t>RSA LN EQUITY</t>
  </si>
  <si>
    <t>ITRK LN EQUITY</t>
  </si>
  <si>
    <t>SVT LN EQUITY</t>
  </si>
  <si>
    <t>PSN LN EQUITY</t>
  </si>
  <si>
    <t>STJ LN EQUITY</t>
  </si>
  <si>
    <t>MRW LN EQUITY</t>
  </si>
  <si>
    <t>TW/ LN EQUITY</t>
  </si>
  <si>
    <t>CRDA LN EQUITY</t>
  </si>
  <si>
    <t>BDEV LN EQUITY</t>
  </si>
  <si>
    <t>SBRY LN EQUITY</t>
  </si>
  <si>
    <t>ADM LN EQUITY</t>
  </si>
  <si>
    <t>SDR LN EQUITY</t>
  </si>
  <si>
    <t>AUTO LN EQUITY</t>
  </si>
  <si>
    <t>SGRO LN EQUITY</t>
  </si>
  <si>
    <t>MGGT LN EQUITY</t>
  </si>
  <si>
    <t>CCH LN EQUITY</t>
  </si>
  <si>
    <t>BKG LN EQUITY</t>
  </si>
  <si>
    <t>HL/ LN EQUITY</t>
  </si>
  <si>
    <t>ANTO LN EQUITY</t>
  </si>
  <si>
    <t>EZJ LN EQUITY</t>
  </si>
  <si>
    <t>HSBC Holdings PLC</t>
  </si>
  <si>
    <t>Financials</t>
  </si>
  <si>
    <t>BP PLC</t>
  </si>
  <si>
    <t>Energy</t>
  </si>
  <si>
    <t>Royal Dutch Shell PLC</t>
  </si>
  <si>
    <t>British American Tobacco PLC</t>
  </si>
  <si>
    <t>Consumer Staples</t>
  </si>
  <si>
    <t>GlaxoSmithKline PLC</t>
  </si>
  <si>
    <t>Health Care</t>
  </si>
  <si>
    <t>Vodafone Group PLC</t>
  </si>
  <si>
    <t>AstraZeneca PLC</t>
  </si>
  <si>
    <t>Diageo PLC</t>
  </si>
  <si>
    <t>Reckitt Benckiser Group PLC</t>
  </si>
  <si>
    <t>Unilever PLC</t>
  </si>
  <si>
    <t>National Grid PLC</t>
  </si>
  <si>
    <t>Utilities</t>
  </si>
  <si>
    <t>Imperial Brands PLC</t>
  </si>
  <si>
    <t>Lloyds Banking Group PLC</t>
  </si>
  <si>
    <t>Prudential PLC</t>
  </si>
  <si>
    <t>Rio Tinto PLC</t>
  </si>
  <si>
    <t>Materials</t>
  </si>
  <si>
    <t>Barclays PLC</t>
  </si>
  <si>
    <t>BT Group PLC</t>
  </si>
  <si>
    <t>Glencore PLC</t>
  </si>
  <si>
    <t>Compass Group PLC</t>
  </si>
  <si>
    <t>Consumer Discretionary</t>
  </si>
  <si>
    <t>WPP PLC</t>
  </si>
  <si>
    <t>CRH PLC</t>
  </si>
  <si>
    <t>Standard Chartered PLC</t>
  </si>
  <si>
    <t>Aviva PLC</t>
  </si>
  <si>
    <t>Tesco PLC</t>
  </si>
  <si>
    <t>BAE Systems PLC</t>
  </si>
  <si>
    <t>Industrials</t>
  </si>
  <si>
    <t>RELX PLC</t>
  </si>
  <si>
    <t>SSE PLC</t>
  </si>
  <si>
    <t>Experian PLC</t>
  </si>
  <si>
    <t>Anglo American PLC</t>
  </si>
  <si>
    <t>Legal &amp; General Group PLC</t>
  </si>
  <si>
    <t>Rolls-Royce Holdings PLC</t>
  </si>
  <si>
    <t>Centrica PLC</t>
  </si>
  <si>
    <t>Smith &amp; Nephew PLC</t>
  </si>
  <si>
    <t>London Stock Exchange Group PLC</t>
  </si>
  <si>
    <t>Associated British Foods PLC</t>
  </si>
  <si>
    <t>Land Securities Group PLC</t>
  </si>
  <si>
    <t>Real Estate</t>
  </si>
  <si>
    <t>Sage Group PLC/The</t>
  </si>
  <si>
    <t>Information Technology</t>
  </si>
  <si>
    <t>Bunzl PLC</t>
  </si>
  <si>
    <t>Carnival PLC</t>
  </si>
  <si>
    <t>Next PLC</t>
  </si>
  <si>
    <t>Whitbread PLC</t>
  </si>
  <si>
    <t>Johnson Matthey PLC</t>
  </si>
  <si>
    <t>Burberry Group PLC</t>
  </si>
  <si>
    <t>ITV PLC</t>
  </si>
  <si>
    <t>United Utilities Group PLC</t>
  </si>
  <si>
    <t>3i Group PLC</t>
  </si>
  <si>
    <t>Ashtead Group PLC</t>
  </si>
  <si>
    <t>Royal Bank of Scotland Group PLC</t>
  </si>
  <si>
    <t>Pearson PLC</t>
  </si>
  <si>
    <t>InterContinental Hotels Group PLC</t>
  </si>
  <si>
    <t>British Land Co PLC/The</t>
  </si>
  <si>
    <t>Mondi PLC</t>
  </si>
  <si>
    <t>DCC PLC</t>
  </si>
  <si>
    <t>Smiths Group PLC</t>
  </si>
  <si>
    <t>RSA Insurance Group PLC</t>
  </si>
  <si>
    <t>Intertek Group PLC</t>
  </si>
  <si>
    <t>Severn Trent PLC</t>
  </si>
  <si>
    <t>Persimmon PLC</t>
  </si>
  <si>
    <t>St James's Place PLC</t>
  </si>
  <si>
    <t>Wm Morrison Supermarkets PLC</t>
  </si>
  <si>
    <t>Taylor Wimpey PLC</t>
  </si>
  <si>
    <t>Croda International PLC</t>
  </si>
  <si>
    <t>Barratt Developments PLC</t>
  </si>
  <si>
    <t>J Sainsbury PLC</t>
  </si>
  <si>
    <t>Admiral Group PLC</t>
  </si>
  <si>
    <t>Coca-Cola HBC AG</t>
  </si>
  <si>
    <t>Schroders PLC</t>
  </si>
  <si>
    <t>Hargreaves Lansdown PLC</t>
  </si>
  <si>
    <t>easyJet PLC</t>
  </si>
  <si>
    <t>Antofagasta PLC</t>
  </si>
  <si>
    <t>Auto Trader Group PLC</t>
  </si>
  <si>
    <t>Segro PLC</t>
  </si>
  <si>
    <t>Meggitt PLC</t>
  </si>
  <si>
    <t>Berkeley Group Holdings PLC</t>
  </si>
  <si>
    <t>ECGD</t>
  </si>
  <si>
    <t>CHG_NET_1YR</t>
  </si>
  <si>
    <t>CHG_NET_6M</t>
  </si>
  <si>
    <t>CHG_NET_3M</t>
  </si>
  <si>
    <t>CHG_NET_1M</t>
  </si>
  <si>
    <t>ECPI</t>
  </si>
  <si>
    <t>INDX_SOURCE</t>
  </si>
  <si>
    <t>GDP CYOY Index</t>
  </si>
  <si>
    <t>FDTR Index</t>
  </si>
  <si>
    <t>FEDL01 Index</t>
  </si>
  <si>
    <t>CPI YOY Index</t>
  </si>
  <si>
    <t>WGDPUS   Index</t>
  </si>
  <si>
    <t>FDDSGDP Index</t>
  </si>
  <si>
    <t>IDH%USA Index</t>
  </si>
  <si>
    <t>UKBRBASE Index</t>
  </si>
  <si>
    <t>SONIO/N Index</t>
  </si>
  <si>
    <t>UKRPCJYR Index</t>
  </si>
  <si>
    <t>WGDPUK   Index</t>
  </si>
  <si>
    <t>EUBDUK Index</t>
  </si>
  <si>
    <t>IDH%GBR Index</t>
  </si>
  <si>
    <t>EURR002W Index</t>
  </si>
  <si>
    <t>EONIA Index</t>
  </si>
  <si>
    <t>WGDPEURO Index</t>
  </si>
  <si>
    <t>EUBDEURO Index</t>
  </si>
  <si>
    <t>IDHREURO Index</t>
  </si>
  <si>
    <t>GRGDPPGY Index</t>
  </si>
  <si>
    <t>GRCP20YY Index</t>
  </si>
  <si>
    <t>WGDPGERM Index</t>
  </si>
  <si>
    <t>EUBDGERM Index</t>
  </si>
  <si>
    <t>IDH%DEU Index</t>
  </si>
  <si>
    <t>FRGEGDPY Index</t>
  </si>
  <si>
    <t>FRCPIYOY Index</t>
  </si>
  <si>
    <t>WGDPFRAN Index</t>
  </si>
  <si>
    <t>EUBDFRAN Index</t>
  </si>
  <si>
    <t>IDH%FRA Index</t>
  </si>
  <si>
    <t>NEGDPEY Index</t>
  </si>
  <si>
    <t>NECPIYOY Index</t>
  </si>
  <si>
    <t>WGDPNETH Index</t>
  </si>
  <si>
    <t>EUBDNETH Index</t>
  </si>
  <si>
    <t>IDH%NLD Index</t>
  </si>
  <si>
    <t>SPNAGDPY Index</t>
  </si>
  <si>
    <t>SPIPCYOY Index</t>
  </si>
  <si>
    <t>WGDPSPAI Index</t>
  </si>
  <si>
    <t>EUBDSPAI Index</t>
  </si>
  <si>
    <t>IDH%ESP Index</t>
  </si>
  <si>
    <t>ITPIRLYS Index</t>
  </si>
  <si>
    <t>ITCPNICY Index</t>
  </si>
  <si>
    <t>WGDPITAL Index</t>
  </si>
  <si>
    <t>EUBDITAL Index</t>
  </si>
  <si>
    <t>IDH%ITA Index</t>
  </si>
  <si>
    <t>BEGDPYS Index</t>
  </si>
  <si>
    <t>BECPYOY Index</t>
  </si>
  <si>
    <t>WGDPBELG Index</t>
  </si>
  <si>
    <t>EUBDBELG Index</t>
  </si>
  <si>
    <t>IDH%BEL Index</t>
  </si>
  <si>
    <t>IEGRPYOY Index</t>
  </si>
  <si>
    <t>IECPIYOY Index</t>
  </si>
  <si>
    <t>WGDPIREL Index</t>
  </si>
  <si>
    <t>EUBDIREL Index</t>
  </si>
  <si>
    <t>IDH%IRL Index</t>
  </si>
  <si>
    <t>ASGPGDPY Index</t>
  </si>
  <si>
    <t>ATCPYY10 Index</t>
  </si>
  <si>
    <t>WGDPASTI Index</t>
  </si>
  <si>
    <t>EUBDAUST Index</t>
  </si>
  <si>
    <t>IDH%AUT Index</t>
  </si>
  <si>
    <t>PTGDPYOY Index</t>
  </si>
  <si>
    <t>PLCPYOY Index</t>
  </si>
  <si>
    <t>WGDPPORT Index</t>
  </si>
  <si>
    <t>EUBDPORT Index</t>
  </si>
  <si>
    <t>IDH%PRT Index</t>
  </si>
  <si>
    <t>SZGRGDPY Index</t>
  </si>
  <si>
    <t>SZLTTR Index</t>
  </si>
  <si>
    <t>SFSOA Curncy</t>
  </si>
  <si>
    <t>SZCPIYOY Index</t>
  </si>
  <si>
    <t>WGDPSWIT Index</t>
  </si>
  <si>
    <t>WCSDCHE Index</t>
  </si>
  <si>
    <t>IDH%CHE Index</t>
  </si>
  <si>
    <t>SWGDPAYY Index</t>
  </si>
  <si>
    <t>SWRRATE Index</t>
  </si>
  <si>
    <t>STIB3M Index</t>
  </si>
  <si>
    <t>SWCPYOY Index</t>
  </si>
  <si>
    <t>WGDPSWED Index</t>
  </si>
  <si>
    <t>EUBDSWED Index</t>
  </si>
  <si>
    <t>IDH%SWE Index</t>
  </si>
  <si>
    <t>DEGDPNYY Index</t>
  </si>
  <si>
    <t>DEBRDISC Index</t>
  </si>
  <si>
    <t>DETNT/N Index</t>
  </si>
  <si>
    <t>DNCPIYOY Index</t>
  </si>
  <si>
    <t>WGDPDENM Index</t>
  </si>
  <si>
    <t>EUBDDNMK Index</t>
  </si>
  <si>
    <t>IDH%DNK Index</t>
  </si>
  <si>
    <t>FIGDPYOY Index</t>
  </si>
  <si>
    <t>FICP2YOY Index</t>
  </si>
  <si>
    <t>WGDPFINL Index</t>
  </si>
  <si>
    <t>EUBDFINL Index</t>
  </si>
  <si>
    <t>IDH%FIN Index</t>
  </si>
  <si>
    <t>NOGDCOSY Index</t>
  </si>
  <si>
    <t>NOBRDEP Index</t>
  </si>
  <si>
    <t>NIBOR6M Index</t>
  </si>
  <si>
    <t>NOCPIYOY Index</t>
  </si>
  <si>
    <t>WGDPNORW Index</t>
  </si>
  <si>
    <t>WCSDNOR Index</t>
  </si>
  <si>
    <t>IDH%NOR Index</t>
  </si>
  <si>
    <t>JGDPNSAQ Index</t>
  </si>
  <si>
    <t>MUTKCALM Index</t>
  </si>
  <si>
    <t>JYSOA Curncy</t>
  </si>
  <si>
    <t>WGDPJAPA Index</t>
  </si>
  <si>
    <t>G7BBJAPN Index</t>
  </si>
  <si>
    <t>IDH%JPN Index</t>
  </si>
  <si>
    <t>AUNAGDPY Index</t>
  </si>
  <si>
    <t>RBATCTR Index</t>
  </si>
  <si>
    <t>ADSOC Curncy</t>
  </si>
  <si>
    <t>AUCPIYOY Index</t>
  </si>
  <si>
    <t>WGDPAUST Index</t>
  </si>
  <si>
    <t>G7BBAUS Index</t>
  </si>
  <si>
    <t>IDH%AUS Index</t>
  </si>
  <si>
    <t>HKGDYOY Index</t>
  </si>
  <si>
    <t>HKBASE Index</t>
  </si>
  <si>
    <t>HIHD03M Index</t>
  </si>
  <si>
    <t>HKCPIY Index</t>
  </si>
  <si>
    <t>WGDPHONG Index</t>
  </si>
  <si>
    <t>EHBBHK Index</t>
  </si>
  <si>
    <t>GDDBHOKO Index</t>
  </si>
  <si>
    <t>SGDPYOY Index</t>
  </si>
  <si>
    <t>SIBCON Index</t>
  </si>
  <si>
    <t>SORF6M Index</t>
  </si>
  <si>
    <t>SICPIYOY Index</t>
  </si>
  <si>
    <t>WGDPSING Index</t>
  </si>
  <si>
    <t>WCSDSGP Index</t>
  </si>
  <si>
    <t>GDDBSING Index</t>
  </si>
  <si>
    <t>NZNTGDPY Index</t>
  </si>
  <si>
    <t>NZOCRS Index</t>
  </si>
  <si>
    <t>NDSOC Curncy</t>
  </si>
  <si>
    <t>NZCPIYOY Index</t>
  </si>
  <si>
    <t>WGDPNEWZ Index</t>
  </si>
  <si>
    <t>WCSDNZL Index</t>
  </si>
  <si>
    <t>IDH%NZL Index</t>
  </si>
  <si>
    <t>CAGDPYOY Index</t>
  </si>
  <si>
    <t>CABROVER Index</t>
  </si>
  <si>
    <t>CDSOA Curncy</t>
  </si>
  <si>
    <t>CACPIYOY Index</t>
  </si>
  <si>
    <t>WGDPCANA Index</t>
  </si>
  <si>
    <t>G7BBCAN Index</t>
  </si>
  <si>
    <t>IDH%CAN Index</t>
  </si>
  <si>
    <t>CNY</t>
  </si>
  <si>
    <t>CNGDPYOY Index</t>
  </si>
  <si>
    <t>CHLR12M Index</t>
  </si>
  <si>
    <t>CNRR007 Index</t>
  </si>
  <si>
    <t>CNCPIYOY Index</t>
  </si>
  <si>
    <t>WGDPCHIN Index</t>
  </si>
  <si>
    <t>SD%GCHIN Index</t>
  </si>
  <si>
    <t>GDDBCHIN Index</t>
  </si>
  <si>
    <t>KOGDPYOY Index</t>
  </si>
  <si>
    <t>KOCRD Index</t>
  </si>
  <si>
    <t>KWCDC Index</t>
  </si>
  <si>
    <t>KOCPIYOY Index</t>
  </si>
  <si>
    <t>WGDPKORE Index</t>
  </si>
  <si>
    <t>WBBGKORE Index</t>
  </si>
  <si>
    <t>IDH%KOR Index</t>
  </si>
  <si>
    <t>TWGDCONY Index</t>
  </si>
  <si>
    <t>TAREDSCD Index</t>
  </si>
  <si>
    <t>TDSF90D Index</t>
  </si>
  <si>
    <t>TWCPIYOY Index</t>
  </si>
  <si>
    <t>WGDPTAIW Index</t>
  </si>
  <si>
    <t>SD%GTAIW Index</t>
  </si>
  <si>
    <t>GDDBTIWN Index</t>
  </si>
  <si>
    <t>INQGGDPY Index</t>
  </si>
  <si>
    <t>INRPYLD Index</t>
  </si>
  <si>
    <t>IRSWOA Curncy</t>
  </si>
  <si>
    <t>INCPIINY Index</t>
  </si>
  <si>
    <t>WGDPINDI Index</t>
  </si>
  <si>
    <t>EHBBINY Index</t>
  </si>
  <si>
    <t>GDDBINDA Index</t>
  </si>
  <si>
    <t>MAGDHIY Index</t>
  </si>
  <si>
    <t>MAOPRATE Index</t>
  </si>
  <si>
    <t>KLIB3M Index</t>
  </si>
  <si>
    <t>MACPIYOY Index</t>
  </si>
  <si>
    <t>WGDPMALY Index</t>
  </si>
  <si>
    <t>WCSDMYS Index</t>
  </si>
  <si>
    <t>GDDBMALY Index</t>
  </si>
  <si>
    <t>IDGDPY Index</t>
  </si>
  <si>
    <t>JIIN3M Index</t>
  </si>
  <si>
    <t>IDCPIY Index</t>
  </si>
  <si>
    <t>WGDPINDO Index</t>
  </si>
  <si>
    <t>WCSDIDN Index</t>
  </si>
  <si>
    <t>GDDBIDNS Index</t>
  </si>
  <si>
    <t>THG PQY Index</t>
  </si>
  <si>
    <t>BTRR1DAY Index</t>
  </si>
  <si>
    <t>THFX6M Index</t>
  </si>
  <si>
    <t>THCPIYOY Index</t>
  </si>
  <si>
    <t>WGDPTHAI Index</t>
  </si>
  <si>
    <t>WCSDTHA Index</t>
  </si>
  <si>
    <t>GDDBTHAI Index</t>
  </si>
  <si>
    <t>PHGDPYOY Index</t>
  </si>
  <si>
    <t>PPCBOND Index</t>
  </si>
  <si>
    <t>PREF3MO Index</t>
  </si>
  <si>
    <t>PHC2II Index</t>
  </si>
  <si>
    <t>WGDPPHIL Index</t>
  </si>
  <si>
    <t>WCSDPHL Index</t>
  </si>
  <si>
    <t>GDDBPHIL Index</t>
  </si>
  <si>
    <t>RUDPRYOY Index</t>
  </si>
  <si>
    <t>RREFKEYR Index</t>
  </si>
  <si>
    <t>MOSKP3 Index</t>
  </si>
  <si>
    <t>RUCPIYOY Index</t>
  </si>
  <si>
    <t>WGDPRUSS Index</t>
  </si>
  <si>
    <t>WCSDRUS Index</t>
  </si>
  <si>
    <t>GDDBRUSS Index</t>
  </si>
  <si>
    <t>TUGPCOYR Index</t>
  </si>
  <si>
    <t>TUBR1WRA Index</t>
  </si>
  <si>
    <t>TRLIB3M Index</t>
  </si>
  <si>
    <t>TUCPIY Index</t>
  </si>
  <si>
    <t>WGDPTURK Index</t>
  </si>
  <si>
    <t>WCSDTUR Index</t>
  </si>
  <si>
    <t>GDDBTURK Index</t>
  </si>
  <si>
    <t>POGDYOY Index</t>
  </si>
  <si>
    <t>PORERATE Index</t>
  </si>
  <si>
    <t>WIBR3M index</t>
  </si>
  <si>
    <t>POCPIYOY Index</t>
  </si>
  <si>
    <t>WGDPPOLA Index</t>
  </si>
  <si>
    <t>EUBDPL Index</t>
  </si>
  <si>
    <t>GDDBPOLA Index</t>
  </si>
  <si>
    <t>GKGNVYY Index</t>
  </si>
  <si>
    <t>GKCPNEWY Index</t>
  </si>
  <si>
    <t>WGDPGREE Index</t>
  </si>
  <si>
    <t>EUBDGRCE Index</t>
  </si>
  <si>
    <t>IDH%GRC Index</t>
  </si>
  <si>
    <t>HUGPTOTL Index</t>
  </si>
  <si>
    <t>HBBRATE Index</t>
  </si>
  <si>
    <t>BUBOR03M Index</t>
  </si>
  <si>
    <t>HUCPIYY Index</t>
  </si>
  <si>
    <t>WGDPHUNG Index</t>
  </si>
  <si>
    <t>EUBDHU Index</t>
  </si>
  <si>
    <t>IDH%HUN Index</t>
  </si>
  <si>
    <t>CZGDPSAY Index</t>
  </si>
  <si>
    <t>CZBRREPO Index</t>
  </si>
  <si>
    <t>PRIB03M Index</t>
  </si>
  <si>
    <t>CZCPYOY Index</t>
  </si>
  <si>
    <t>WGDPCZEC Index</t>
  </si>
  <si>
    <t>EUBDCZ Index</t>
  </si>
  <si>
    <t>GDDBCZRP Index</t>
  </si>
  <si>
    <t>BZGDYOY% Index</t>
  </si>
  <si>
    <t>BZSTSETA Index</t>
  </si>
  <si>
    <t>BZAD3M Index</t>
  </si>
  <si>
    <t>BZPIIPCY Index</t>
  </si>
  <si>
    <t>WGDPBRAZ Index</t>
  </si>
  <si>
    <t>BZPBNO%D Index</t>
  </si>
  <si>
    <t>IDH%BRA Index</t>
  </si>
  <si>
    <t>MXGCTOT Index</t>
  </si>
  <si>
    <t>MXONBR Index</t>
  </si>
  <si>
    <t>MXIBTIIE Index</t>
  </si>
  <si>
    <t>MXCPYOY Index</t>
  </si>
  <si>
    <t>WGDPMEXI Index</t>
  </si>
  <si>
    <t>SD%GMEX Index</t>
  </si>
  <si>
    <t>IDH%MEX Index</t>
  </si>
  <si>
    <t>CLGDPNA% Index</t>
  </si>
  <si>
    <t>CHOVCHOV Index</t>
  </si>
  <si>
    <t>CHIBNOM Index</t>
  </si>
  <si>
    <t>CNPINSYO Index</t>
  </si>
  <si>
    <t>WGDPCHIL Index</t>
  </si>
  <si>
    <t>WCSDCHL Index</t>
  </si>
  <si>
    <t>IDH%CHL Index</t>
  </si>
  <si>
    <t>COCIPIBY Index</t>
  </si>
  <si>
    <t>CORRRMIN Index</t>
  </si>
  <si>
    <t>COOVIBR Index</t>
  </si>
  <si>
    <t>COCPIYOY Index</t>
  </si>
  <si>
    <t>WGDPCOLO Index</t>
  </si>
  <si>
    <t>WCSDCOL Index</t>
  </si>
  <si>
    <t>IDH%COL Index</t>
  </si>
  <si>
    <t>SAGDPYOY Index</t>
  </si>
  <si>
    <t>SARPRT Index</t>
  </si>
  <si>
    <t>JIBA3M Index</t>
  </si>
  <si>
    <t>SACPIYOY Index</t>
  </si>
  <si>
    <t>SAPMI Index</t>
  </si>
  <si>
    <t>WGDPSOUT Index</t>
  </si>
  <si>
    <t>WBBGSOUT Index</t>
  </si>
  <si>
    <t>IDH%ZAF Index</t>
  </si>
  <si>
    <t>MOV_AVG_5D</t>
  </si>
  <si>
    <t>MOV_AVG_30D</t>
  </si>
  <si>
    <t>DEGGBE10 Index</t>
  </si>
  <si>
    <t>JYGGBE10 Index</t>
  </si>
  <si>
    <t>SLA LN EQUITY</t>
  </si>
  <si>
    <t>FERG LN EQUITY</t>
  </si>
  <si>
    <t>Standard Life Aberdeen PLC</t>
  </si>
  <si>
    <t>Ferguson PLC</t>
  </si>
  <si>
    <t>NA</t>
  </si>
  <si>
    <t>END</t>
  </si>
  <si>
    <t>TICKERS</t>
  </si>
  <si>
    <t>FX_TICKER</t>
  </si>
  <si>
    <t>FX_SPOT</t>
  </si>
  <si>
    <t>BBG COUNTRY CODE</t>
  </si>
  <si>
    <t>SPOT VS USD TICKER</t>
  </si>
  <si>
    <t>FX_USD_SPOT</t>
  </si>
  <si>
    <t>FC</t>
  </si>
  <si>
    <t>BBG FCAST FX TICKERS</t>
  </si>
  <si>
    <t>SHORT_NAME</t>
  </si>
  <si>
    <t>FX Forecasts DXY Dollar Index</t>
  </si>
  <si>
    <t>FX Forecasts GBP/USD</t>
  </si>
  <si>
    <t>FX Forecasts EUR/USD</t>
  </si>
  <si>
    <t>FX Forecasts USD/CHF</t>
  </si>
  <si>
    <t>FX Forecasts USD/SEK</t>
  </si>
  <si>
    <t>FX Forecasts USD/DKK</t>
  </si>
  <si>
    <t>FX Forecasts USD/NOK</t>
  </si>
  <si>
    <t>FX Forecasts USD/JPY</t>
  </si>
  <si>
    <t>FX Forecasts AUD/USD</t>
  </si>
  <si>
    <t>FX Forecasts USD/HKD</t>
  </si>
  <si>
    <t>FX Forecasts USD/SGD</t>
  </si>
  <si>
    <t>FX Forecasts NZD/USD</t>
  </si>
  <si>
    <t>FX Forecasts USD/CAD</t>
  </si>
  <si>
    <t>FX Forecasts USD/CNY</t>
  </si>
  <si>
    <t>FX Forecasts USD/KRW</t>
  </si>
  <si>
    <t>FX Forecasts USD/TWD</t>
  </si>
  <si>
    <t>FX Forecasts USD/INR</t>
  </si>
  <si>
    <t>FX Forecasts USD/MYR</t>
  </si>
  <si>
    <t>FX Forecasts USD/IDR</t>
  </si>
  <si>
    <t>FX Forecasts USD/THB</t>
  </si>
  <si>
    <t>FX Forecasts USD/PHP</t>
  </si>
  <si>
    <t>FX Forecasts USD/RUB</t>
  </si>
  <si>
    <t>FX Forecasts USD/TRY</t>
  </si>
  <si>
    <t>FX Forecasts USD/PLN</t>
  </si>
  <si>
    <t>FX Forecasts USD/HUF</t>
  </si>
  <si>
    <t>FX Forecasts USD/CZK</t>
  </si>
  <si>
    <t>FX Forecasts USD/BRL</t>
  </si>
  <si>
    <t>FX Forecasts USD/MXN</t>
  </si>
  <si>
    <t>FX Forecasts USD/CLP</t>
  </si>
  <si>
    <t>FX Forecasts USD/COP</t>
  </si>
  <si>
    <t>FX Forecasts USD/ZAR</t>
  </si>
  <si>
    <t>BBG_FCST</t>
  </si>
  <si>
    <t>BBG_FCST_PAIR</t>
  </si>
  <si>
    <t>DXY Curncy</t>
  </si>
  <si>
    <t>FX FCST ROOT</t>
  </si>
  <si>
    <t>ECCB</t>
  </si>
  <si>
    <t>CENTRAL BANK POLICY TICKER</t>
  </si>
  <si>
    <t>CB_POLICY_RATE</t>
  </si>
  <si>
    <t>US Federal Funds Effective Rat</t>
  </si>
  <si>
    <t>EMMI EURO OverNight Index Aver</t>
  </si>
  <si>
    <t>CHF SWAP OIS        1 M0</t>
  </si>
  <si>
    <t>Stockholm Interbank Offered Ra</t>
  </si>
  <si>
    <t>Denmark Tomorrow/Next</t>
  </si>
  <si>
    <t>Norway Interbank Offered Rate</t>
  </si>
  <si>
    <t>HK Assoc of Banks Hong Kong Do</t>
  </si>
  <si>
    <t>Association of Banks in Singap</t>
  </si>
  <si>
    <t>CFETS China Fixing Repo Rates</t>
  </si>
  <si>
    <t>KRW CD              3 MO</t>
  </si>
  <si>
    <t>TDCC Taiwan Depository &amp; Clear</t>
  </si>
  <si>
    <t>Bank Negara Malaysia Klibor In</t>
  </si>
  <si>
    <t>Bank Indonesia Jakarta Interba</t>
  </si>
  <si>
    <t>Bloomberg Thailand 6 Month Ref</t>
  </si>
  <si>
    <t>NFEA MosPrime 3 Months Rate</t>
  </si>
  <si>
    <t>Bank Association of Turkey TRL</t>
  </si>
  <si>
    <t>GPW Benchmark WIBOR PLN 3M</t>
  </si>
  <si>
    <t>National Bank of Hungary Budap</t>
  </si>
  <si>
    <t>Czech Interbank Offered Rates</t>
  </si>
  <si>
    <t>Anbima Brazil Govt Bond Fixed</t>
  </si>
  <si>
    <t>Mexico Interbank TIIE 28 Day</t>
  </si>
  <si>
    <t>Chile Central Bank Daily Midda</t>
  </si>
  <si>
    <t>SAFE South Africa Johannesburg</t>
  </si>
  <si>
    <t>EFFECTIVE POLICY RATE TICKER</t>
  </si>
  <si>
    <t>EFFECTIVE POLICY RATE NAME</t>
  </si>
  <si>
    <t>EFF_POLICY_RATE</t>
  </si>
  <si>
    <t>CB_CHANGE_12m</t>
  </si>
  <si>
    <t>CB_CHANGE_6m</t>
  </si>
  <si>
    <t>CB_CHANGE_3m</t>
  </si>
  <si>
    <t>CB_CHANGE_1m</t>
  </si>
  <si>
    <t>MAIN CPI YOY TICKER</t>
  </si>
  <si>
    <t>CPI_YOY</t>
  </si>
  <si>
    <t>CPI_CHANGE_12m</t>
  </si>
  <si>
    <t>CPI_CHANGE_6m</t>
  </si>
  <si>
    <t>CPI_CHANGE_3m</t>
  </si>
  <si>
    <t>CPI_CHANGE_1m</t>
  </si>
  <si>
    <t>GENERIC 2 YEAR TICKER</t>
  </si>
  <si>
    <t>GSWISS02 Index</t>
  </si>
  <si>
    <t>GSGB2YR Index</t>
  </si>
  <si>
    <t>GSPG2YR Index</t>
  </si>
  <si>
    <t>GSPT2YR Index</t>
  </si>
  <si>
    <t>POGB2YR Index</t>
  </si>
  <si>
    <t>GNOR2YR Index</t>
  </si>
  <si>
    <t>GNTH2YR Index</t>
  </si>
  <si>
    <t>GBTPGR2 Index</t>
  </si>
  <si>
    <t>GIGB2YR Index</t>
  </si>
  <si>
    <t>GGGB2YR Index</t>
  </si>
  <si>
    <t>GFRN2 Index</t>
  </si>
  <si>
    <t>GFIN2YR Index</t>
  </si>
  <si>
    <t>GDGB2YR Index</t>
  </si>
  <si>
    <t>GBGB2YR Index</t>
  </si>
  <si>
    <t>GAGB2YR Index</t>
  </si>
  <si>
    <t>GCAN2YR Index</t>
  </si>
  <si>
    <t>GACGB2 Index</t>
  </si>
  <si>
    <t>GHKGB2Y Index</t>
  </si>
  <si>
    <t>GIND2YR Index</t>
  </si>
  <si>
    <t>GNZGB2 Index</t>
  </si>
  <si>
    <t>MASB2Y Index</t>
  </si>
  <si>
    <t>GSAB2YR Index</t>
  </si>
  <si>
    <t>GCNY2YR Index</t>
  </si>
  <si>
    <t>GVSK2YR Index</t>
  </si>
  <si>
    <t>GVTW2YR Index</t>
  </si>
  <si>
    <t>MGIY2Y Index</t>
  </si>
  <si>
    <t>GIDN2YR Index</t>
  </si>
  <si>
    <t>GVTL2YR Index</t>
  </si>
  <si>
    <t>IECM2Y Index</t>
  </si>
  <si>
    <t>CZGB2YR Index</t>
  </si>
  <si>
    <t>GEBR02Y Index</t>
  </si>
  <si>
    <t>GMXN02YR Index</t>
  </si>
  <si>
    <t>CLGB2Y Index</t>
  </si>
  <si>
    <t>COGR2Y Index</t>
  </si>
  <si>
    <t>PDSR2YR Index</t>
  </si>
  <si>
    <t>GENERIC 5 YEAR TICKER</t>
  </si>
  <si>
    <t>USGG5YR Index</t>
  </si>
  <si>
    <t>GUKG5 Index</t>
  </si>
  <si>
    <t>GDBR5 Index</t>
  </si>
  <si>
    <t>GFRN5 Index</t>
  </si>
  <si>
    <t>GNTH5YR Index</t>
  </si>
  <si>
    <t>GSPG5YR Index</t>
  </si>
  <si>
    <t>GBTPGR5 Index</t>
  </si>
  <si>
    <t>GBGB5YR Index</t>
  </si>
  <si>
    <t>GIGB5YR Index</t>
  </si>
  <si>
    <t>GAGB5YR Index</t>
  </si>
  <si>
    <t>GSPT5YR Index</t>
  </si>
  <si>
    <t>GFIN5YR Index</t>
  </si>
  <si>
    <t>GSWISS05 Index</t>
  </si>
  <si>
    <t>GSGB5YR Index</t>
  </si>
  <si>
    <t>GDGB5YR Index</t>
  </si>
  <si>
    <t>GNOR5YR Index</t>
  </si>
  <si>
    <t>GJGB5 Index</t>
  </si>
  <si>
    <t>GACGB5 Index</t>
  </si>
  <si>
    <t>GHKGB5Y Index</t>
  </si>
  <si>
    <t>MASB5Y Index</t>
  </si>
  <si>
    <t>GNZGB5 Index</t>
  </si>
  <si>
    <t>GCAN5YR Index</t>
  </si>
  <si>
    <t>GCNY5YR Index</t>
  </si>
  <si>
    <t>GVSK5YR Index</t>
  </si>
  <si>
    <t>GVTW5YR Index</t>
  </si>
  <si>
    <t>GIND5YR Index</t>
  </si>
  <si>
    <t>MGIY5Y Index</t>
  </si>
  <si>
    <t>GIDN5YR Index</t>
  </si>
  <si>
    <t>GVTL5YR Index</t>
  </si>
  <si>
    <t>PDSR5YR Index</t>
  </si>
  <si>
    <t>IECM5Y Index</t>
  </si>
  <si>
    <t>POGB5YR Index</t>
  </si>
  <si>
    <t>GGGB5YR Index</t>
  </si>
  <si>
    <t>CZGB5YR Index</t>
  </si>
  <si>
    <t>GMXN05YR Index</t>
  </si>
  <si>
    <t>CLGB5Y Index</t>
  </si>
  <si>
    <t>COGR5Y Index</t>
  </si>
  <si>
    <t>GSAB5YR Index</t>
  </si>
  <si>
    <t>GENERIC 10 YEAR TICKER</t>
  </si>
  <si>
    <t>BMK_2_YR</t>
  </si>
  <si>
    <t>BMK_10_YR</t>
  </si>
  <si>
    <t>BMK_5_YR</t>
  </si>
  <si>
    <t>GFRN10 Index</t>
  </si>
  <si>
    <t>GNTH10YR Index</t>
  </si>
  <si>
    <t>GSPG10YR Index</t>
  </si>
  <si>
    <t>GBTPGR10 Index</t>
  </si>
  <si>
    <t>GBGB10YR Index</t>
  </si>
  <si>
    <t>GIGB10YR Index</t>
  </si>
  <si>
    <t>GAGB10YR Index</t>
  </si>
  <si>
    <t>GSPT10YR Index</t>
  </si>
  <si>
    <t>GFIN10YR Index</t>
  </si>
  <si>
    <t>GSWISS010 Index</t>
  </si>
  <si>
    <t>GSGB10YR Index</t>
  </si>
  <si>
    <t>GDGB10YR Index</t>
  </si>
  <si>
    <t>GNOR10YR Index</t>
  </si>
  <si>
    <t>GACGB10 Index</t>
  </si>
  <si>
    <t>GHKGB10Y Index</t>
  </si>
  <si>
    <t>MASB10Y Index</t>
  </si>
  <si>
    <t>GNZGB10 Index</t>
  </si>
  <si>
    <t>GCAN10YR Index</t>
  </si>
  <si>
    <t>GCNY10YR Index</t>
  </si>
  <si>
    <t>GVSK10YR Index</t>
  </si>
  <si>
    <t>GVTW10YR Index</t>
  </si>
  <si>
    <t>GIND10YR Index</t>
  </si>
  <si>
    <t>MGIY10Y Index</t>
  </si>
  <si>
    <t>GIDN10YR Index</t>
  </si>
  <si>
    <t>GVTL10YR Index</t>
  </si>
  <si>
    <t>PDSR10YR Index</t>
  </si>
  <si>
    <t>IECM10Y Index</t>
  </si>
  <si>
    <t>POGB10YR Index</t>
  </si>
  <si>
    <t>GGGB10YR Index</t>
  </si>
  <si>
    <t>CZGB10YR Index</t>
  </si>
  <si>
    <t>CLGB10Y Index</t>
  </si>
  <si>
    <t>COGR10Y Index</t>
  </si>
  <si>
    <t>GSAB10YR Index</t>
  </si>
  <si>
    <t>GEBR5Y Index</t>
  </si>
  <si>
    <t>GEBR10Y Index</t>
  </si>
  <si>
    <t>GMXN10YR Index</t>
  </si>
  <si>
    <t>GHGB10YR Index</t>
  </si>
  <si>
    <t>GHGB5YR Index</t>
  </si>
  <si>
    <t>GHGB3YR Index</t>
  </si>
  <si>
    <t>MICXRU2Y Index</t>
  </si>
  <si>
    <t>MICXRU5Y Index</t>
  </si>
  <si>
    <t>MICXRU10 Index</t>
  </si>
  <si>
    <t>WORLD BANK NOMINAL GDP USD TICKERS</t>
  </si>
  <si>
    <t>WB_GDP_USD</t>
  </si>
  <si>
    <t>MFG PMI TICKERS</t>
  </si>
  <si>
    <t>PX_CLOSE_1M</t>
  </si>
  <si>
    <t>PX_CLOSE_3M</t>
  </si>
  <si>
    <t>PX_CLOSE_6M</t>
  </si>
  <si>
    <t>MFG_PMI</t>
  </si>
  <si>
    <t>MFG_PMI_1m</t>
  </si>
  <si>
    <t>MFG_PMI_3m</t>
  </si>
  <si>
    <t>MFG_PMI_6m</t>
  </si>
  <si>
    <t>SERVICE PMI TICKERS</t>
  </si>
  <si>
    <t>SERVICE_PMI</t>
  </si>
  <si>
    <t>SERVICE_PMI_1m</t>
  </si>
  <si>
    <t>SERVICE_PMI_3m</t>
  </si>
  <si>
    <t>SERVICE_PMI_6m</t>
  </si>
  <si>
    <t>REAL GDP YoY TICKERS</t>
  </si>
  <si>
    <t>REAL_GDP_YOY</t>
  </si>
  <si>
    <t>PX_CLOSE_1QTR</t>
  </si>
  <si>
    <t>PX_CLOSE_2QTR</t>
  </si>
  <si>
    <t>PX_CLOSE_3QTR</t>
  </si>
  <si>
    <t>PX_CLOSE_4QTR</t>
  </si>
  <si>
    <t>REAL_GDP_1Q</t>
  </si>
  <si>
    <t>REAL_GDP_2Q</t>
  </si>
  <si>
    <t>REAL_GDP_3Q</t>
  </si>
  <si>
    <t>REAL_GDP_4Q</t>
  </si>
  <si>
    <t>BRLFUNRT Index</t>
  </si>
  <si>
    <t>UNEMPLOYMENT RATE TICKERS</t>
  </si>
  <si>
    <t>CANLXEMR Index</t>
  </si>
  <si>
    <t>CNUERATE Index</t>
  </si>
  <si>
    <t>COUNTOTN Index</t>
  </si>
  <si>
    <t>UMRTCZ Index</t>
  </si>
  <si>
    <t>UMRTDK Index</t>
  </si>
  <si>
    <t>UMRTEMU Index</t>
  </si>
  <si>
    <t>UMRTFI Index</t>
  </si>
  <si>
    <t>UMRTFR Index</t>
  </si>
  <si>
    <t>GILOURS Index</t>
  </si>
  <si>
    <t>UMRTGR Index</t>
  </si>
  <si>
    <t>HKUERATE Index</t>
  </si>
  <si>
    <t>UMRTHU Index</t>
  </si>
  <si>
    <t>INUNCIA Index</t>
  </si>
  <si>
    <t>IDEMUNE% Index</t>
  </si>
  <si>
    <t>IEUERT Index</t>
  </si>
  <si>
    <t>ITMUURS Index</t>
  </si>
  <si>
    <t>JNUE Index</t>
  </si>
  <si>
    <t>MAEPMUN% Index</t>
  </si>
  <si>
    <t>MXUEUNSA Index</t>
  </si>
  <si>
    <t>NEUETTLR Index</t>
  </si>
  <si>
    <t>NZLFUNER Index</t>
  </si>
  <si>
    <t>NOLBRATE Index</t>
  </si>
  <si>
    <t>PHLFUERT Index</t>
  </si>
  <si>
    <t>UMRTPL Index</t>
  </si>
  <si>
    <t>UMRTPT Index</t>
  </si>
  <si>
    <t>RUUER Index</t>
  </si>
  <si>
    <t>SIQUTOTA Index</t>
  </si>
  <si>
    <t>SAUERATQ Index</t>
  </si>
  <si>
    <t>KOEAUERS Index</t>
  </si>
  <si>
    <t>UMRTES Index</t>
  </si>
  <si>
    <t>SWUESART Index</t>
  </si>
  <si>
    <t>SZUEUEA Index</t>
  </si>
  <si>
    <t>TWLFADJ Index</t>
  </si>
  <si>
    <t>TULSUR Index</t>
  </si>
  <si>
    <t>UKUEILOR Index</t>
  </si>
  <si>
    <t>USURTOT Index</t>
  </si>
  <si>
    <t>AULFUNEM Index</t>
  </si>
  <si>
    <t>UMRTAT Index</t>
  </si>
  <si>
    <t>UMRTBE Index</t>
  </si>
  <si>
    <t>CHUETOTL Index</t>
  </si>
  <si>
    <t>EHUPTH Index</t>
  </si>
  <si>
    <t>UNEMPLYMENT_RATE</t>
  </si>
  <si>
    <t>IP TICKERS</t>
  </si>
  <si>
    <t>AUIPTOLY Index</t>
  </si>
  <si>
    <t>ATIPIYY Index</t>
  </si>
  <si>
    <t>BEPDRYSA Index</t>
  </si>
  <si>
    <t>BZIPYOY% Index</t>
  </si>
  <si>
    <t>CDIP%YOY Index</t>
  </si>
  <si>
    <t>CHIPTOTY Index</t>
  </si>
  <si>
    <t>CHVAIOY Index</t>
  </si>
  <si>
    <t>COIPEYOY Index</t>
  </si>
  <si>
    <t>CZIPITYY Index</t>
  </si>
  <si>
    <t>DEMFIPSY Index</t>
  </si>
  <si>
    <t>E6BDFEAY Index</t>
  </si>
  <si>
    <t>FIIPYOY Index</t>
  </si>
  <si>
    <t>FPIPYOY Index</t>
  </si>
  <si>
    <t>GEINYY Index</t>
  </si>
  <si>
    <t>GKIPIYOY Index</t>
  </si>
  <si>
    <t>HKIPIYOY Index</t>
  </si>
  <si>
    <t>HUIPIYOY Index</t>
  </si>
  <si>
    <t>INPIINDY Index</t>
  </si>
  <si>
    <t>IDMPIYOY Index</t>
  </si>
  <si>
    <t>IEIPINYY Index</t>
  </si>
  <si>
    <t>ITPRWAY Index</t>
  </si>
  <si>
    <t>JNIPYOY Index</t>
  </si>
  <si>
    <t>MAIPINDY Index</t>
  </si>
  <si>
    <t>MXIPTYOY Index</t>
  </si>
  <si>
    <t>NEIP20YY Index</t>
  </si>
  <si>
    <t>NOIPOYOY Index</t>
  </si>
  <si>
    <t>VOPIMFGY Index</t>
  </si>
  <si>
    <t>POISCYOY Index</t>
  </si>
  <si>
    <t>PTIPTOTY Index</t>
  </si>
  <si>
    <t>RUIPRNYY Index</t>
  </si>
  <si>
    <t>SIIPYOY% Index</t>
  </si>
  <si>
    <t>SFPMYOY Index</t>
  </si>
  <si>
    <t>KOIPIY Index</t>
  </si>
  <si>
    <t>SPIOYOY Index</t>
  </si>
  <si>
    <t>SWIPIYOY Index</t>
  </si>
  <si>
    <t>SZIPIYOY Index</t>
  </si>
  <si>
    <t>TWINDPIY Index</t>
  </si>
  <si>
    <t>THMPIS2Y Index</t>
  </si>
  <si>
    <t>TUIOIYOY Index</t>
  </si>
  <si>
    <t>UKIPIYOY Index</t>
  </si>
  <si>
    <t>IP  YOY Index</t>
  </si>
  <si>
    <t>1966R001 Index</t>
  </si>
  <si>
    <t>PX_CLOSE_1YR</t>
  </si>
  <si>
    <t>UNEMPLOYMENT_1M</t>
  </si>
  <si>
    <t>UNEMPLOYMENT_3M</t>
  </si>
  <si>
    <t>UNEMPLOYMENT_6M</t>
  </si>
  <si>
    <t>UNEMPLOYMENT_12M</t>
  </si>
  <si>
    <t>IP_YOY</t>
  </si>
  <si>
    <t>IP_1M</t>
  </si>
  <si>
    <t>IP_3M</t>
  </si>
  <si>
    <t>IP_6M</t>
  </si>
  <si>
    <t>IP_12M</t>
  </si>
  <si>
    <t>BUDGET TICKERS</t>
  </si>
  <si>
    <t>BUDGET_OVER_GDP</t>
  </si>
  <si>
    <t>CURRENT ACCOUNT ROOT TICKER</t>
  </si>
  <si>
    <t>EHCA</t>
  </si>
  <si>
    <t>CA QUARTERLY TICKERS</t>
  </si>
  <si>
    <t>CA_QTLY_HIST</t>
  </si>
  <si>
    <t>CA_QTLY_HIST_1Q</t>
  </si>
  <si>
    <t>CA_QTLY_HIST_2Q</t>
  </si>
  <si>
    <t>CA_QTLY_HIST_3Q</t>
  </si>
  <si>
    <t>CA_QTLY_HIST_4Q</t>
  </si>
  <si>
    <t>US Treasury Federal Budget Def</t>
  </si>
  <si>
    <t>Eurostat UK Budget Deficit or</t>
  </si>
  <si>
    <t>Eurostat Eurozone Budget Defic</t>
  </si>
  <si>
    <t>Eurostat Germany Budget Defici</t>
  </si>
  <si>
    <t>Eurostat France Budget Deficit</t>
  </si>
  <si>
    <t>Eurostat Netherlands Budget De</t>
  </si>
  <si>
    <t>Eurostat Spain Budget Deficit</t>
  </si>
  <si>
    <t>Eurostat Italy Budget Deficit</t>
  </si>
  <si>
    <t>Eurostat Belgium Budget Defici</t>
  </si>
  <si>
    <t>Eurostat Ireland Budget Defici</t>
  </si>
  <si>
    <t>Eurostat Austria Budget Defici</t>
  </si>
  <si>
    <t>Eurostat Portugal Budget Defic</t>
  </si>
  <si>
    <t>Eurostat Finland Budget Defici</t>
  </si>
  <si>
    <t>World Bank Cash surplus/defici</t>
  </si>
  <si>
    <t>Eurostat Sweden Budget Deficit</t>
  </si>
  <si>
    <t>Eurostat Denmark Budget Defici</t>
  </si>
  <si>
    <t>OECD Japan Surplus or Deficit</t>
  </si>
  <si>
    <t>OECD Australia Surplus or Defi</t>
  </si>
  <si>
    <t>Hong Kong Budget Balance (% GD</t>
  </si>
  <si>
    <t>OECD Canada Surplus or Deficit</t>
  </si>
  <si>
    <t>China Surplus/Deficit as a % N</t>
  </si>
  <si>
    <t>World Bank Budget Balance % of</t>
  </si>
  <si>
    <t>Taiwan Surplus/Deficit as a %</t>
  </si>
  <si>
    <t>India Budget Balance (% GDP)</t>
  </si>
  <si>
    <t>Eurostat Poland Budget Deficit</t>
  </si>
  <si>
    <t>Eurostat Greece Budget Deficit</t>
  </si>
  <si>
    <t>Eurostat Hungary Budget Defici</t>
  </si>
  <si>
    <t>Eurostat Czech Republic Budget</t>
  </si>
  <si>
    <t>Brazil Public Nominal Budget D</t>
  </si>
  <si>
    <t>Mexico Surplus/Deficit as a %</t>
  </si>
  <si>
    <t>BUDGET SOURCE</t>
  </si>
  <si>
    <t>DEBT to GDP TICKERS</t>
  </si>
  <si>
    <t>DEBT to GDP SOURCE</t>
  </si>
  <si>
    <t>DEBT_TO_GDP</t>
  </si>
  <si>
    <t>International Monetary Fund</t>
  </si>
  <si>
    <t>Central Intelligence Agency</t>
  </si>
  <si>
    <t>NAIRU TICKERS</t>
  </si>
  <si>
    <t>OEEOUSUQ Index</t>
  </si>
  <si>
    <t>OEEODEUQ Index</t>
  </si>
  <si>
    <t>OEEOFRUQ Index</t>
  </si>
  <si>
    <t>OEEOCAUQ Index</t>
  </si>
  <si>
    <t>OEEOGBUQ Index</t>
  </si>
  <si>
    <t>OEEOESUQ Index</t>
  </si>
  <si>
    <t>OEEOJPUQ Index</t>
  </si>
  <si>
    <t>OEEOITUQ Index</t>
  </si>
  <si>
    <t>OEEONZUQ Index</t>
  </si>
  <si>
    <t>OEEOTRUQ Index</t>
  </si>
  <si>
    <t>OEEOBEUQ Index</t>
  </si>
  <si>
    <t>OEEOPLUQ Index</t>
  </si>
  <si>
    <t>OEEONOUQ Index</t>
  </si>
  <si>
    <t>OEEOATUQ Index</t>
  </si>
  <si>
    <t>OEEODKUQ Index</t>
  </si>
  <si>
    <t>OEEOFIUQ Index</t>
  </si>
  <si>
    <t>OEEOGRUQ Index</t>
  </si>
  <si>
    <t>OEEOIEUQ Index</t>
  </si>
  <si>
    <t>OEEONLUQ Index</t>
  </si>
  <si>
    <t>OEEO16UQ Index</t>
  </si>
  <si>
    <t>OEEOPTUQ Index</t>
  </si>
  <si>
    <t>OEEOCHUQ Index</t>
  </si>
  <si>
    <t>OEEOSEUQ Index</t>
  </si>
  <si>
    <t>OEEOAUUQ Index</t>
  </si>
  <si>
    <t>OEEOCLUQ Index</t>
  </si>
  <si>
    <t>OEEOMXUQ Index</t>
  </si>
  <si>
    <t>OEEOKRUQ Index</t>
  </si>
  <si>
    <t>NAIRU</t>
  </si>
  <si>
    <t>NAIRU SOURCE</t>
  </si>
  <si>
    <t>OECD Eco Outlook USA NAIRU - E</t>
  </si>
  <si>
    <t>OECD Eco Outlook UK NAIRU - Eq</t>
  </si>
  <si>
    <t>OECD Eco Outlook EA16 NAIRU -</t>
  </si>
  <si>
    <t>OECD Eco Outlook Germany NAIRU</t>
  </si>
  <si>
    <t>OECD Eco Outlook France NAIRU</t>
  </si>
  <si>
    <t>OECD Eco Outlook Netherlands N</t>
  </si>
  <si>
    <t>OECD Eco Outlook Spain NAIRU -</t>
  </si>
  <si>
    <t>OECD Eco Outlook Italy NAIRU -</t>
  </si>
  <si>
    <t>OECD Eco Outlook Belgium NAIRU</t>
  </si>
  <si>
    <t>OECD Eco Outlook Ireland NAIRU</t>
  </si>
  <si>
    <t>OECD Eco Outlook Austria NAIRU</t>
  </si>
  <si>
    <t>OECD Eco Outlook Portugal NAIR</t>
  </si>
  <si>
    <t>OECD Eco Outlook Finland NAIRU</t>
  </si>
  <si>
    <t>OECD Eco Outlook Switzerland N</t>
  </si>
  <si>
    <t>OECD Eco Outlook Sweden NAIRU</t>
  </si>
  <si>
    <t>OECD Eco Outlook Denmark NAIRU</t>
  </si>
  <si>
    <t>OECD Eco Outlook Norway NAIRU</t>
  </si>
  <si>
    <t>OECD Eco Outlook Japan NAIRU -</t>
  </si>
  <si>
    <t>OECD Eco Outlook Australia NAI</t>
  </si>
  <si>
    <t>OECD Eco Outlook New Zealand N</t>
  </si>
  <si>
    <t>OECD Eco Outlook Canada NAIRU</t>
  </si>
  <si>
    <t>OECD Eco Outlook Korea NAIRU -</t>
  </si>
  <si>
    <t>OECD Eco Outlook Turkey NAIRU</t>
  </si>
  <si>
    <t>OECD Eco Outlook Poland NAIRU</t>
  </si>
  <si>
    <t>OECD Eco Outlook Greece NAIRU</t>
  </si>
  <si>
    <t>OECD Eco Outlook Mexico NAIRU</t>
  </si>
  <si>
    <t>OECD Eco Outlook Chile NAIRU -</t>
  </si>
  <si>
    <t>EOHUN001 INDEX</t>
  </si>
  <si>
    <t>EOCZN001 INDEX</t>
  </si>
  <si>
    <t>OECD Eco Outlook Hungary NAIRU</t>
  </si>
  <si>
    <t>OECD Eco Outlook Czech Rep NAI</t>
  </si>
  <si>
    <t>MFG_PMI_12m</t>
  </si>
  <si>
    <t>SERVICE_PMI_12m</t>
  </si>
  <si>
    <t>BBG BASELINE TAYLOR RULE</t>
  </si>
  <si>
    <t>TAYLEAB Index</t>
  </si>
  <si>
    <t>TAYL</t>
  </si>
  <si>
    <t>BBG_TAYLOR_RULE</t>
  </si>
  <si>
    <t>Baseline Taylor Rule Estimate</t>
  </si>
  <si>
    <t>BREAKEVEN 10 YEAR TICKER</t>
  </si>
  <si>
    <t>FRGGBE10 Index</t>
  </si>
  <si>
    <t>ADGGBE10 Index</t>
  </si>
  <si>
    <t>GILGBE10 Index</t>
  </si>
  <si>
    <t>CDGGBE10 Index</t>
  </si>
  <si>
    <t>BRGGBE10 Index</t>
  </si>
  <si>
    <t>MXGGBE10 Index</t>
  </si>
  <si>
    <t>SAGGBE10 Index</t>
  </si>
  <si>
    <t>SKGGBE10 Index</t>
  </si>
  <si>
    <t>SPGGBE10 Index</t>
  </si>
  <si>
    <t>NDGGBE10 Index</t>
  </si>
  <si>
    <t>US Breakeven 10 Year</t>
  </si>
  <si>
    <t>UK Breakeven 10 Year</t>
  </si>
  <si>
    <t>Europe Swap Breakeven 10 Year</t>
  </si>
  <si>
    <t>Germany Breakeven 10 Year</t>
  </si>
  <si>
    <t>France Breakeven 10 Year</t>
  </si>
  <si>
    <t>Spain Breakeven 10 Year</t>
  </si>
  <si>
    <t>Italy Breakeven 10 Year</t>
  </si>
  <si>
    <t>Sweden Breakeven 10 Year</t>
  </si>
  <si>
    <t>Japan Breakeven 10 Year</t>
  </si>
  <si>
    <t>Australia Breakeven 10 Year</t>
  </si>
  <si>
    <t>New Zealand Breakeven 10 Year</t>
  </si>
  <si>
    <t>Canada Breakeven 10 Year</t>
  </si>
  <si>
    <t>Brazil Breakeven 10 Year</t>
  </si>
  <si>
    <t>Mexico Breakeven 10 Year</t>
  </si>
  <si>
    <t>South Africa Breakeven 10 Year</t>
  </si>
  <si>
    <t>BREAKEVEN_10_YR</t>
  </si>
  <si>
    <t>IDBIRRPO Index</t>
  </si>
  <si>
    <t>CLI TICKERS</t>
  </si>
  <si>
    <t>OECD_CLI</t>
  </si>
  <si>
    <t>CLI NAME</t>
  </si>
  <si>
    <t>OE19KLAC Index</t>
  </si>
  <si>
    <t>USA OECD Leading Indicators CL</t>
  </si>
  <si>
    <t>UK OECD Leading Indicators CLI</t>
  </si>
  <si>
    <t>Euro Area OECD Leading Indicat</t>
  </si>
  <si>
    <t>Germany OECD Leading Indicator</t>
  </si>
  <si>
    <t>France OECD Leading Indicators</t>
  </si>
  <si>
    <t>Netherlands OECD Leading Indic</t>
  </si>
  <si>
    <t>Spain OECD Leading Indicators</t>
  </si>
  <si>
    <t>Italy OECD Leading Indicators</t>
  </si>
  <si>
    <t>Belgium OECD Leading Indicator</t>
  </si>
  <si>
    <t>Ireland OECD Leading Indicator</t>
  </si>
  <si>
    <t>Austria OECD Leading Indicator</t>
  </si>
  <si>
    <t>Portugal OECD Leading Indicato</t>
  </si>
  <si>
    <t>Finland OECD Leading Indicator</t>
  </si>
  <si>
    <t>Switzerland OECD Leading Indic</t>
  </si>
  <si>
    <t>Sweden OECD Leading Indicators</t>
  </si>
  <si>
    <t>Denmark OECD Leading Indicator</t>
  </si>
  <si>
    <t>Norway OECD Leading Indicators</t>
  </si>
  <si>
    <t>Japan OECD Leading Indicators</t>
  </si>
  <si>
    <t>Australia OECD Leading Indicat</t>
  </si>
  <si>
    <t>New Zealand OECD Leading Indic</t>
  </si>
  <si>
    <t>Canada OECD Leading Indicators</t>
  </si>
  <si>
    <t>China OECD Leading Indicators</t>
  </si>
  <si>
    <t>Korea OECD Leading Indicators</t>
  </si>
  <si>
    <t>India OECD Leading Indicators</t>
  </si>
  <si>
    <t>Indonesia OECD Leading Indicat</t>
  </si>
  <si>
    <t>Russia OECD Leading Indicators</t>
  </si>
  <si>
    <t>Turkey OECD Leading Indicators</t>
  </si>
  <si>
    <t>Poland OECD Leading Indicators</t>
  </si>
  <si>
    <t>Greece OECD Leading Indicators</t>
  </si>
  <si>
    <t>Hungary OECD Leading Indicator</t>
  </si>
  <si>
    <t>Czech Rep OECD Leading Indicat</t>
  </si>
  <si>
    <t>Brazil OECD Leading Indicators</t>
  </si>
  <si>
    <t>Mexico OECD Leading Indicators</t>
  </si>
  <si>
    <t>Chile OECD Leading Indicators</t>
  </si>
  <si>
    <t>South Africa OECD Leading Indi</t>
  </si>
  <si>
    <t>CHG_NET_1QTR</t>
  </si>
  <si>
    <t>CHG_NET_2QTR</t>
  </si>
  <si>
    <t>CHG_NET_3QTR</t>
  </si>
  <si>
    <t>CHG_NET_4QTR</t>
  </si>
  <si>
    <t>CLI_CHG_1QTR</t>
  </si>
  <si>
    <t>CLI_CHG_2QTR</t>
  </si>
  <si>
    <t>CLI_CHG_3QTR</t>
  </si>
  <si>
    <t>CLI_CHG_4QTR</t>
  </si>
  <si>
    <t>CESI</t>
  </si>
  <si>
    <t>CITI ECO SURPRISE TICKERS</t>
  </si>
  <si>
    <t>ECO_SURPRISE</t>
  </si>
  <si>
    <t>CSII</t>
  </si>
  <si>
    <t>CITI INFLATION SURPRISE TICKERS</t>
  </si>
  <si>
    <t>INF_SURPRISE</t>
  </si>
  <si>
    <t>CESI_STMA</t>
  </si>
  <si>
    <t>CESI_MTMA</t>
  </si>
  <si>
    <t>INF_SURP_1M</t>
  </si>
  <si>
    <t>INF_SURP_3M</t>
  </si>
  <si>
    <t>Colombia IBR Overnight Nominal</t>
  </si>
  <si>
    <t>Q418</t>
  </si>
  <si>
    <t>MRO LN EQUITY</t>
  </si>
  <si>
    <t>Melrose Industries PLC</t>
  </si>
  <si>
    <t>CENTRAL BANK FX RESERVES</t>
  </si>
  <si>
    <t>RUFGGFML Index</t>
  </si>
  <si>
    <t>QUOTE_UNITS</t>
  </si>
  <si>
    <t>BILLIONS</t>
  </si>
  <si>
    <t>TURWL Index</t>
  </si>
  <si>
    <t>PORATOTL Index</t>
  </si>
  <si>
    <t>BZIDINTL Index</t>
  </si>
  <si>
    <t>MXIRINUS Index</t>
  </si>
  <si>
    <t>CHMRRSRV Index</t>
  </si>
  <si>
    <t>COIRNET Index</t>
  </si>
  <si>
    <t>SANOFP$ Index</t>
  </si>
  <si>
    <t>CNMMTTL Index</t>
  </si>
  <si>
    <t>100 Million</t>
  </si>
  <si>
    <t>Million</t>
  </si>
  <si>
    <t>USD/Million</t>
  </si>
  <si>
    <t>INMORES$ Index</t>
  </si>
  <si>
    <t>MAALFCR$ Index</t>
  </si>
  <si>
    <t>IDGFA Index</t>
  </si>
  <si>
    <t>THFRUS$ Index</t>
  </si>
  <si>
    <t>PHIRTTL Index</t>
  </si>
  <si>
    <t>WIRATAIW Index</t>
  </si>
  <si>
    <t>WIRASK Index</t>
  </si>
  <si>
    <t>CZIRL Index</t>
  </si>
  <si>
    <t>FX_RESERVE_UNITS</t>
  </si>
  <si>
    <t>FX_RESERVES</t>
  </si>
  <si>
    <t>MILLIONS</t>
  </si>
  <si>
    <t>Billion</t>
  </si>
  <si>
    <t>Smurfit Kappa Group PLC</t>
  </si>
  <si>
    <t>JPY SWAP OIS 1M</t>
  </si>
  <si>
    <t>AUD SWAP OIS 3M</t>
  </si>
  <si>
    <t>NZD SWAP OIS 3M</t>
  </si>
  <si>
    <t>CAD SWAP OIS 1M</t>
  </si>
  <si>
    <t>INR SWAP ONSH OIS 1M</t>
  </si>
  <si>
    <t>INF LN EQUITY</t>
  </si>
  <si>
    <t>Communication Services</t>
  </si>
  <si>
    <t>Informa PLC</t>
  </si>
  <si>
    <t>BHP LN EQUITY</t>
  </si>
  <si>
    <t>BHP Group PLC</t>
  </si>
  <si>
    <t>Polymetal International PLC</t>
  </si>
  <si>
    <t>HLMA LN EQUITY</t>
  </si>
  <si>
    <t>RTO LN EQUITY</t>
  </si>
  <si>
    <t>SPX LN EQUITY</t>
  </si>
  <si>
    <t>OCDO LN EQUITY</t>
  </si>
  <si>
    <t>EVR LN EQUITY</t>
  </si>
  <si>
    <t>Halma PLC</t>
  </si>
  <si>
    <t>Rentokil Initial PLC</t>
  </si>
  <si>
    <t>Spirax-Sarco Engineering PLC</t>
  </si>
  <si>
    <t>Ocado Group PLC</t>
  </si>
  <si>
    <t>Flutter Entertainment PLC</t>
  </si>
  <si>
    <t>Evraz PLC</t>
  </si>
  <si>
    <t>MNG LN EQUITY</t>
  </si>
  <si>
    <t>JD/ LN EQUITY</t>
  </si>
  <si>
    <t>AVV LN EQUITY</t>
  </si>
  <si>
    <t>M&amp;G PLC</t>
  </si>
  <si>
    <t>JD Sports Fashion PLC</t>
  </si>
  <si>
    <t>AVEVA Group PLC</t>
  </si>
  <si>
    <t>SPX INDEX</t>
  </si>
  <si>
    <t>UKX INDEX</t>
  </si>
  <si>
    <t>S&amp;P 500 INDEX</t>
  </si>
  <si>
    <t>FTSE 100 INDEX</t>
  </si>
  <si>
    <t>SX5E INDEX</t>
  </si>
  <si>
    <t>Euro Stoxx 50 Pr</t>
  </si>
  <si>
    <t>CRH LN EQUITY</t>
  </si>
  <si>
    <t>FLTR LN EQUITY</t>
  </si>
  <si>
    <t>SMT LN EQUITY</t>
  </si>
  <si>
    <t>JET LN EQUITY</t>
  </si>
  <si>
    <t>SKG LN EQUITY</t>
  </si>
  <si>
    <t>POLY LN EQUITY</t>
  </si>
  <si>
    <t>RMV LN EQUITY</t>
  </si>
  <si>
    <t>PNN LN EQUITY</t>
  </si>
  <si>
    <t>SMDS LN EQUITY</t>
  </si>
  <si>
    <t>IAG LN EQUITY</t>
  </si>
  <si>
    <t>HIK LN EQUITY</t>
  </si>
  <si>
    <t>ICP LN EQUITY</t>
  </si>
  <si>
    <t>PHNX LN EQUITY</t>
  </si>
  <si>
    <t>FRES LN EQUITY</t>
  </si>
  <si>
    <t>Scottish Mortgage Investment Trust PLC</t>
  </si>
  <si>
    <t>Just Eat Takeaway.com NV</t>
  </si>
  <si>
    <t>Rightmove PLC</t>
  </si>
  <si>
    <t>Pennon Group PLC</t>
  </si>
  <si>
    <t>DS Smith PLC</t>
  </si>
  <si>
    <t>International Consolidated Airlines Group SA</t>
  </si>
  <si>
    <t>Hikma Pharmaceuticals PLC</t>
  </si>
  <si>
    <t>Intermediate Capital Group PLC</t>
  </si>
  <si>
    <t>Phoenix Group Holdings PLC</t>
  </si>
  <si>
    <t>Fresnillo PLC</t>
  </si>
  <si>
    <t>South Africa</t>
  </si>
  <si>
    <t>RTG_MOODY_LONG_TERM</t>
  </si>
  <si>
    <t>s&amp;p</t>
  </si>
  <si>
    <t>RTG_FITCH_LT_ISSUER_DEFAULT</t>
  </si>
  <si>
    <t>MXUS Index</t>
  </si>
  <si>
    <t>NOTES</t>
  </si>
  <si>
    <t>JALSHTR Index</t>
  </si>
  <si>
    <t>STEFI Index</t>
  </si>
  <si>
    <t>GLOBAL AGG HEDGED USD</t>
  </si>
  <si>
    <t>EM EQUITY</t>
  </si>
  <si>
    <t>DM EQUITY HEDGED USD</t>
  </si>
  <si>
    <t>DM EQUITY</t>
  </si>
  <si>
    <t>SQ EQUITY ALSI</t>
  </si>
  <si>
    <t>GOLD</t>
  </si>
  <si>
    <t>US HY</t>
  </si>
  <si>
    <t>EMD$</t>
  </si>
  <si>
    <t>SA LIQUIDITY</t>
  </si>
  <si>
    <t>GLOBAL REIT</t>
  </si>
  <si>
    <t>SA LISTED PROPERTY</t>
  </si>
  <si>
    <t>SA EQUITY RESI</t>
  </si>
  <si>
    <t>GLOBAL RATES HEDGED USD</t>
  </si>
  <si>
    <t>GLOBAL CREDIT HEDGED USD</t>
  </si>
  <si>
    <t>GLOBAL HY HEDGED USD</t>
  </si>
  <si>
    <t>EURO HY</t>
  </si>
  <si>
    <t>SA GOVT ILB</t>
  </si>
  <si>
    <t>SA GOVT BONDS BBG</t>
  </si>
  <si>
    <t>USD LIQUIDITY</t>
  </si>
  <si>
    <t>BCOM</t>
  </si>
  <si>
    <t>EMD LOCAL</t>
  </si>
  <si>
    <t>EURO HY HEDGED USD</t>
  </si>
  <si>
    <t>SA EQUITY FINI</t>
  </si>
  <si>
    <t>ZAR Curncy</t>
  </si>
  <si>
    <t>x</t>
  </si>
  <si>
    <t>mean</t>
  </si>
  <si>
    <t>vol</t>
  </si>
  <si>
    <t>exp_vol</t>
  </si>
  <si>
    <t>Date</t>
  </si>
  <si>
    <t>Benchmark</t>
  </si>
  <si>
    <t>STANLIB LowTE (Gross of Management Fees)</t>
  </si>
  <si>
    <t>Source</t>
  </si>
  <si>
    <t>StatPro</t>
  </si>
  <si>
    <t>Capped SWIX AllShare TR</t>
  </si>
  <si>
    <t>Fairtree Prescient Smart Beta(Gross Of Management Fees)</t>
  </si>
  <si>
    <t>Backtest</t>
  </si>
  <si>
    <t>Morningstar</t>
  </si>
  <si>
    <t>Dates</t>
  </si>
  <si>
    <t>STEFI</t>
  </si>
  <si>
    <t>ReturnDate</t>
  </si>
  <si>
    <t>SMM</t>
  </si>
  <si>
    <t>Jaco</t>
  </si>
  <si>
    <t>Bloomberg</t>
  </si>
  <si>
    <t>ALBTR Index</t>
  </si>
  <si>
    <t>JSAPYTR Index</t>
  </si>
  <si>
    <t>M1WD Index</t>
  </si>
  <si>
    <t>JPMGGLBL Index</t>
  </si>
  <si>
    <t>JPCAUS3M Index</t>
  </si>
  <si>
    <t>ALBI</t>
  </si>
  <si>
    <t>JP Morgan GBI Global</t>
  </si>
  <si>
    <t>J.P. Morgan Cash</t>
  </si>
  <si>
    <t>SA Property</t>
  </si>
  <si>
    <t xml:space="preserve">MSCI ACWI </t>
  </si>
  <si>
    <t>MQCP584E Index</t>
  </si>
  <si>
    <t>Minimum Drawdown Carry</t>
  </si>
  <si>
    <t>MQCP692E Index</t>
  </si>
  <si>
    <t>Season Adjusted F6 vs F0</t>
  </si>
  <si>
    <t>MQCP710E Index</t>
  </si>
  <si>
    <t>Dynamic Carry</t>
  </si>
  <si>
    <t>Dynamic Bull/Bear</t>
  </si>
  <si>
    <t>MQCP760E Index</t>
  </si>
  <si>
    <t>ALSI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</si>
</sst>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dd/mm/yyyy;@"/>
    <numFmt numFmtId="166" formatCode="0.0"/>
    <numFmt numFmtId="167" formatCode="mmm\-yy;@"/>
    <numFmt numFmtId="168" formatCode="0.0%"/>
    <numFmt numFmtId="169" formatCode="yyyy\-mm\-dd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mbria"/>
      <family val="2"/>
    </font>
    <font>
      <sz val="10"/>
      <name val="Arial"/>
      <family val="2"/>
    </font>
    <font>
      <sz val="10"/>
      <name val="MS Sans Serif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3F3F76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sz val="11"/>
      <color theme="1"/>
      <name val="Calibri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9">
    <xf numFmtId="0" fontId="0" fillId="0" borderId="0"/>
    <xf numFmtId="0" fontId="2" fillId="0" borderId="0"/>
    <xf numFmtId="0" fontId="1" fillId="0" borderId="0"/>
    <xf numFmtId="0" fontId="1" fillId="0" borderId="0"/>
    <xf numFmtId="9" fontId="3" fillId="0" borderId="0" applyFont="0" applyFill="0" applyBorder="0" applyAlignment="0" applyProtection="0"/>
    <xf numFmtId="0" fontId="4" fillId="0" borderId="0"/>
    <xf numFmtId="0" fontId="1" fillId="0" borderId="0"/>
    <xf numFmtId="9" fontId="1" fillId="0" borderId="0" applyFont="0" applyFill="0" applyBorder="0" applyAlignment="0" applyProtection="0"/>
    <xf numFmtId="0" fontId="12" fillId="2" borderId="1" applyNumberFormat="0" applyAlignment="0" applyProtection="0"/>
  </cellStyleXfs>
  <cellXfs count="73">
    <xf numFmtId="0" fontId="0" fillId="0" borderId="0" xfId="0"/>
    <xf numFmtId="0" fontId="5" fillId="0" borderId="0" xfId="0" applyFont="1" applyAlignment="1">
      <alignment horizontal="left" wrapText="1"/>
    </xf>
    <xf numFmtId="0" fontId="5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5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6" fillId="0" borderId="0" xfId="0" applyFont="1"/>
    <xf numFmtId="2" fontId="6" fillId="0" borderId="0" xfId="0" applyNumberFormat="1" applyFont="1" applyAlignment="1">
      <alignment horizontal="center"/>
    </xf>
    <xf numFmtId="0" fontId="6" fillId="0" borderId="0" xfId="0" applyFont="1" applyAlignment="1">
      <alignment horizontal="left"/>
    </xf>
    <xf numFmtId="14" fontId="6" fillId="0" borderId="0" xfId="0" applyNumberFormat="1" applyFont="1" applyAlignment="1">
      <alignment horizontal="center" wrapText="1"/>
    </xf>
    <xf numFmtId="14" fontId="6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/>
    </xf>
    <xf numFmtId="0" fontId="7" fillId="0" borderId="0" xfId="0" applyFont="1" applyAlignment="1">
      <alignment horizontal="center" wrapText="1"/>
    </xf>
    <xf numFmtId="0" fontId="7" fillId="0" borderId="0" xfId="0" applyFont="1" applyAlignment="1">
      <alignment horizontal="left" wrapText="1"/>
    </xf>
    <xf numFmtId="0" fontId="0" fillId="0" borderId="0" xfId="0" applyAlignment="1">
      <alignment horizontal="left" wrapText="1"/>
    </xf>
    <xf numFmtId="0" fontId="0" fillId="0" borderId="0" xfId="0" applyBorder="1" applyAlignment="1">
      <alignment horizontal="left"/>
    </xf>
    <xf numFmtId="164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4" fontId="5" fillId="0" borderId="0" xfId="0" applyNumberFormat="1" applyFont="1" applyAlignment="1">
      <alignment horizontal="center" wrapText="1"/>
    </xf>
    <xf numFmtId="0" fontId="5" fillId="0" borderId="0" xfId="0" applyFont="1"/>
    <xf numFmtId="0" fontId="8" fillId="0" borderId="0" xfId="0" applyFont="1"/>
    <xf numFmtId="164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 wrapText="1"/>
    </xf>
    <xf numFmtId="0" fontId="10" fillId="0" borderId="0" xfId="0" applyFont="1" applyAlignment="1">
      <alignment horizontal="left" wrapText="1"/>
    </xf>
    <xf numFmtId="0" fontId="10" fillId="0" borderId="0" xfId="0" applyFont="1" applyAlignment="1">
      <alignment horizontal="center" wrapText="1"/>
    </xf>
    <xf numFmtId="2" fontId="7" fillId="0" borderId="0" xfId="0" applyNumberFormat="1" applyFont="1" applyAlignment="1">
      <alignment horizontal="center" wrapText="1"/>
    </xf>
    <xf numFmtId="2" fontId="10" fillId="0" borderId="0" xfId="0" applyNumberFormat="1" applyFont="1" applyAlignment="1">
      <alignment horizontal="center" wrapText="1"/>
    </xf>
    <xf numFmtId="0" fontId="13" fillId="0" borderId="0" xfId="0" applyFont="1" applyAlignment="1">
      <alignment wrapText="1"/>
    </xf>
    <xf numFmtId="0" fontId="13" fillId="0" borderId="0" xfId="0" applyFont="1" applyAlignment="1">
      <alignment horizontal="center" wrapText="1"/>
    </xf>
    <xf numFmtId="10" fontId="0" fillId="0" borderId="0" xfId="0" applyNumberFormat="1" applyAlignment="1">
      <alignment horizontal="left"/>
    </xf>
    <xf numFmtId="10" fontId="0" fillId="0" borderId="0" xfId="7" applyNumberFormat="1" applyFont="1" applyAlignment="1">
      <alignment horizontal="left"/>
    </xf>
    <xf numFmtId="10" fontId="14" fillId="0" borderId="0" xfId="0" applyNumberFormat="1" applyFont="1" applyAlignment="1">
      <alignment horizontal="left"/>
    </xf>
    <xf numFmtId="0" fontId="12" fillId="2" borderId="1" xfId="8"/>
    <xf numFmtId="2" fontId="7" fillId="0" borderId="0" xfId="0" applyNumberFormat="1" applyFont="1" applyAlignment="1">
      <alignment horizontal="left" wrapText="1"/>
    </xf>
    <xf numFmtId="0" fontId="0" fillId="0" borderId="0" xfId="0" applyFill="1" applyBorder="1" applyAlignment="1">
      <alignment horizontal="left"/>
    </xf>
    <xf numFmtId="0" fontId="11" fillId="0" borderId="0" xfId="0" applyFont="1" applyAlignment="1">
      <alignment horizontal="center" wrapText="1"/>
    </xf>
    <xf numFmtId="0" fontId="11" fillId="0" borderId="0" xfId="0" applyFont="1" applyAlignment="1">
      <alignment horizontal="left" wrapText="1"/>
    </xf>
    <xf numFmtId="2" fontId="11" fillId="0" borderId="0" xfId="0" applyNumberFormat="1" applyFont="1" applyAlignment="1">
      <alignment horizontal="center" wrapText="1"/>
    </xf>
    <xf numFmtId="2" fontId="10" fillId="0" borderId="0" xfId="0" applyNumberFormat="1" applyFont="1" applyAlignment="1">
      <alignment horizontal="left" wrapText="1"/>
    </xf>
    <xf numFmtId="0" fontId="12" fillId="2" borderId="1" xfId="8" applyAlignment="1">
      <alignment horizontal="left"/>
    </xf>
    <xf numFmtId="0" fontId="0" fillId="0" borderId="0" xfId="0" applyFont="1"/>
    <xf numFmtId="0" fontId="0" fillId="0" borderId="0" xfId="0" applyFont="1" applyAlignment="1">
      <alignment horizontal="center"/>
    </xf>
    <xf numFmtId="0" fontId="12" fillId="2" borderId="1" xfId="8" applyFont="1" applyAlignment="1">
      <alignment horizontal="left"/>
    </xf>
    <xf numFmtId="2" fontId="0" fillId="0" borderId="0" xfId="0" applyNumberFormat="1" applyFont="1" applyAlignment="1">
      <alignment horizontal="center"/>
    </xf>
    <xf numFmtId="2" fontId="12" fillId="2" borderId="1" xfId="8" applyNumberFormat="1" applyFont="1" applyAlignment="1">
      <alignment horizontal="center"/>
    </xf>
    <xf numFmtId="2" fontId="0" fillId="0" borderId="0" xfId="0" applyNumberFormat="1" applyFont="1" applyAlignment="1">
      <alignment horizontal="left"/>
    </xf>
    <xf numFmtId="0" fontId="0" fillId="0" borderId="0" xfId="0" applyFont="1" applyFill="1"/>
    <xf numFmtId="0" fontId="0" fillId="0" borderId="0" xfId="0" applyFont="1" applyAlignment="1">
      <alignment horizontal="left"/>
    </xf>
    <xf numFmtId="0" fontId="0" fillId="0" borderId="0" xfId="0" applyFont="1" applyBorder="1"/>
    <xf numFmtId="14" fontId="10" fillId="0" borderId="0" xfId="0" applyNumberFormat="1" applyFont="1" applyAlignment="1">
      <alignment horizontal="center" wrapText="1"/>
    </xf>
    <xf numFmtId="2" fontId="11" fillId="0" borderId="0" xfId="0" applyNumberFormat="1" applyFont="1" applyAlignment="1">
      <alignment horizontal="left" wrapText="1"/>
    </xf>
    <xf numFmtId="165" fontId="5" fillId="0" borderId="0" xfId="0" applyNumberFormat="1" applyFont="1" applyAlignment="1">
      <alignment horizontal="center" wrapText="1"/>
    </xf>
    <xf numFmtId="165" fontId="6" fillId="0" borderId="0" xfId="0" applyNumberFormat="1" applyFont="1" applyAlignment="1">
      <alignment horizontal="center" wrapText="1"/>
    </xf>
    <xf numFmtId="165" fontId="6" fillId="0" borderId="0" xfId="0" applyNumberFormat="1" applyFont="1" applyAlignment="1">
      <alignment horizontal="center"/>
    </xf>
    <xf numFmtId="2" fontId="6" fillId="0" borderId="0" xfId="0" applyNumberFormat="1" applyFont="1" applyAlignment="1">
      <alignment horizontal="center" wrapText="1"/>
    </xf>
    <xf numFmtId="2" fontId="5" fillId="0" borderId="0" xfId="0" applyNumberFormat="1" applyFont="1" applyAlignment="1">
      <alignment horizontal="center" wrapText="1"/>
    </xf>
    <xf numFmtId="166" fontId="6" fillId="0" borderId="0" xfId="0" applyNumberFormat="1" applyFont="1" applyAlignment="1">
      <alignment horizontal="center"/>
    </xf>
    <xf numFmtId="167" fontId="6" fillId="0" borderId="0" xfId="0" applyNumberFormat="1" applyFont="1" applyAlignment="1">
      <alignment horizontal="center"/>
    </xf>
    <xf numFmtId="166" fontId="5" fillId="0" borderId="0" xfId="0" applyNumberFormat="1" applyFont="1" applyAlignment="1">
      <alignment horizontal="center" wrapText="1"/>
    </xf>
    <xf numFmtId="166" fontId="6" fillId="0" borderId="0" xfId="0" applyNumberFormat="1" applyFont="1" applyAlignment="1">
      <alignment horizontal="center" wrapText="1"/>
    </xf>
    <xf numFmtId="168" fontId="0" fillId="0" borderId="0" xfId="7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7" applyNumberFormat="1" applyFont="1" applyAlignment="1">
      <alignment horizontal="left"/>
    </xf>
    <xf numFmtId="17" fontId="0" fillId="0" borderId="0" xfId="0" applyNumberFormat="1"/>
    <xf numFmtId="14" fontId="0" fillId="0" borderId="0" xfId="0" applyNumberFormat="1"/>
    <xf numFmtId="11" fontId="0" fillId="0" borderId="0" xfId="0" applyNumberFormat="1"/>
    <xf numFmtId="0" fontId="15" fillId="3" borderId="0" xfId="0" applyFont="1" applyFill="1" applyAlignment="1">
      <alignment horizontal="center" vertical="center" wrapText="1"/>
    </xf>
    <xf numFmtId="0" fontId="7" fillId="3" borderId="0" xfId="0" applyFont="1" applyFill="1" applyAlignment="1">
      <alignment horizontal="center" vertical="center" wrapText="1"/>
    </xf>
    <xf numFmtId="169" fontId="16" fillId="3" borderId="0" xfId="0" applyNumberFormat="1" applyFont="1" applyFill="1" applyAlignment="1">
      <alignment horizontal="center" vertical="center"/>
    </xf>
    <xf numFmtId="168" fontId="0" fillId="3" borderId="0" xfId="0" applyNumberFormat="1" applyFill="1" applyAlignment="1">
      <alignment horizontal="center"/>
    </xf>
  </cellXfs>
  <cellStyles count="9">
    <cellStyle name="Input" xfId="8" builtinId="20"/>
    <cellStyle name="Normal" xfId="0" builtinId="0"/>
    <cellStyle name="Normal 2" xfId="1" xr:uid="{00000000-0005-0000-0000-000002000000}"/>
    <cellStyle name="Normal 2 2" xfId="6" xr:uid="{00000000-0005-0000-0000-000003000000}"/>
    <cellStyle name="Normal 3" xfId="2" xr:uid="{00000000-0005-0000-0000-000004000000}"/>
    <cellStyle name="Normal 4" xfId="3" xr:uid="{00000000-0005-0000-0000-000005000000}"/>
    <cellStyle name="Percent" xfId="7" builtinId="5"/>
    <cellStyle name="Percent 2" xfId="4" xr:uid="{00000000-0005-0000-0000-000007000000}"/>
    <cellStyle name="Style 1" xfId="5" xr:uid="{00000000-0005-0000-0000-000008000000}"/>
  </cellStyles>
  <dxfs count="1">
    <dxf>
      <font>
        <color theme="0" tint="-0.14996795556505021"/>
      </font>
    </dxf>
  </dxfs>
  <tableStyles count="0" defaultTableStyle="TableStyleMedium2" defaultPivotStyle="PivotStyleLight16"/>
  <colors>
    <mruColors>
      <color rgb="FF00C0A9"/>
      <color rgb="FF63BE7B"/>
      <color rgb="FFFF9900"/>
      <color rgb="FFF86B69"/>
      <color rgb="FF33EE00"/>
      <color rgb="FF37FF01"/>
      <color rgb="FFFF9999"/>
      <color rgb="FFFF5B5B"/>
      <color rgb="FFFFFF00"/>
      <color rgb="FF23F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J.P. Morgan GBI Global Unhedged USD</v>
        <stp/>
        <stp>##V3_BDPV12</stp>
        <stp>JPMGGLBL Index</stp>
        <stp>LONG_COMP_NAME</stp>
        <stp>[BACKTEST.xlsm]TIMESERIES!R4C11</stp>
        <tr r="K4" s="134"/>
      </tp>
    </main>
    <main first="bloomberg.rtd">
      <tp t="s">
        <v>FTSE JSE All Share Index Total Return Value</v>
        <stp/>
        <stp>##V3_BDPV12</stp>
        <stp>JALSHTR Index</stp>
        <stp>LONG_COMP_NAME</stp>
        <stp>[BACKTEST.xlsm]TIMESERIES!R4C6</stp>
        <tr r="F4" s="134"/>
      </tp>
      <tp t="s">
        <v>FTSE/JSE ALBI Total Return Index</v>
        <stp/>
        <stp>##V3_BDPV12</stp>
        <stp>ALBTR Index</stp>
        <stp>LONG_COMP_NAME</stp>
        <stp>[BACKTEST.xlsm]TIMESERIES!R4C7</stp>
        <tr r="G4" s="134"/>
      </tp>
      <tp t="s">
        <v>SAFE South Africa Short Term Fixed Interest Rate - Composite Index</v>
        <stp/>
        <stp>##V3_BDPV12</stp>
        <stp>STEFI Index</stp>
        <stp>LONG_COMP_NAME</stp>
        <stp>[BACKTEST.xlsm]TIMESERIES!R4C8</stp>
        <tr r="H4" s="134"/>
      </tp>
      <tp t="s">
        <v>FTSE/JSE SA Listed Property Total Return Index</v>
        <stp/>
        <stp>##V3_BDPV12</stp>
        <stp>JSAPYTR Index</stp>
        <stp>LONG_COMP_NAME</stp>
        <stp>[BACKTEST.xlsm]TIMESERIES!R4C9</stp>
        <tr r="I4" s="134"/>
      </tp>
    </main>
    <main first="bloomberg.rtd">
      <tp t="s">
        <v>MSCI USA</v>
        <stp/>
        <stp>##V3_BDPV12</stp>
        <stp>MXUS Index</stp>
        <stp>NAME</stp>
        <stp>[BACKTEST.xlsm]BDH!R1C5</stp>
        <tr r="E1" s="16"/>
      </tp>
    </main>
    <main first="bloomberg.rtd">
      <tp t="s">
        <v>USDZAR Spot Exchange Rate - Price of 1 USD in ZAR</v>
        <stp/>
        <stp>##V3_BDPV12</stp>
        <stp>ZAR Curncy</stp>
        <stp>LONG_COMP_NAME</stp>
        <stp>[BACKTEST.xlsm]TIMESERIES!R4C5</stp>
        <tr r="E4" s="134"/>
      </tp>
    </main>
    <main first="bloomberg.rtd">
      <tp t="s">
        <v>MSCI ACWI Net Total Return USD Index</v>
        <stp/>
        <stp>##V3_BDPV12</stp>
        <stp>M1WD Index</stp>
        <stp>LONG_COMP_NAME</stp>
        <stp>[BACKTEST.xlsm]TIMESERIES!R4C10</stp>
        <tr r="J4" s="134"/>
      </tp>
    </main>
    <main first="bloomberg.rtd">
      <tp t="s">
        <v>J.P. Morgan Cash Index USD 3 Month</v>
        <stp/>
        <stp>##V3_BDPV12</stp>
        <stp>JPCAUS3M Index</stp>
        <stp>LONG_COMP_NAME</stp>
        <stp>[BACKTEST.xlsm]TIMESERIES!R4C12</stp>
        <tr r="L4" s="134"/>
      </tp>
      <tp t="s">
        <v>Macquarie Index MQCP692E</v>
        <stp/>
        <stp>##V3_BDPV12</stp>
        <stp>MQCP692E Index</stp>
        <stp>LONG_COMP_NAME</stp>
        <stp>[BACKTEST.xlsm]TIMESERIES!R4C14</stp>
        <tr r="N4" s="134"/>
      </tp>
      <tp t="s">
        <v>Macquarie Commod Product 710E</v>
        <stp/>
        <stp>##V3_BDPV12</stp>
        <stp>MQCP710E Index</stp>
        <stp>LONG_COMP_NAME</stp>
        <stp>[BACKTEST.xlsm]TIMESERIES!R4C15</stp>
        <tr r="O4" s="134"/>
      </tp>
      <tp t="s">
        <v>Macquarie Index MQCP760E</v>
        <stp/>
        <stp>##V3_BDPV12</stp>
        <stp>MQCP760E Index</stp>
        <stp>LONG_COMP_NAME</stp>
        <stp>[BACKTEST.xlsm]TIMESERIES!R4C16</stp>
        <tr r="P4" s="134"/>
      </tp>
      <tp t="s">
        <v>Macquarie Investor Product 584E</v>
        <stp/>
        <stp>##V3_BDPV12</stp>
        <stp>MQCP584E Index</stp>
        <stp>LONG_COMP_NAME</stp>
        <stp>[BACKTEST.xlsm]TIMESERIES!R4C13</stp>
        <tr r="M4" s="13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9</xdr:row>
          <xdr:rowOff>25400</xdr:rowOff>
        </xdr:from>
        <xdr:to>
          <xdr:col>1</xdr:col>
          <xdr:colOff>793750</xdr:colOff>
          <xdr:row>10</xdr:row>
          <xdr:rowOff>152400</xdr:rowOff>
        </xdr:to>
        <xdr:sp macro="" textlink="">
          <xdr:nvSpPr>
            <xdr:cNvPr id="685057" name="Button 1" hidden="1">
              <a:extLst>
                <a:ext uri="{63B3BB69-23CF-44E3-9099-C40C66FF867C}">
                  <a14:compatExt spid="_x0000_s685057"/>
                </a:ext>
                <a:ext uri="{FF2B5EF4-FFF2-40B4-BE49-F238E27FC236}">
                  <a16:creationId xmlns:a16="http://schemas.microsoft.com/office/drawing/2014/main" id="{00000000-0008-0000-0100-0000017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HISTORICAL DATA</a:t>
              </a: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8</xdr:row>
          <xdr:rowOff>38100</xdr:rowOff>
        </xdr:from>
        <xdr:to>
          <xdr:col>1</xdr:col>
          <xdr:colOff>793750</xdr:colOff>
          <xdr:row>9</xdr:row>
          <xdr:rowOff>158750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7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HISTORICAL DATA</a:t>
              </a: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6350</xdr:rowOff>
        </xdr:from>
        <xdr:to>
          <xdr:col>0</xdr:col>
          <xdr:colOff>1206500</xdr:colOff>
          <xdr:row>1</xdr:row>
          <xdr:rowOff>755650</xdr:rowOff>
        </xdr:to>
        <xdr:sp macro="" textlink="">
          <xdr:nvSpPr>
            <xdr:cNvPr id="99329" name="Button 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8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6350</xdr:rowOff>
        </xdr:from>
        <xdr:to>
          <xdr:col>1</xdr:col>
          <xdr:colOff>0</xdr:colOff>
          <xdr:row>3</xdr:row>
          <xdr:rowOff>6350</xdr:rowOff>
        </xdr:to>
        <xdr:sp macro="" textlink="">
          <xdr:nvSpPr>
            <xdr:cNvPr id="492545" name="Button 1" hidden="1">
              <a:extLst>
                <a:ext uri="{63B3BB69-23CF-44E3-9099-C40C66FF867C}">
                  <a14:compatExt spid="_x0000_s492545"/>
                </a:ext>
                <a:ext uri="{FF2B5EF4-FFF2-40B4-BE49-F238E27FC236}">
                  <a16:creationId xmlns:a16="http://schemas.microsoft.com/office/drawing/2014/main" id="{00000000-0008-0000-0900-0000018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44450</xdr:colOff>
          <xdr:row>4</xdr:row>
          <xdr:rowOff>38100</xdr:rowOff>
        </xdr:from>
        <xdr:to>
          <xdr:col>4</xdr:col>
          <xdr:colOff>273050</xdr:colOff>
          <xdr:row>5</xdr:row>
          <xdr:rowOff>158750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A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BDH DATA</a:t>
              </a: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38100</xdr:rowOff>
        </xdr:from>
        <xdr:to>
          <xdr:col>0</xdr:col>
          <xdr:colOff>1181100</xdr:colOff>
          <xdr:row>2</xdr:row>
          <xdr:rowOff>457200</xdr:rowOff>
        </xdr:to>
        <xdr:sp macro="" textlink="">
          <xdr:nvSpPr>
            <xdr:cNvPr id="124929" name="Button 1" hidden="1">
              <a:extLst>
                <a:ext uri="{63B3BB69-23CF-44E3-9099-C40C66FF867C}">
                  <a14:compatExt spid="_x0000_s124929"/>
                </a:ext>
                <a:ext uri="{FF2B5EF4-FFF2-40B4-BE49-F238E27FC236}">
                  <a16:creationId xmlns:a16="http://schemas.microsoft.com/office/drawing/2014/main" id="{00000000-0008-0000-0B00-000001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tandardbank.sharepoint.com/sites/StanlibMultiStrategy/Shared%20Documents/CloudFiles/Multi-Strategy/LT%20Expected%20Returns/Expected%20Retur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  <sheetName val="xlwings"/>
      <sheetName val="XAU"/>
      <sheetName val="BOGLE"/>
      <sheetName val="MX_PX"/>
      <sheetName val="MX_TR"/>
      <sheetName val="MX_PE"/>
      <sheetName val="MX_DY"/>
      <sheetName val="MX_ROE"/>
      <sheetName val="MX_PB"/>
      <sheetName val="MX_FwdPE"/>
      <sheetName val="MX_LTFwdEPS_G"/>
      <sheetName val="GDP_RealPerCap"/>
      <sheetName val="GDP_NomPerCap"/>
      <sheetName val="PX"/>
      <sheetName val="TR"/>
      <sheetName val="PE"/>
      <sheetName val="DY"/>
      <sheetName val="ROE"/>
      <sheetName val="BEstPE"/>
      <sheetName val="SPX"/>
      <sheetName val="JALSH"/>
      <sheetName val="PerCapGDP"/>
      <sheetName val="ASX"/>
      <sheetName val="INF"/>
      <sheetName val="BDP_SPOTS"/>
      <sheetName val="INet"/>
      <sheetName val="SHILLER"/>
      <sheetName val="INF_US"/>
      <sheetName val="ECBFX_TEST"/>
      <sheetName val="DS_UK"/>
      <sheetName val="DS_EQ_TR"/>
      <sheetName val="FX_NOMINAL"/>
      <sheetName val="CPI_YOY"/>
      <sheetName val="PPI_YOY"/>
      <sheetName val="CPI"/>
      <sheetName val="DummyDDM"/>
      <sheetName val="TOTO"/>
      <sheetName val="SPX_LT"/>
      <sheetName val="JALSH_LT"/>
      <sheetName val="ASX_LT"/>
      <sheetName val="Macrobond"/>
      <sheetName val="DS_BMK10YR_TR"/>
      <sheetName val="DS_BMK10YR_YLD"/>
      <sheetName val="DS_BMK2YR_YLD"/>
      <sheetName val="DS_CPI"/>
      <sheetName val="BDP"/>
      <sheetName val="BDH"/>
      <sheetName val="Expected Retur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7C9F5-0640-4F71-832F-E093BF683A35}">
  <sheetPr codeName="Sheet1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A8AE8-F898-442C-9EDE-6CB7C90AC4BA}">
  <sheetPr codeName="Sheet9">
    <tabColor rgb="FF00C0A9"/>
  </sheetPr>
  <dimension ref="A1:JJ203"/>
  <sheetViews>
    <sheetView tabSelected="1" zoomScale="80" zoomScaleNormal="80" workbookViewId="0">
      <pane xSplit="3" ySplit="4" topLeftCell="D170" activePane="bottomRight" state="frozen"/>
      <selection pane="topRight" activeCell="D1" sqref="D1"/>
      <selection pane="bottomLeft" activeCell="A5" sqref="A5"/>
      <selection pane="bottomRight" activeCell="F177" sqref="F177"/>
    </sheetView>
  </sheetViews>
  <sheetFormatPr defaultColWidth="9.08984375" defaultRowHeight="13" x14ac:dyDescent="0.3"/>
  <cols>
    <col min="1" max="1" width="32.453125" style="4" customWidth="1"/>
    <col min="2" max="2" width="12.36328125" style="5" customWidth="1"/>
    <col min="3" max="3" width="1.54296875" style="5" customWidth="1"/>
    <col min="4" max="4" width="12.90625" style="56" customWidth="1"/>
    <col min="5" max="5" width="12.90625" style="7" customWidth="1"/>
    <col min="6" max="7" width="11.90625" style="59" customWidth="1"/>
    <col min="8" max="12" width="11.54296875" style="59" customWidth="1"/>
    <col min="13" max="13" width="14.7265625" style="5" customWidth="1"/>
    <col min="14" max="165" width="11.54296875" style="5" customWidth="1"/>
    <col min="166" max="16384" width="9.08984375" style="5"/>
  </cols>
  <sheetData>
    <row r="1" spans="1:17" s="2" customFormat="1" ht="54.75" customHeight="1" x14ac:dyDescent="0.3">
      <c r="A1" s="1" t="s">
        <v>92</v>
      </c>
      <c r="D1" s="54" t="s">
        <v>1313</v>
      </c>
      <c r="E1" s="58" t="s">
        <v>180</v>
      </c>
      <c r="F1" s="61" t="s">
        <v>1337</v>
      </c>
      <c r="G1" s="61" t="s">
        <v>1324</v>
      </c>
      <c r="H1" s="61" t="s">
        <v>1314</v>
      </c>
      <c r="I1" s="61" t="s">
        <v>1327</v>
      </c>
      <c r="J1" s="61" t="s">
        <v>1328</v>
      </c>
      <c r="K1" s="61" t="s">
        <v>1325</v>
      </c>
      <c r="L1" s="61" t="s">
        <v>1326</v>
      </c>
      <c r="M1" s="2" t="s">
        <v>1330</v>
      </c>
      <c r="N1" s="2" t="s">
        <v>1332</v>
      </c>
      <c r="O1" s="2" t="s">
        <v>1334</v>
      </c>
      <c r="P1" s="2" t="s">
        <v>1335</v>
      </c>
    </row>
    <row r="2" spans="1:17" s="3" customFormat="1" ht="29.25" customHeight="1" x14ac:dyDescent="0.3">
      <c r="A2" s="1" t="s">
        <v>4</v>
      </c>
      <c r="D2" s="55" t="s">
        <v>1300</v>
      </c>
      <c r="E2" s="57" t="s">
        <v>1299</v>
      </c>
      <c r="F2" s="62" t="s">
        <v>1274</v>
      </c>
      <c r="G2" s="62" t="s">
        <v>1319</v>
      </c>
      <c r="H2" s="62" t="s">
        <v>1275</v>
      </c>
      <c r="I2" s="62" t="s">
        <v>1320</v>
      </c>
      <c r="J2" s="62" t="s">
        <v>1321</v>
      </c>
      <c r="K2" s="62" t="s">
        <v>1322</v>
      </c>
      <c r="L2" s="62" t="s">
        <v>1323</v>
      </c>
      <c r="M2" s="3" t="s">
        <v>1329</v>
      </c>
      <c r="N2" s="3" t="s">
        <v>1331</v>
      </c>
      <c r="O2" s="3" t="s">
        <v>1333</v>
      </c>
      <c r="P2" s="3" t="s">
        <v>1336</v>
      </c>
    </row>
    <row r="3" spans="1:17" s="3" customFormat="1" ht="24" customHeight="1" x14ac:dyDescent="0.3">
      <c r="A3" s="1" t="s">
        <v>7</v>
      </c>
      <c r="D3" s="55" t="s">
        <v>1300</v>
      </c>
      <c r="E3" s="57" t="s">
        <v>8</v>
      </c>
      <c r="F3" s="62" t="s">
        <v>8</v>
      </c>
      <c r="G3" s="62" t="s">
        <v>8</v>
      </c>
      <c r="H3" s="62" t="s">
        <v>8</v>
      </c>
      <c r="I3" s="62" t="s">
        <v>8</v>
      </c>
      <c r="J3" s="62" t="s">
        <v>8</v>
      </c>
      <c r="K3" s="62" t="s">
        <v>8</v>
      </c>
      <c r="L3" s="62" t="s">
        <v>8</v>
      </c>
      <c r="M3" s="62" t="s">
        <v>8</v>
      </c>
      <c r="N3" s="62" t="s">
        <v>8</v>
      </c>
      <c r="O3" s="62" t="s">
        <v>8</v>
      </c>
      <c r="P3" s="62" t="s">
        <v>8</v>
      </c>
      <c r="Q3" s="62"/>
    </row>
    <row r="4" spans="1:17" s="3" customFormat="1" ht="114" customHeight="1" x14ac:dyDescent="0.3">
      <c r="A4" s="1" t="s">
        <v>1273</v>
      </c>
      <c r="D4" s="55" t="s">
        <v>1300</v>
      </c>
      <c r="E4" s="57" t="str" cm="1">
        <f t="array" ref="E4">_xll.BDP(E2,"LONG_COMP_NAME")</f>
        <v>USDZAR Spot Exchange Rate - Price of 1 USD in ZAR</v>
      </c>
      <c r="F4" s="62" t="str" cm="1">
        <f t="array" ref="F4">_xll.BDP(F2,"LONG_COMP_NAME")</f>
        <v>FTSE JSE All Share Index Total Return Value</v>
      </c>
      <c r="G4" s="62" t="str" cm="1">
        <f t="array" ref="G4">_xll.BDP(G2,"LONG_COMP_NAME")</f>
        <v>FTSE/JSE ALBI Total Return Index</v>
      </c>
      <c r="H4" s="62" t="str" cm="1">
        <f t="array" ref="H4">_xll.BDP(H2,"LONG_COMP_NAME")</f>
        <v>SAFE South Africa Short Term Fixed Interest Rate - Composite Index</v>
      </c>
      <c r="I4" s="62" t="str" cm="1">
        <f t="array" ref="I4">_xll.BDP(I2,"LONG_COMP_NAME")</f>
        <v>FTSE/JSE SA Listed Property Total Return Index</v>
      </c>
      <c r="J4" s="62" t="str" cm="1">
        <f t="array" ref="J4">_xll.BDP(J2,"LONG_COMP_NAME")</f>
        <v>MSCI ACWI Net Total Return USD Index</v>
      </c>
      <c r="K4" s="62" t="str" cm="1">
        <f t="array" ref="K4">_xll.BDP(K2,"LONG_COMP_NAME")</f>
        <v>J.P. Morgan GBI Global Unhedged USD</v>
      </c>
      <c r="L4" s="62" t="str" cm="1">
        <f t="array" ref="L4">_xll.BDP(L2,"LONG_COMP_NAME")</f>
        <v>J.P. Morgan Cash Index USD 3 Month</v>
      </c>
      <c r="M4" s="62" t="str" cm="1">
        <f t="array" ref="M4">_xll.BDP(M2,"LONG_COMP_NAME")</f>
        <v>Macquarie Investor Product 584E</v>
      </c>
      <c r="N4" s="62" t="str" cm="1">
        <f t="array" ref="N4">_xll.BDP(N2,"LONG_COMP_NAME")</f>
        <v>Macquarie Index MQCP692E</v>
      </c>
      <c r="O4" s="62" t="str" cm="1">
        <f t="array" ref="O4">_xll.BDP(O2,"LONG_COMP_NAME")</f>
        <v>Macquarie Commod Product 710E</v>
      </c>
      <c r="P4" s="62" t="str" cm="1">
        <f t="array" ref="P4">_xll.BDP(P2,"LONG_COMP_NAME")</f>
        <v>Macquarie Index MQCP760E</v>
      </c>
      <c r="Q4" s="62"/>
    </row>
    <row r="5" spans="1:17" x14ac:dyDescent="0.3">
      <c r="A5" s="4" t="s">
        <v>0</v>
      </c>
      <c r="B5" s="10">
        <v>38352</v>
      </c>
      <c r="D5" s="56">
        <v>38352</v>
      </c>
      <c r="E5" s="7">
        <v>5.665</v>
      </c>
      <c r="F5" s="59">
        <v>1237.25</v>
      </c>
      <c r="G5" s="59">
        <v>212</v>
      </c>
      <c r="H5" s="59">
        <v>152.8081</v>
      </c>
      <c r="I5" s="59">
        <v>252.73</v>
      </c>
      <c r="J5" s="59">
        <v>591.05628000000002</v>
      </c>
      <c r="K5" s="59">
        <v>2057.4299999999998</v>
      </c>
      <c r="L5" s="59">
        <v>1383.92632</v>
      </c>
      <c r="M5" s="5">
        <v>636.03254000000004</v>
      </c>
      <c r="N5" s="5">
        <v>594.72884999999997</v>
      </c>
      <c r="O5" s="5">
        <v>594.22418000000005</v>
      </c>
      <c r="P5" s="5">
        <v>582.38306</v>
      </c>
    </row>
    <row r="6" spans="1:17" x14ac:dyDescent="0.3">
      <c r="A6" s="4" t="s">
        <v>1</v>
      </c>
      <c r="D6" s="56">
        <v>38383</v>
      </c>
      <c r="E6" s="7">
        <v>5.9850000000000003</v>
      </c>
      <c r="F6" s="59">
        <v>1254.01</v>
      </c>
      <c r="G6" s="59">
        <v>215.08</v>
      </c>
      <c r="H6" s="59">
        <v>153.75030000000001</v>
      </c>
      <c r="I6" s="59">
        <v>250.87</v>
      </c>
      <c r="J6" s="59">
        <v>608.40626999999995</v>
      </c>
      <c r="K6" s="59">
        <v>2136.6419999999998</v>
      </c>
      <c r="L6" s="59">
        <v>1458.38546</v>
      </c>
      <c r="M6" s="5">
        <v>673.53016000000002</v>
      </c>
      <c r="N6" s="5">
        <v>627.68322000000001</v>
      </c>
      <c r="O6" s="5">
        <v>633.75998000000004</v>
      </c>
      <c r="P6" s="5">
        <v>617.98904000000005</v>
      </c>
    </row>
    <row r="7" spans="1:17" x14ac:dyDescent="0.3">
      <c r="A7" s="4" t="s">
        <v>2</v>
      </c>
      <c r="B7" s="10">
        <f ca="1">EOMONTH(TODAY(),-1)</f>
        <v>44377</v>
      </c>
      <c r="D7" s="56">
        <v>38411</v>
      </c>
      <c r="E7" s="7">
        <v>5.8174999999999999</v>
      </c>
      <c r="F7" s="59">
        <v>1322.42</v>
      </c>
      <c r="G7" s="59">
        <v>219.35499999999999</v>
      </c>
      <c r="H7" s="59">
        <v>154.6</v>
      </c>
      <c r="I7" s="59">
        <v>267.41000000000003</v>
      </c>
      <c r="J7" s="59">
        <v>613.63088000000005</v>
      </c>
      <c r="K7" s="59">
        <v>2083.4029999999998</v>
      </c>
      <c r="L7" s="59">
        <v>1424.47153</v>
      </c>
      <c r="M7" s="5">
        <v>659.72085000000004</v>
      </c>
      <c r="N7" s="5">
        <v>613.24657000000002</v>
      </c>
      <c r="O7" s="5">
        <v>625.79872999999998</v>
      </c>
      <c r="P7" s="5">
        <v>607.74752000000001</v>
      </c>
    </row>
    <row r="8" spans="1:17" x14ac:dyDescent="0.3">
      <c r="A8" s="4" t="s">
        <v>3</v>
      </c>
      <c r="B8" s="5" t="s">
        <v>152</v>
      </c>
      <c r="D8" s="56">
        <v>38442</v>
      </c>
      <c r="E8" s="7">
        <v>6.2394999999999996</v>
      </c>
      <c r="F8" s="59">
        <v>1310.86</v>
      </c>
      <c r="G8" s="59">
        <v>211.298</v>
      </c>
      <c r="H8" s="59">
        <v>155.5454</v>
      </c>
      <c r="I8" s="59">
        <v>266.24</v>
      </c>
      <c r="J8" s="59">
        <v>645.07809999999995</v>
      </c>
      <c r="K8" s="59">
        <v>2211.98</v>
      </c>
      <c r="L8" s="59">
        <v>1534.79664</v>
      </c>
      <c r="M8" s="5">
        <v>720.59393</v>
      </c>
      <c r="N8" s="5">
        <v>673.69348000000002</v>
      </c>
      <c r="O8" s="5">
        <v>691.38669000000004</v>
      </c>
      <c r="P8" s="5">
        <v>671.70605999999998</v>
      </c>
    </row>
    <row r="9" spans="1:17" x14ac:dyDescent="0.3">
      <c r="A9" s="1" t="s">
        <v>151</v>
      </c>
      <c r="B9" s="3" t="s">
        <v>180</v>
      </c>
      <c r="D9" s="56">
        <v>38471</v>
      </c>
      <c r="E9" s="7">
        <v>6.0857999999999999</v>
      </c>
      <c r="F9" s="59">
        <v>1243.08</v>
      </c>
      <c r="G9" s="59">
        <v>215.61099999999999</v>
      </c>
      <c r="H9" s="59">
        <v>156.43</v>
      </c>
      <c r="I9" s="59">
        <v>273.94</v>
      </c>
      <c r="J9" s="59">
        <v>614.10544000000004</v>
      </c>
      <c r="K9" s="59">
        <v>2187.13</v>
      </c>
      <c r="L9" s="59">
        <v>1497.7526600000001</v>
      </c>
      <c r="M9" s="5">
        <v>706.01052000000004</v>
      </c>
      <c r="N9" s="5">
        <v>664.90382</v>
      </c>
      <c r="O9" s="5">
        <v>677.13779999999997</v>
      </c>
      <c r="P9" s="5">
        <v>657.21303</v>
      </c>
    </row>
    <row r="10" spans="1:17" x14ac:dyDescent="0.3">
      <c r="D10" s="56">
        <v>38503</v>
      </c>
      <c r="E10" s="7">
        <v>6.8120000000000003</v>
      </c>
      <c r="F10" s="59">
        <v>1365.42</v>
      </c>
      <c r="G10" s="59">
        <v>215.40299999999999</v>
      </c>
      <c r="H10" s="59">
        <v>157.38329999999999</v>
      </c>
      <c r="I10" s="59">
        <v>288</v>
      </c>
      <c r="J10" s="59">
        <v>696.82943999999998</v>
      </c>
      <c r="K10" s="59">
        <v>2389.5590000000002</v>
      </c>
      <c r="L10" s="59">
        <v>1672.9947400000001</v>
      </c>
      <c r="M10" s="5">
        <v>789.41878999999994</v>
      </c>
      <c r="N10" s="5">
        <v>741.66224999999997</v>
      </c>
      <c r="O10" s="5">
        <v>761.43434000000002</v>
      </c>
      <c r="P10" s="5">
        <v>739.37184999999999</v>
      </c>
    </row>
    <row r="11" spans="1:17" x14ac:dyDescent="0.3">
      <c r="D11" s="56">
        <v>38533</v>
      </c>
      <c r="E11" s="7">
        <v>6.6494999999999997</v>
      </c>
      <c r="F11" s="59">
        <v>1405.81</v>
      </c>
      <c r="G11" s="59">
        <v>221.18700000000001</v>
      </c>
      <c r="H11" s="59">
        <v>158.26849999999999</v>
      </c>
      <c r="I11" s="59">
        <v>297.39</v>
      </c>
      <c r="J11" s="59">
        <v>694.50744999999995</v>
      </c>
      <c r="K11" s="59">
        <v>2339.7489999999998</v>
      </c>
      <c r="L11" s="59">
        <v>1655.0213900000001</v>
      </c>
      <c r="M11" s="5">
        <v>786.03081999999995</v>
      </c>
      <c r="N11" s="5">
        <v>741.12603999999999</v>
      </c>
      <c r="O11" s="5">
        <v>761.51271999999994</v>
      </c>
      <c r="P11" s="5">
        <v>737.85936000000004</v>
      </c>
    </row>
    <row r="12" spans="1:17" x14ac:dyDescent="0.3">
      <c r="D12" s="56">
        <v>38562</v>
      </c>
      <c r="E12" s="7">
        <v>6.5811000000000002</v>
      </c>
      <c r="F12" s="59">
        <v>1506.62</v>
      </c>
      <c r="G12" s="59">
        <v>223.315</v>
      </c>
      <c r="H12" s="59">
        <v>159.11699999999999</v>
      </c>
      <c r="I12" s="59">
        <v>309.39999999999998</v>
      </c>
      <c r="J12" s="59">
        <v>709.67555000000004</v>
      </c>
      <c r="K12" s="59">
        <v>2280.9160000000002</v>
      </c>
      <c r="L12" s="59">
        <v>1635.15416</v>
      </c>
      <c r="M12" s="5">
        <v>778.29112999999995</v>
      </c>
      <c r="N12" s="5">
        <v>731.37702999999999</v>
      </c>
      <c r="O12" s="5">
        <v>757.68314999999996</v>
      </c>
      <c r="P12" s="5">
        <v>734.16777000000002</v>
      </c>
    </row>
    <row r="13" spans="1:17" x14ac:dyDescent="0.3">
      <c r="D13" s="56">
        <v>38595</v>
      </c>
      <c r="E13" s="7">
        <v>6.3659999999999997</v>
      </c>
      <c r="F13" s="59">
        <v>1537.56</v>
      </c>
      <c r="G13" s="59">
        <v>223.44300000000001</v>
      </c>
      <c r="H13" s="59">
        <v>160.08860000000001</v>
      </c>
      <c r="I13" s="59">
        <v>328.98</v>
      </c>
      <c r="J13" s="59">
        <v>693.34753999999998</v>
      </c>
      <c r="K13" s="59">
        <v>2252.2020000000002</v>
      </c>
      <c r="L13" s="59">
        <v>1590.68658</v>
      </c>
      <c r="M13" s="5">
        <v>752.52299000000005</v>
      </c>
      <c r="N13" s="5">
        <v>701.29705999999999</v>
      </c>
      <c r="O13" s="5">
        <v>730.49318000000005</v>
      </c>
      <c r="P13" s="5">
        <v>708.40773000000002</v>
      </c>
    </row>
    <row r="14" spans="1:17" ht="14.5" x14ac:dyDescent="0.35">
      <c r="A14"/>
      <c r="D14" s="56">
        <v>38625</v>
      </c>
      <c r="E14" s="7">
        <v>6.3700999999999999</v>
      </c>
      <c r="F14" s="59">
        <v>1690.99</v>
      </c>
      <c r="G14" s="59">
        <v>223.61500000000001</v>
      </c>
      <c r="H14" s="59">
        <v>160.9701</v>
      </c>
      <c r="I14" s="59">
        <v>340.52</v>
      </c>
      <c r="J14" s="59">
        <v>711.24177999999995</v>
      </c>
      <c r="K14" s="59">
        <v>2199.509</v>
      </c>
      <c r="L14" s="59">
        <v>1588.6649600000001</v>
      </c>
      <c r="M14" s="5">
        <v>752.30627000000004</v>
      </c>
      <c r="N14" s="5">
        <v>700.39234999999996</v>
      </c>
      <c r="O14" s="5">
        <v>735.46564000000001</v>
      </c>
      <c r="P14" s="5">
        <v>712.84576000000004</v>
      </c>
    </row>
    <row r="15" spans="1:17" ht="14.5" x14ac:dyDescent="0.35">
      <c r="A15"/>
      <c r="D15" s="56">
        <v>38656</v>
      </c>
      <c r="E15" s="7">
        <v>6.7024999999999997</v>
      </c>
      <c r="F15" s="59">
        <v>1650.84</v>
      </c>
      <c r="G15" s="59">
        <v>225.024</v>
      </c>
      <c r="H15" s="59">
        <v>161.88409999999999</v>
      </c>
      <c r="I15" s="59">
        <v>348.12</v>
      </c>
      <c r="J15" s="59">
        <v>730.81446000000005</v>
      </c>
      <c r="K15" s="59">
        <v>2280.7069999999999</v>
      </c>
      <c r="L15" s="59">
        <v>1683.0975699999999</v>
      </c>
      <c r="M15" s="5">
        <v>803.66939000000002</v>
      </c>
      <c r="N15" s="5">
        <v>745.80480999999997</v>
      </c>
      <c r="O15" s="5">
        <v>793.90340000000003</v>
      </c>
      <c r="P15" s="5">
        <v>767.08327999999995</v>
      </c>
    </row>
    <row r="16" spans="1:17" ht="14.5" x14ac:dyDescent="0.35">
      <c r="A16"/>
      <c r="D16" s="56">
        <v>38686</v>
      </c>
      <c r="E16" s="7">
        <v>6.4625000000000004</v>
      </c>
      <c r="F16" s="59">
        <v>1686.19</v>
      </c>
      <c r="G16" s="59">
        <v>230.357</v>
      </c>
      <c r="H16" s="59">
        <v>162.7807</v>
      </c>
      <c r="I16" s="59">
        <v>342.44</v>
      </c>
      <c r="J16" s="59">
        <v>730.52970000000005</v>
      </c>
      <c r="K16" s="59">
        <v>2174.6419999999998</v>
      </c>
      <c r="L16" s="59">
        <v>1628.77862</v>
      </c>
      <c r="M16" s="5">
        <v>781.37973999999997</v>
      </c>
      <c r="N16" s="5">
        <v>723.56754999999998</v>
      </c>
      <c r="O16" s="5">
        <v>773.41687999999999</v>
      </c>
      <c r="P16" s="5">
        <v>746.17107999999996</v>
      </c>
    </row>
    <row r="17" spans="1:270" ht="14.5" x14ac:dyDescent="0.35">
      <c r="A17"/>
      <c r="D17" s="56">
        <v>38716</v>
      </c>
      <c r="E17" s="7">
        <v>6.3288000000000002</v>
      </c>
      <c r="F17" s="59">
        <v>1821.87</v>
      </c>
      <c r="G17" s="59">
        <v>234.84200000000001</v>
      </c>
      <c r="H17" s="59">
        <v>163.68690000000001</v>
      </c>
      <c r="I17" s="59">
        <v>379.19</v>
      </c>
      <c r="J17" s="59">
        <v>733.19045000000006</v>
      </c>
      <c r="K17" s="59">
        <v>2152.3989999999999</v>
      </c>
      <c r="L17" s="59">
        <v>1601.1440299999999</v>
      </c>
      <c r="M17" s="5">
        <v>771.88214000000005</v>
      </c>
      <c r="N17" s="5">
        <v>712.45478000000003</v>
      </c>
      <c r="O17" s="5">
        <v>766.03917000000001</v>
      </c>
      <c r="P17" s="5">
        <v>736.82498999999996</v>
      </c>
    </row>
    <row r="18" spans="1:270" ht="14.5" x14ac:dyDescent="0.35">
      <c r="A18"/>
      <c r="D18" s="56">
        <v>38748</v>
      </c>
      <c r="E18" s="7">
        <v>6.0579000000000001</v>
      </c>
      <c r="F18" s="59">
        <v>1990.17</v>
      </c>
      <c r="G18" s="59">
        <v>237.149</v>
      </c>
      <c r="H18" s="59">
        <v>164.66139999999999</v>
      </c>
      <c r="I18" s="59">
        <v>403.73</v>
      </c>
      <c r="J18" s="59">
        <v>736.92105000000004</v>
      </c>
      <c r="K18" s="59">
        <v>2088.2800000000002</v>
      </c>
      <c r="L18" s="59">
        <v>1539.6895199999999</v>
      </c>
      <c r="M18" s="5">
        <v>748.81457</v>
      </c>
      <c r="N18" s="5">
        <v>693.20149000000004</v>
      </c>
      <c r="O18" s="5">
        <v>750.86456999999996</v>
      </c>
      <c r="P18" s="5">
        <v>719.09627999999998</v>
      </c>
    </row>
    <row r="19" spans="1:270" ht="14.5" x14ac:dyDescent="0.35">
      <c r="A19"/>
      <c r="D19" s="56">
        <v>38776</v>
      </c>
      <c r="E19" s="7">
        <v>6.165</v>
      </c>
      <c r="F19" s="59">
        <v>1926.04</v>
      </c>
      <c r="G19" s="59">
        <v>238.994</v>
      </c>
      <c r="H19" s="59">
        <v>165.52019999999999</v>
      </c>
      <c r="I19" s="59">
        <v>430.8</v>
      </c>
      <c r="J19" s="59">
        <v>747.03818000000001</v>
      </c>
      <c r="K19" s="59">
        <v>2110.221</v>
      </c>
      <c r="L19" s="59">
        <v>1568.56601</v>
      </c>
      <c r="M19" s="5">
        <v>768.07352000000003</v>
      </c>
      <c r="N19" s="5">
        <v>715.05561</v>
      </c>
      <c r="O19" s="5">
        <v>774.74062000000004</v>
      </c>
      <c r="P19" s="5">
        <v>739.44439999999997</v>
      </c>
    </row>
    <row r="20" spans="1:270" ht="14.5" x14ac:dyDescent="0.35">
      <c r="A20"/>
      <c r="D20" s="56">
        <v>38807</v>
      </c>
      <c r="E20" s="7">
        <v>6.1764999999999999</v>
      </c>
      <c r="F20" s="59">
        <v>2063.3000000000002</v>
      </c>
      <c r="G20" s="59">
        <v>238.447</v>
      </c>
      <c r="H20" s="59">
        <v>166.476</v>
      </c>
      <c r="I20" s="59">
        <v>462.12</v>
      </c>
      <c r="J20" s="59">
        <v>761.16926999999998</v>
      </c>
      <c r="K20" s="59">
        <v>2080.3449999999998</v>
      </c>
      <c r="L20" s="59">
        <v>1571.4957999999999</v>
      </c>
      <c r="M20" s="5">
        <v>773.72428000000002</v>
      </c>
      <c r="N20" s="5">
        <v>719.82069000000001</v>
      </c>
      <c r="O20" s="5">
        <v>775.42568000000006</v>
      </c>
      <c r="P20" s="5">
        <v>739.10866999999996</v>
      </c>
    </row>
    <row r="21" spans="1:270" ht="14.5" x14ac:dyDescent="0.35">
      <c r="A21"/>
      <c r="D21" s="56">
        <v>38835</v>
      </c>
      <c r="E21" s="7">
        <v>6.0049999999999999</v>
      </c>
      <c r="F21" s="59">
        <v>2150.5300000000002</v>
      </c>
      <c r="G21" s="59">
        <v>241.11799999999999</v>
      </c>
      <c r="H21" s="59">
        <v>167.34370000000001</v>
      </c>
      <c r="I21" s="59">
        <v>458.45</v>
      </c>
      <c r="J21" s="59">
        <v>769.98217</v>
      </c>
      <c r="K21" s="59">
        <v>2081.3040000000001</v>
      </c>
      <c r="L21" s="59">
        <v>1544.2286200000001</v>
      </c>
      <c r="M21" s="5">
        <v>762.10753999999997</v>
      </c>
      <c r="N21" s="5">
        <v>706.03776000000005</v>
      </c>
      <c r="O21" s="5">
        <v>772.31560999999999</v>
      </c>
      <c r="P21" s="5">
        <v>732.05037000000004</v>
      </c>
    </row>
    <row r="22" spans="1:270" ht="14.5" x14ac:dyDescent="0.35">
      <c r="A22"/>
      <c r="D22" s="56">
        <v>38868</v>
      </c>
      <c r="E22" s="7">
        <v>6.7367999999999997</v>
      </c>
      <c r="F22" s="59">
        <v>2093.11</v>
      </c>
      <c r="G22" s="59">
        <v>238.51300000000001</v>
      </c>
      <c r="H22" s="59">
        <v>168.3751</v>
      </c>
      <c r="I22" s="59">
        <v>434.9</v>
      </c>
      <c r="J22" s="59">
        <v>824.04061000000002</v>
      </c>
      <c r="K22" s="59">
        <v>2360.2579999999998</v>
      </c>
      <c r="L22" s="59">
        <v>1728.3242700000001</v>
      </c>
      <c r="M22" s="5">
        <v>851.48308999999995</v>
      </c>
      <c r="N22" s="5">
        <v>787.79456000000005</v>
      </c>
      <c r="O22" s="5">
        <v>857.05673000000002</v>
      </c>
      <c r="P22" s="5">
        <v>812.34770000000003</v>
      </c>
    </row>
    <row r="23" spans="1:270" ht="14.5" x14ac:dyDescent="0.35">
      <c r="A23"/>
      <c r="D23" s="56">
        <v>38898</v>
      </c>
      <c r="E23" s="7">
        <v>7.1740000000000004</v>
      </c>
      <c r="F23" s="59">
        <v>2163.69</v>
      </c>
      <c r="G23" s="59">
        <v>229.905</v>
      </c>
      <c r="H23" s="59">
        <v>169.32310000000001</v>
      </c>
      <c r="I23" s="59">
        <v>374.34</v>
      </c>
      <c r="J23" s="59">
        <v>879.61239999999998</v>
      </c>
      <c r="K23" s="59">
        <v>2496.0740000000001</v>
      </c>
      <c r="L23" s="59">
        <v>1853.00442</v>
      </c>
      <c r="M23" s="5">
        <v>908.11865999999998</v>
      </c>
      <c r="N23" s="5">
        <v>846.12856999999997</v>
      </c>
      <c r="O23" s="5">
        <v>929.56704000000002</v>
      </c>
      <c r="P23" s="5">
        <v>881.07240999999999</v>
      </c>
    </row>
    <row r="24" spans="1:270" ht="14.5" x14ac:dyDescent="0.35">
      <c r="A24"/>
      <c r="D24" s="56">
        <v>38929</v>
      </c>
      <c r="E24" s="7">
        <v>6.9474999999999998</v>
      </c>
      <c r="F24" s="59">
        <v>2132.12</v>
      </c>
      <c r="G24" s="59">
        <v>231.47900000000001</v>
      </c>
      <c r="H24" s="59">
        <v>170.32910000000001</v>
      </c>
      <c r="I24" s="59">
        <v>368.34</v>
      </c>
      <c r="J24" s="59">
        <v>856.00877000000003</v>
      </c>
      <c r="K24" s="59">
        <v>2432.009</v>
      </c>
      <c r="L24" s="59">
        <v>1799.7467999999999</v>
      </c>
      <c r="M24" s="5">
        <v>884.98779000000002</v>
      </c>
      <c r="N24" s="5">
        <v>820.30326000000002</v>
      </c>
      <c r="O24" s="5">
        <v>897.15531999999996</v>
      </c>
      <c r="P24" s="5">
        <v>850.21920999999998</v>
      </c>
    </row>
    <row r="25" spans="1:270" ht="14.5" x14ac:dyDescent="0.35">
      <c r="A25"/>
      <c r="D25" s="56">
        <v>38960</v>
      </c>
      <c r="E25" s="7">
        <v>7.1993</v>
      </c>
      <c r="F25" s="59">
        <v>2248.17</v>
      </c>
      <c r="G25" s="59">
        <v>231.57</v>
      </c>
      <c r="H25" s="59">
        <v>171.3681</v>
      </c>
      <c r="I25" s="59">
        <v>415.11</v>
      </c>
      <c r="J25" s="59">
        <v>914.27854000000002</v>
      </c>
      <c r="K25" s="59">
        <v>2557.306</v>
      </c>
      <c r="L25" s="59">
        <v>1882.84662</v>
      </c>
      <c r="M25" s="5">
        <v>922.01021000000003</v>
      </c>
      <c r="N25" s="5">
        <v>864.59555999999998</v>
      </c>
      <c r="O25" s="5">
        <v>946.59167000000002</v>
      </c>
      <c r="P25" s="5">
        <v>897.00003000000004</v>
      </c>
    </row>
    <row r="26" spans="1:270" ht="14.5" x14ac:dyDescent="0.35">
      <c r="A26"/>
      <c r="D26" s="56">
        <v>38989</v>
      </c>
      <c r="E26" s="7">
        <v>7.7838000000000003</v>
      </c>
      <c r="F26" s="59">
        <v>2300.73</v>
      </c>
      <c r="G26" s="59">
        <v>234.66200000000001</v>
      </c>
      <c r="H26" s="59">
        <v>172.37690000000001</v>
      </c>
      <c r="I26" s="59">
        <v>408.87</v>
      </c>
      <c r="J26" s="59">
        <v>995.79418999999996</v>
      </c>
      <c r="K26" s="59">
        <v>2747.43</v>
      </c>
      <c r="L26" s="59">
        <v>2036.0606399999999</v>
      </c>
      <c r="M26" s="5">
        <v>995.94014000000004</v>
      </c>
      <c r="N26" s="5">
        <v>937.74743999999998</v>
      </c>
      <c r="O26" s="5">
        <v>1020.83383</v>
      </c>
      <c r="P26" s="5">
        <v>967.60515999999996</v>
      </c>
    </row>
    <row r="27" spans="1:270" ht="14.5" x14ac:dyDescent="0.35">
      <c r="A27"/>
      <c r="D27" s="56">
        <v>39021</v>
      </c>
      <c r="E27" s="7">
        <v>7.3710000000000004</v>
      </c>
      <c r="F27" s="59">
        <v>2405.9299999999998</v>
      </c>
      <c r="G27" s="59">
        <v>242.00800000000001</v>
      </c>
      <c r="H27" s="59">
        <v>173.53100000000001</v>
      </c>
      <c r="I27" s="59">
        <v>449.39</v>
      </c>
      <c r="J27" s="59">
        <v>983.25541999999996</v>
      </c>
      <c r="K27" s="59">
        <v>2638.6129999999998</v>
      </c>
      <c r="L27" s="59">
        <v>1947.0001500000001</v>
      </c>
      <c r="M27" s="5">
        <v>948.72940000000006</v>
      </c>
      <c r="N27" s="5">
        <v>890.48171000000002</v>
      </c>
      <c r="O27" s="5">
        <v>972.58258000000001</v>
      </c>
      <c r="P27" s="5">
        <v>918.04441999999995</v>
      </c>
    </row>
    <row r="28" spans="1:270" ht="14.5" x14ac:dyDescent="0.35">
      <c r="A28"/>
      <c r="D28" s="56">
        <v>39051</v>
      </c>
      <c r="E28" s="7">
        <v>7.1538000000000004</v>
      </c>
      <c r="F28" s="59">
        <v>2470.29</v>
      </c>
      <c r="G28" s="59">
        <v>244.07900000000001</v>
      </c>
      <c r="H28" s="59">
        <v>174.65809999999999</v>
      </c>
      <c r="I28" s="59">
        <v>472.97</v>
      </c>
      <c r="J28" s="59">
        <v>978.85922000000005</v>
      </c>
      <c r="K28" s="59">
        <v>2622.5749999999998</v>
      </c>
      <c r="L28" s="59">
        <v>1893.40679</v>
      </c>
      <c r="M28" s="5">
        <v>928.91813999999999</v>
      </c>
      <c r="N28" s="5">
        <v>873.79373999999996</v>
      </c>
      <c r="O28" s="5">
        <v>957.89457000000004</v>
      </c>
      <c r="P28" s="5">
        <v>901.35559000000001</v>
      </c>
    </row>
    <row r="29" spans="1:270" ht="14.5" x14ac:dyDescent="0.35">
      <c r="A29"/>
      <c r="D29" s="56">
        <v>39080</v>
      </c>
      <c r="E29" s="7">
        <v>7.0060000000000002</v>
      </c>
      <c r="F29" s="59">
        <v>2573</v>
      </c>
      <c r="G29" s="59">
        <v>247.64500000000001</v>
      </c>
      <c r="H29" s="59">
        <v>175.7834</v>
      </c>
      <c r="I29" s="59">
        <v>486.75</v>
      </c>
      <c r="J29" s="59">
        <v>977.83641</v>
      </c>
      <c r="K29" s="59">
        <v>2514.1979999999999</v>
      </c>
      <c r="L29" s="59">
        <v>1858.13851</v>
      </c>
      <c r="M29" s="5">
        <v>916.51966000000004</v>
      </c>
      <c r="N29" s="5">
        <v>861.48370999999997</v>
      </c>
      <c r="O29" s="5">
        <v>941.24131999999997</v>
      </c>
      <c r="P29" s="5">
        <v>885.68487000000005</v>
      </c>
    </row>
    <row r="30" spans="1:270" s="7" customFormat="1" ht="14.5" x14ac:dyDescent="0.35">
      <c r="A30"/>
      <c r="B30" s="5"/>
      <c r="C30" s="5"/>
      <c r="D30" s="56">
        <v>39113</v>
      </c>
      <c r="E30" s="7">
        <v>7.2164999999999999</v>
      </c>
      <c r="F30" s="59">
        <v>2630.44</v>
      </c>
      <c r="G30" s="59">
        <v>249.46</v>
      </c>
      <c r="H30" s="59">
        <v>177.08250000000001</v>
      </c>
      <c r="I30" s="59">
        <v>528.02</v>
      </c>
      <c r="J30" s="59">
        <v>1021.14379</v>
      </c>
      <c r="K30" s="59">
        <v>2566.3029999999999</v>
      </c>
      <c r="L30" s="59">
        <v>1930.73308</v>
      </c>
      <c r="M30" s="5">
        <v>949.84619999999995</v>
      </c>
      <c r="N30" s="5">
        <v>892.59924999999998</v>
      </c>
      <c r="O30" s="5">
        <v>977.74887000000001</v>
      </c>
      <c r="P30" s="5">
        <v>920.03737000000001</v>
      </c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</row>
    <row r="31" spans="1:270" s="7" customFormat="1" ht="14.5" x14ac:dyDescent="0.35">
      <c r="A31"/>
      <c r="B31" s="5"/>
      <c r="C31" s="5"/>
      <c r="D31" s="56">
        <v>39141</v>
      </c>
      <c r="E31" s="7">
        <v>7.2324999999999999</v>
      </c>
      <c r="F31" s="59">
        <v>2669.93</v>
      </c>
      <c r="G31" s="59">
        <v>253.00700000000001</v>
      </c>
      <c r="H31" s="59">
        <v>178.215</v>
      </c>
      <c r="I31" s="59">
        <v>545.84</v>
      </c>
      <c r="J31" s="59">
        <v>1019.4224</v>
      </c>
      <c r="K31" s="59">
        <v>2635.71</v>
      </c>
      <c r="L31" s="59">
        <v>1945.78774</v>
      </c>
      <c r="M31" s="5">
        <v>958.47135000000003</v>
      </c>
      <c r="N31" s="5">
        <v>901.08009000000004</v>
      </c>
      <c r="O31" s="5">
        <v>989.45465000000002</v>
      </c>
      <c r="P31" s="5">
        <v>930.97438</v>
      </c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</row>
    <row r="32" spans="1:270" s="7" customFormat="1" ht="14.5" x14ac:dyDescent="0.35">
      <c r="A32"/>
      <c r="B32" s="5"/>
      <c r="C32" s="5"/>
      <c r="D32" s="56">
        <v>39171</v>
      </c>
      <c r="E32" s="7">
        <v>7.2637999999999998</v>
      </c>
      <c r="F32" s="59">
        <v>2840.11</v>
      </c>
      <c r="G32" s="59">
        <v>251.71799999999999</v>
      </c>
      <c r="H32" s="59">
        <v>179.44919999999999</v>
      </c>
      <c r="I32" s="59">
        <v>563.33000000000004</v>
      </c>
      <c r="J32" s="59">
        <v>1046.4357399999999</v>
      </c>
      <c r="K32" s="59">
        <v>2656.837</v>
      </c>
      <c r="L32" s="59">
        <v>1966.73911</v>
      </c>
      <c r="M32" s="5">
        <v>969.61125000000004</v>
      </c>
      <c r="N32" s="5">
        <v>911.41452000000004</v>
      </c>
      <c r="O32" s="5">
        <v>997.56961999999999</v>
      </c>
      <c r="P32" s="5">
        <v>937.90593000000001</v>
      </c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</row>
    <row r="33" spans="1:270" s="7" customFormat="1" ht="14.5" x14ac:dyDescent="0.35">
      <c r="A33"/>
      <c r="B33" s="5"/>
      <c r="C33" s="5"/>
      <c r="D33" s="56">
        <v>39202</v>
      </c>
      <c r="E33" s="7">
        <v>7.08</v>
      </c>
      <c r="F33" s="59">
        <v>2938.91</v>
      </c>
      <c r="G33" s="59">
        <v>255.62700000000001</v>
      </c>
      <c r="H33" s="59">
        <v>180.7587</v>
      </c>
      <c r="I33" s="59">
        <v>607.21</v>
      </c>
      <c r="J33" s="59">
        <v>1050.8024800000001</v>
      </c>
      <c r="K33" s="59">
        <v>2579.2689999999998</v>
      </c>
      <c r="L33" s="59">
        <v>1899.6772599999999</v>
      </c>
      <c r="M33" s="5">
        <v>934.83921999999995</v>
      </c>
      <c r="N33" s="5">
        <v>880.03833999999995</v>
      </c>
      <c r="O33" s="5">
        <v>971.82050000000004</v>
      </c>
      <c r="P33" s="5">
        <v>914.70236</v>
      </c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</row>
    <row r="34" spans="1:270" s="7" customFormat="1" ht="14.5" x14ac:dyDescent="0.35">
      <c r="A34"/>
      <c r="B34" s="5"/>
      <c r="C34" s="5"/>
      <c r="D34" s="56">
        <v>39233</v>
      </c>
      <c r="E34" s="7">
        <v>7.1174999999999997</v>
      </c>
      <c r="F34" s="59">
        <v>2990.31</v>
      </c>
      <c r="G34" s="59">
        <v>252.80600000000001</v>
      </c>
      <c r="H34" s="59">
        <v>182.0847</v>
      </c>
      <c r="I34" s="59">
        <v>584.99</v>
      </c>
      <c r="J34" s="59">
        <v>1098.83908</v>
      </c>
      <c r="K34" s="59">
        <v>2566.1570000000002</v>
      </c>
      <c r="L34" s="59">
        <v>1938.03089</v>
      </c>
      <c r="M34" s="5">
        <v>952.31001000000003</v>
      </c>
      <c r="N34" s="5">
        <v>897.11253999999997</v>
      </c>
      <c r="O34" s="5">
        <v>990.31473000000005</v>
      </c>
      <c r="P34" s="5">
        <v>932.90597000000002</v>
      </c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</row>
    <row r="35" spans="1:270" s="7" customFormat="1" ht="14.5" x14ac:dyDescent="0.35">
      <c r="A35"/>
      <c r="B35" s="5"/>
      <c r="C35" s="5"/>
      <c r="D35" s="56">
        <v>39262</v>
      </c>
      <c r="E35" s="7">
        <v>7.0430000000000001</v>
      </c>
      <c r="F35" s="59">
        <v>2961.9</v>
      </c>
      <c r="G35" s="59">
        <v>247.55</v>
      </c>
      <c r="H35" s="59">
        <v>183.34889999999999</v>
      </c>
      <c r="I35" s="59">
        <v>565.14</v>
      </c>
      <c r="J35" s="59">
        <v>1085.3999100000001</v>
      </c>
      <c r="K35" s="59">
        <v>2525.8809999999999</v>
      </c>
      <c r="L35" s="59">
        <v>1928.2580399999999</v>
      </c>
      <c r="M35" s="5">
        <v>948.49942999999996</v>
      </c>
      <c r="N35" s="5">
        <v>895.16314</v>
      </c>
      <c r="O35" s="5">
        <v>996.22464000000002</v>
      </c>
      <c r="P35" s="5">
        <v>937.22297000000003</v>
      </c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</row>
    <row r="36" spans="1:270" s="7" customFormat="1" ht="14.5" x14ac:dyDescent="0.35">
      <c r="A36"/>
      <c r="B36" s="5"/>
      <c r="C36" s="5"/>
      <c r="D36" s="56">
        <v>39294</v>
      </c>
      <c r="E36" s="7">
        <v>7.1387999999999998</v>
      </c>
      <c r="F36" s="59">
        <v>2990.27</v>
      </c>
      <c r="G36" s="59">
        <v>248.44499999999999</v>
      </c>
      <c r="H36" s="59">
        <v>184.79230000000001</v>
      </c>
      <c r="I36" s="59">
        <v>572.97</v>
      </c>
      <c r="J36" s="59">
        <v>1071.7316499999999</v>
      </c>
      <c r="K36" s="59">
        <v>2609.2719999999999</v>
      </c>
      <c r="L36" s="59">
        <v>1942.71848</v>
      </c>
      <c r="M36" s="5">
        <v>949.98443999999995</v>
      </c>
      <c r="N36" s="5">
        <v>891.32973000000004</v>
      </c>
      <c r="O36" s="5">
        <v>1010.96879</v>
      </c>
      <c r="P36" s="5">
        <v>951.65695000000005</v>
      </c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</row>
    <row r="37" spans="1:270" s="7" customFormat="1" ht="14.5" x14ac:dyDescent="0.35">
      <c r="A37"/>
      <c r="B37" s="5"/>
      <c r="C37" s="5"/>
      <c r="D37" s="56">
        <v>39325</v>
      </c>
      <c r="E37" s="7">
        <v>7.1475</v>
      </c>
      <c r="F37" s="59">
        <v>3010.38</v>
      </c>
      <c r="G37" s="59">
        <v>250.06200000000001</v>
      </c>
      <c r="H37" s="59">
        <v>186.2268</v>
      </c>
      <c r="I37" s="59">
        <v>576.34</v>
      </c>
      <c r="J37" s="59">
        <v>1081.16364</v>
      </c>
      <c r="K37" s="59">
        <v>2686.471</v>
      </c>
      <c r="L37" s="59">
        <v>1973.10088</v>
      </c>
      <c r="M37" s="5">
        <v>968.40571</v>
      </c>
      <c r="N37" s="5">
        <v>907.07583</v>
      </c>
      <c r="O37" s="5">
        <v>1028.39624</v>
      </c>
      <c r="P37" s="5">
        <v>967.45912999999996</v>
      </c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</row>
    <row r="38" spans="1:270" s="7" customFormat="1" ht="14.5" x14ac:dyDescent="0.35">
      <c r="A38"/>
      <c r="B38" s="5"/>
      <c r="C38" s="5"/>
      <c r="D38" s="56">
        <v>39353</v>
      </c>
      <c r="E38" s="7">
        <v>6.8697999999999997</v>
      </c>
      <c r="F38" s="59">
        <v>3160.72</v>
      </c>
      <c r="G38" s="59">
        <v>255.79599999999999</v>
      </c>
      <c r="H38" s="59">
        <v>187.56</v>
      </c>
      <c r="I38" s="59">
        <v>618.57000000000005</v>
      </c>
      <c r="J38" s="59">
        <v>1094.2543599999999</v>
      </c>
      <c r="K38" s="59">
        <v>2637.6089999999999</v>
      </c>
      <c r="L38" s="59">
        <v>1905.1660400000001</v>
      </c>
      <c r="M38" s="5">
        <v>931.34401000000003</v>
      </c>
      <c r="N38" s="5">
        <v>868.43663000000004</v>
      </c>
      <c r="O38" s="5">
        <v>993.74897999999996</v>
      </c>
      <c r="P38" s="5">
        <v>934.55582000000004</v>
      </c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</row>
    <row r="39" spans="1:270" s="7" customFormat="1" ht="14.5" x14ac:dyDescent="0.35">
      <c r="A39"/>
      <c r="B39" s="5"/>
      <c r="C39" s="5"/>
      <c r="D39" s="56">
        <v>39386</v>
      </c>
      <c r="E39" s="7">
        <v>6.4985999999999997</v>
      </c>
      <c r="F39" s="59">
        <v>3312.24</v>
      </c>
      <c r="G39" s="59">
        <v>260.01299999999998</v>
      </c>
      <c r="H39" s="59">
        <v>189.1711</v>
      </c>
      <c r="I39" s="59">
        <v>646.89</v>
      </c>
      <c r="J39" s="59">
        <v>1080.35763</v>
      </c>
      <c r="K39" s="59">
        <v>2545.0920000000001</v>
      </c>
      <c r="L39" s="59">
        <v>1820.8032000000001</v>
      </c>
      <c r="M39" s="5">
        <v>898.97361999999998</v>
      </c>
      <c r="N39" s="5">
        <v>836.18055000000004</v>
      </c>
      <c r="O39" s="5">
        <v>955.69308999999998</v>
      </c>
      <c r="P39" s="5">
        <v>898.60834</v>
      </c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</row>
    <row r="40" spans="1:270" s="7" customFormat="1" ht="14.5" x14ac:dyDescent="0.35">
      <c r="A40"/>
      <c r="B40" s="5"/>
      <c r="C40" s="5"/>
      <c r="D40" s="56">
        <v>39416</v>
      </c>
      <c r="E40" s="7">
        <v>6.8037999999999998</v>
      </c>
      <c r="F40" s="59">
        <v>3206.56</v>
      </c>
      <c r="G40" s="59">
        <v>255.98099999999999</v>
      </c>
      <c r="H40" s="59">
        <v>190.6848</v>
      </c>
      <c r="I40" s="59">
        <v>626.92999999999995</v>
      </c>
      <c r="J40" s="59">
        <v>1075.2042899999999</v>
      </c>
      <c r="K40" s="59">
        <v>2727.471</v>
      </c>
      <c r="L40" s="59">
        <v>1902.53169</v>
      </c>
      <c r="M40" s="5">
        <v>948.04669000000001</v>
      </c>
      <c r="N40" s="5">
        <v>882.31182000000001</v>
      </c>
      <c r="O40" s="5">
        <v>1005.40957</v>
      </c>
      <c r="P40" s="5">
        <v>940.34081000000003</v>
      </c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</row>
    <row r="41" spans="1:270" s="7" customFormat="1" ht="14.5" x14ac:dyDescent="0.35">
      <c r="A41"/>
      <c r="B41" s="5"/>
      <c r="C41" s="5"/>
      <c r="D41" s="56">
        <v>39447</v>
      </c>
      <c r="E41" s="7">
        <v>6.8624999999999998</v>
      </c>
      <c r="F41" s="59">
        <v>3066.87</v>
      </c>
      <c r="G41" s="59">
        <v>258.178</v>
      </c>
      <c r="H41" s="59">
        <v>192.3006</v>
      </c>
      <c r="I41" s="59">
        <v>615.84</v>
      </c>
      <c r="J41" s="59">
        <v>1072.12996</v>
      </c>
      <c r="K41" s="59">
        <v>2735.5940000000001</v>
      </c>
      <c r="L41" s="59">
        <v>1928.46506</v>
      </c>
      <c r="M41" s="5">
        <v>963.28944000000001</v>
      </c>
      <c r="N41" s="5">
        <v>891.51265999999998</v>
      </c>
      <c r="O41" s="5">
        <v>1022.66377</v>
      </c>
      <c r="P41" s="5">
        <v>954.06479000000002</v>
      </c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</row>
    <row r="42" spans="1:270" s="7" customFormat="1" ht="14.5" x14ac:dyDescent="0.35">
      <c r="A42"/>
      <c r="B42" s="5"/>
      <c r="C42" s="5"/>
      <c r="D42" s="56">
        <v>39478</v>
      </c>
      <c r="E42" s="7">
        <v>7.4820000000000002</v>
      </c>
      <c r="F42" s="59">
        <v>2894.85</v>
      </c>
      <c r="G42" s="59">
        <v>256.81200000000001</v>
      </c>
      <c r="H42" s="59">
        <v>193.98</v>
      </c>
      <c r="I42" s="59">
        <v>546.91999999999996</v>
      </c>
      <c r="J42" s="59">
        <v>1072.61304</v>
      </c>
      <c r="K42" s="59">
        <v>3092.136</v>
      </c>
      <c r="L42" s="59">
        <v>2116.9510500000001</v>
      </c>
      <c r="M42" s="5">
        <v>1060.2826600000001</v>
      </c>
      <c r="N42" s="5">
        <v>983.85653000000002</v>
      </c>
      <c r="O42" s="5">
        <v>1135.84935</v>
      </c>
      <c r="P42" s="5">
        <v>1061.9231600000001</v>
      </c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</row>
    <row r="43" spans="1:270" s="7" customFormat="1" ht="14.5" x14ac:dyDescent="0.35">
      <c r="A43"/>
      <c r="B43" s="5"/>
      <c r="C43" s="5"/>
      <c r="D43" s="56">
        <v>39507</v>
      </c>
      <c r="E43" s="7">
        <v>7.83</v>
      </c>
      <c r="F43" s="59">
        <v>3255.33</v>
      </c>
      <c r="G43" s="59">
        <v>254.67</v>
      </c>
      <c r="H43" s="59">
        <v>195.58080000000001</v>
      </c>
      <c r="I43" s="59">
        <v>571.32000000000005</v>
      </c>
      <c r="J43" s="59">
        <v>1115.9115099999999</v>
      </c>
      <c r="K43" s="59">
        <v>3284.7420000000002</v>
      </c>
      <c r="L43" s="59">
        <v>2201.8348500000002</v>
      </c>
      <c r="M43" s="5">
        <v>1102.8807200000001</v>
      </c>
      <c r="N43" s="5">
        <v>1018.27149</v>
      </c>
      <c r="O43" s="5">
        <v>1195.02161</v>
      </c>
      <c r="P43" s="5">
        <v>1117.24109</v>
      </c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</row>
    <row r="44" spans="1:270" s="7" customFormat="1" ht="14.5" x14ac:dyDescent="0.35">
      <c r="A44"/>
      <c r="B44" s="5"/>
      <c r="C44" s="5"/>
      <c r="D44" s="56">
        <v>39538</v>
      </c>
      <c r="E44" s="7">
        <v>8.0905000000000005</v>
      </c>
      <c r="F44" s="59">
        <v>3156.36</v>
      </c>
      <c r="G44" s="59">
        <v>253.33099999999999</v>
      </c>
      <c r="H44" s="59">
        <v>197.3272</v>
      </c>
      <c r="I44" s="59">
        <v>548.47</v>
      </c>
      <c r="J44" s="59">
        <v>1152.4416799999999</v>
      </c>
      <c r="K44" s="59">
        <v>3551.1709999999998</v>
      </c>
      <c r="L44" s="59">
        <v>2315.3711800000001</v>
      </c>
      <c r="M44" s="5">
        <v>1170.0377100000001</v>
      </c>
      <c r="N44" s="5">
        <v>1079.8171199999999</v>
      </c>
      <c r="O44" s="5">
        <v>1262.88579</v>
      </c>
      <c r="P44" s="5">
        <v>1180.0173500000001</v>
      </c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</row>
    <row r="45" spans="1:270" s="7" customFormat="1" ht="14.5" x14ac:dyDescent="0.35">
      <c r="A45"/>
      <c r="B45" s="5"/>
      <c r="C45" s="5"/>
      <c r="D45" s="56">
        <v>39568</v>
      </c>
      <c r="E45" s="7">
        <v>7.5614999999999997</v>
      </c>
      <c r="F45" s="59">
        <v>3288.71</v>
      </c>
      <c r="G45" s="59">
        <v>251.45400000000001</v>
      </c>
      <c r="H45" s="59">
        <v>199.0538</v>
      </c>
      <c r="I45" s="59">
        <v>513.98</v>
      </c>
      <c r="J45" s="59">
        <v>1132.1298099999999</v>
      </c>
      <c r="K45" s="59">
        <v>3192.7550000000001</v>
      </c>
      <c r="L45" s="59">
        <v>2158.5196099999998</v>
      </c>
      <c r="M45" s="5">
        <v>1089.6822199999999</v>
      </c>
      <c r="N45" s="5">
        <v>1007.90975</v>
      </c>
      <c r="O45" s="5">
        <v>1191.06457</v>
      </c>
      <c r="P45" s="5">
        <v>1113.0180600000001</v>
      </c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</row>
    <row r="46" spans="1:270" s="7" customFormat="1" ht="14.5" x14ac:dyDescent="0.35">
      <c r="A46"/>
      <c r="B46" s="5"/>
      <c r="C46" s="5"/>
      <c r="D46" s="56">
        <v>39598</v>
      </c>
      <c r="E46" s="7">
        <v>7.61</v>
      </c>
      <c r="F46" s="59">
        <v>3411.19</v>
      </c>
      <c r="G46" s="59">
        <v>245.1</v>
      </c>
      <c r="H46" s="59">
        <v>200.8305</v>
      </c>
      <c r="I46" s="59">
        <v>482.77</v>
      </c>
      <c r="J46" s="59">
        <v>1155.0540800000001</v>
      </c>
      <c r="K46" s="59">
        <v>3159.194</v>
      </c>
      <c r="L46" s="59">
        <v>2174.5088000000001</v>
      </c>
      <c r="M46" s="5">
        <v>1099.96217</v>
      </c>
      <c r="N46" s="5">
        <v>1021.99361</v>
      </c>
      <c r="O46" s="5">
        <v>1212.05582</v>
      </c>
      <c r="P46" s="5">
        <v>1132.6744699999999</v>
      </c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</row>
    <row r="47" spans="1:270" s="7" customFormat="1" ht="14.5" x14ac:dyDescent="0.35">
      <c r="A47"/>
      <c r="B47" s="5"/>
      <c r="C47" s="5"/>
      <c r="D47" s="56">
        <v>39629</v>
      </c>
      <c r="E47" s="7">
        <v>7.8193999999999999</v>
      </c>
      <c r="F47" s="59">
        <v>3262.45</v>
      </c>
      <c r="G47" s="59">
        <v>240.93100000000001</v>
      </c>
      <c r="H47" s="59">
        <v>202.72470000000001</v>
      </c>
      <c r="I47" s="59">
        <v>440.71</v>
      </c>
      <c r="J47" s="59">
        <v>1090.9601</v>
      </c>
      <c r="K47" s="59">
        <v>3265.9760000000001</v>
      </c>
      <c r="L47" s="59">
        <v>2242.9975199999999</v>
      </c>
      <c r="M47" s="5">
        <v>1141.72102</v>
      </c>
      <c r="N47" s="5">
        <v>1057.8363099999999</v>
      </c>
      <c r="O47" s="5">
        <v>1267.60004</v>
      </c>
      <c r="P47" s="5">
        <v>1184.5318299999999</v>
      </c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</row>
    <row r="48" spans="1:270" s="7" customFormat="1" ht="14.5" x14ac:dyDescent="0.35">
      <c r="A48"/>
      <c r="B48" s="5"/>
      <c r="C48" s="5"/>
      <c r="D48" s="56">
        <v>39660</v>
      </c>
      <c r="E48" s="7">
        <v>7.3360000000000003</v>
      </c>
      <c r="F48" s="59">
        <v>2978.06</v>
      </c>
      <c r="G48" s="59">
        <v>261.42700000000002</v>
      </c>
      <c r="H48" s="59">
        <v>204.68029999999999</v>
      </c>
      <c r="I48" s="59">
        <v>520.88</v>
      </c>
      <c r="J48" s="59">
        <v>998.01104999999995</v>
      </c>
      <c r="K48" s="59">
        <v>3070.895</v>
      </c>
      <c r="L48" s="59">
        <v>2112.31151</v>
      </c>
      <c r="M48" s="5">
        <v>1074.8597299999999</v>
      </c>
      <c r="N48" s="5">
        <v>998.67130999999995</v>
      </c>
      <c r="O48" s="5">
        <v>1184.8242299999999</v>
      </c>
      <c r="P48" s="5">
        <v>1107.1803399999999</v>
      </c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</row>
    <row r="49" spans="1:270" s="7" customFormat="1" ht="14.5" x14ac:dyDescent="0.35">
      <c r="A49"/>
      <c r="B49" s="5"/>
      <c r="C49" s="5"/>
      <c r="D49" s="56">
        <v>39689</v>
      </c>
      <c r="E49" s="7">
        <v>7.7045000000000003</v>
      </c>
      <c r="F49" s="59">
        <v>2987.36</v>
      </c>
      <c r="G49" s="59">
        <v>264.64699999999999</v>
      </c>
      <c r="H49" s="59">
        <v>206.54949999999999</v>
      </c>
      <c r="I49" s="59">
        <v>560.75</v>
      </c>
      <c r="J49" s="59">
        <v>1023.95268</v>
      </c>
      <c r="K49" s="59">
        <v>3164.576</v>
      </c>
      <c r="L49" s="59">
        <v>2220.53098</v>
      </c>
      <c r="M49" s="5">
        <v>1129.82069</v>
      </c>
      <c r="N49" s="5">
        <v>1053.3651</v>
      </c>
      <c r="O49" s="5">
        <v>1242.1814300000001</v>
      </c>
      <c r="P49" s="5">
        <v>1160.5954300000001</v>
      </c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</row>
    <row r="50" spans="1:270" s="7" customFormat="1" ht="14.5" x14ac:dyDescent="0.35">
      <c r="A50"/>
      <c r="B50" s="5"/>
      <c r="C50" s="5"/>
      <c r="D50" s="56">
        <v>39721</v>
      </c>
      <c r="E50" s="7">
        <v>8.2865000000000002</v>
      </c>
      <c r="F50" s="59">
        <v>2591.85</v>
      </c>
      <c r="G50" s="59">
        <v>271.22300000000001</v>
      </c>
      <c r="H50" s="59">
        <v>208.64160000000001</v>
      </c>
      <c r="I50" s="59">
        <v>542.41999999999996</v>
      </c>
      <c r="J50" s="59">
        <v>969.44474000000002</v>
      </c>
      <c r="K50" s="59">
        <v>3390.826</v>
      </c>
      <c r="L50" s="59">
        <v>2402.3142400000002</v>
      </c>
      <c r="M50" s="5">
        <v>1225.00278</v>
      </c>
      <c r="N50" s="5">
        <v>1145.94326</v>
      </c>
      <c r="O50" s="5">
        <v>1335.3793700000001</v>
      </c>
      <c r="P50" s="5">
        <v>1247.5177799999999</v>
      </c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</row>
    <row r="51" spans="1:270" s="7" customFormat="1" ht="14.5" x14ac:dyDescent="0.35">
      <c r="A51"/>
      <c r="B51" s="5"/>
      <c r="C51" s="5"/>
      <c r="D51" s="56">
        <v>39752</v>
      </c>
      <c r="E51" s="7">
        <v>9.7799999999999994</v>
      </c>
      <c r="F51" s="59">
        <v>2289.9899999999998</v>
      </c>
      <c r="G51" s="59">
        <v>269.99299999999999</v>
      </c>
      <c r="H51" s="59">
        <v>210.69589999999999</v>
      </c>
      <c r="I51" s="59">
        <v>506.75</v>
      </c>
      <c r="J51" s="59">
        <v>910.07200999999998</v>
      </c>
      <c r="K51" s="59">
        <v>3916.627</v>
      </c>
      <c r="L51" s="59">
        <v>2830.5827399999998</v>
      </c>
      <c r="M51" s="5">
        <v>1446.2970299999999</v>
      </c>
      <c r="N51" s="5">
        <v>1360.65202</v>
      </c>
      <c r="O51" s="5">
        <v>1574.9339199999999</v>
      </c>
      <c r="P51" s="5">
        <v>1461.38903</v>
      </c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</row>
    <row r="52" spans="1:270" s="7" customFormat="1" ht="14.5" x14ac:dyDescent="0.35">
      <c r="A52"/>
      <c r="B52" s="5"/>
      <c r="C52" s="5"/>
      <c r="D52" s="56">
        <v>39780</v>
      </c>
      <c r="E52" s="7">
        <v>10.050000000000001</v>
      </c>
      <c r="F52" s="59">
        <v>2319.0700000000002</v>
      </c>
      <c r="G52" s="59">
        <v>282.3</v>
      </c>
      <c r="H52" s="59">
        <v>212.57400000000001</v>
      </c>
      <c r="I52" s="59">
        <v>560.95000000000005</v>
      </c>
      <c r="J52" s="59">
        <v>879.09205999999995</v>
      </c>
      <c r="K52" s="59">
        <v>4206.6400000000003</v>
      </c>
      <c r="L52" s="59">
        <v>2938.5999200000001</v>
      </c>
      <c r="M52" s="5">
        <v>1501.52601</v>
      </c>
      <c r="N52" s="5">
        <v>1416.2380900000001</v>
      </c>
      <c r="O52" s="5">
        <v>1635.1219000000001</v>
      </c>
      <c r="P52" s="5">
        <v>1522.69768</v>
      </c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</row>
    <row r="53" spans="1:270" s="7" customFormat="1" ht="14.5" x14ac:dyDescent="0.35">
      <c r="A53"/>
      <c r="B53" s="5"/>
      <c r="C53" s="5"/>
      <c r="D53" s="56">
        <v>39813</v>
      </c>
      <c r="E53" s="7">
        <v>9.5250000000000004</v>
      </c>
      <c r="F53" s="59">
        <v>2354.29</v>
      </c>
      <c r="G53" s="59">
        <v>301.99900000000002</v>
      </c>
      <c r="H53" s="59">
        <v>214.7902</v>
      </c>
      <c r="I53" s="59">
        <v>588.32000000000005</v>
      </c>
      <c r="J53" s="59">
        <v>850.20201999999995</v>
      </c>
      <c r="K53" s="59">
        <v>4203.1499999999996</v>
      </c>
      <c r="L53" s="59">
        <v>2754.5111299999999</v>
      </c>
      <c r="M53" s="5">
        <v>1416.0126</v>
      </c>
      <c r="N53" s="5">
        <v>1338.21804</v>
      </c>
      <c r="O53" s="5">
        <v>1551.99811</v>
      </c>
      <c r="P53" s="5">
        <v>1432.78468</v>
      </c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</row>
    <row r="54" spans="1:270" s="7" customFormat="1" ht="14.5" x14ac:dyDescent="0.35">
      <c r="A54"/>
      <c r="B54" s="5"/>
      <c r="C54" s="5"/>
      <c r="D54" s="56">
        <v>39843</v>
      </c>
      <c r="E54" s="7">
        <v>10.1996</v>
      </c>
      <c r="F54" s="59">
        <v>2254.2399999999998</v>
      </c>
      <c r="G54" s="59">
        <v>294.76</v>
      </c>
      <c r="H54" s="59">
        <v>216.7801</v>
      </c>
      <c r="I54" s="59">
        <v>581.59</v>
      </c>
      <c r="J54" s="59">
        <v>842.74937</v>
      </c>
      <c r="K54" s="59">
        <v>4376.116</v>
      </c>
      <c r="L54" s="59">
        <v>2992.2310400000001</v>
      </c>
      <c r="M54" s="5">
        <v>1550.5926400000001</v>
      </c>
      <c r="N54" s="5">
        <v>1468.3973599999999</v>
      </c>
      <c r="O54" s="5">
        <v>1720.3045199999999</v>
      </c>
      <c r="P54" s="5">
        <v>1592.26424</v>
      </c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</row>
    <row r="55" spans="1:270" s="7" customFormat="1" ht="14.5" x14ac:dyDescent="0.35">
      <c r="A55"/>
      <c r="B55" s="5"/>
      <c r="C55" s="5"/>
      <c r="D55" s="56">
        <v>39871</v>
      </c>
      <c r="E55" s="7">
        <v>10.1165</v>
      </c>
      <c r="F55" s="59">
        <v>2031.67</v>
      </c>
      <c r="G55" s="59">
        <v>286.31700000000001</v>
      </c>
      <c r="H55" s="59">
        <v>218.6</v>
      </c>
      <c r="I55" s="59">
        <v>565.45000000000005</v>
      </c>
      <c r="J55" s="59">
        <v>751.83594000000005</v>
      </c>
      <c r="K55" s="59">
        <v>4193.3040000000001</v>
      </c>
      <c r="L55" s="59">
        <v>2963.40218</v>
      </c>
      <c r="M55" s="5">
        <v>1530.3077000000001</v>
      </c>
      <c r="N55" s="5">
        <v>1448.5757599999999</v>
      </c>
      <c r="O55" s="5">
        <v>1693.19056</v>
      </c>
      <c r="P55" s="5">
        <v>1582.85898</v>
      </c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</row>
    <row r="56" spans="1:270" s="7" customFormat="1" ht="14.5" x14ac:dyDescent="0.35">
      <c r="A56"/>
      <c r="B56" s="5"/>
      <c r="C56" s="5"/>
      <c r="D56" s="56">
        <v>39903</v>
      </c>
      <c r="E56" s="7">
        <v>9.5025999999999993</v>
      </c>
      <c r="F56" s="59">
        <v>2255.54</v>
      </c>
      <c r="G56" s="59">
        <v>286.48399999999998</v>
      </c>
      <c r="H56" s="59">
        <v>220.5976</v>
      </c>
      <c r="I56" s="59">
        <v>580.16999999999996</v>
      </c>
      <c r="J56" s="59">
        <v>767.63292000000001</v>
      </c>
      <c r="K56" s="59">
        <v>4048.07</v>
      </c>
      <c r="L56" s="59">
        <v>2801.1515800000002</v>
      </c>
      <c r="M56" s="5">
        <v>1454.77172</v>
      </c>
      <c r="N56" s="5">
        <v>1381.8030100000001</v>
      </c>
      <c r="O56" s="5">
        <v>1643.2796699999999</v>
      </c>
      <c r="P56" s="5">
        <v>1489.68379</v>
      </c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</row>
    <row r="57" spans="1:270" s="7" customFormat="1" ht="14.5" x14ac:dyDescent="0.35">
      <c r="A57"/>
      <c r="B57" s="5"/>
      <c r="C57" s="5"/>
      <c r="D57" s="56">
        <v>39933</v>
      </c>
      <c r="E57" s="7">
        <v>8.5274000000000001</v>
      </c>
      <c r="F57" s="59">
        <v>2291.16</v>
      </c>
      <c r="G57" s="59">
        <v>289.22300000000001</v>
      </c>
      <c r="H57" s="59">
        <v>222.37860000000001</v>
      </c>
      <c r="I57" s="59">
        <v>603.69000000000005</v>
      </c>
      <c r="J57" s="59">
        <v>764.83285999999998</v>
      </c>
      <c r="K57" s="59">
        <v>3602.5120000000002</v>
      </c>
      <c r="L57" s="59">
        <v>2501.1135800000002</v>
      </c>
      <c r="M57" s="5">
        <v>1300.40661</v>
      </c>
      <c r="N57" s="5">
        <v>1231.55288</v>
      </c>
      <c r="O57" s="5">
        <v>1497.8160600000001</v>
      </c>
      <c r="P57" s="5">
        <v>1336.3083300000001</v>
      </c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</row>
    <row r="58" spans="1:270" s="7" customFormat="1" ht="14.5" x14ac:dyDescent="0.35">
      <c r="A58"/>
      <c r="B58" s="5"/>
      <c r="C58" s="5"/>
      <c r="D58" s="56">
        <v>39962</v>
      </c>
      <c r="E58" s="7">
        <v>7.9386000000000001</v>
      </c>
      <c r="F58" s="59">
        <v>2527.87</v>
      </c>
      <c r="G58" s="59">
        <v>287.85599999999999</v>
      </c>
      <c r="H58" s="59">
        <v>224.006</v>
      </c>
      <c r="I58" s="59">
        <v>585.67999999999995</v>
      </c>
      <c r="J58" s="59">
        <v>791.74860999999999</v>
      </c>
      <c r="K58" s="59">
        <v>3492.6410000000001</v>
      </c>
      <c r="L58" s="59">
        <v>2359.2408999999998</v>
      </c>
      <c r="M58" s="5">
        <v>1217.9285299999999</v>
      </c>
      <c r="N58" s="5">
        <v>1146.5845999999999</v>
      </c>
      <c r="O58" s="5">
        <v>1415.9088200000001</v>
      </c>
      <c r="P58" s="5">
        <v>1263.22219</v>
      </c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</row>
    <row r="59" spans="1:270" s="7" customFormat="1" ht="14.5" x14ac:dyDescent="0.35">
      <c r="A59"/>
      <c r="B59" s="5"/>
      <c r="C59" s="5"/>
      <c r="D59" s="56">
        <v>39994</v>
      </c>
      <c r="E59" s="7">
        <v>7.7140000000000004</v>
      </c>
      <c r="F59" s="59">
        <v>2450.64</v>
      </c>
      <c r="G59" s="59">
        <v>287.31900000000002</v>
      </c>
      <c r="H59" s="59">
        <v>225.68430000000001</v>
      </c>
      <c r="I59" s="59">
        <v>575.08000000000004</v>
      </c>
      <c r="J59" s="59">
        <v>763.69875000000002</v>
      </c>
      <c r="K59" s="59">
        <v>3391.2570000000001</v>
      </c>
      <c r="L59" s="59">
        <v>2291.0956900000001</v>
      </c>
      <c r="M59" s="5">
        <v>1183.4515100000001</v>
      </c>
      <c r="N59" s="5">
        <v>1113.9293299999999</v>
      </c>
      <c r="O59" s="5">
        <v>1392.5864799999999</v>
      </c>
      <c r="P59" s="5">
        <v>1237.0546899999999</v>
      </c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</row>
    <row r="60" spans="1:270" s="7" customFormat="1" ht="14.5" x14ac:dyDescent="0.35">
      <c r="A60"/>
      <c r="B60" s="5"/>
      <c r="C60" s="5"/>
      <c r="D60" s="56">
        <v>40025</v>
      </c>
      <c r="E60" s="7">
        <v>7.7610000000000001</v>
      </c>
      <c r="F60" s="59">
        <v>2698.16</v>
      </c>
      <c r="G60" s="59">
        <v>291.03199999999998</v>
      </c>
      <c r="H60" s="59">
        <v>227.2285</v>
      </c>
      <c r="I60" s="59">
        <v>620.14</v>
      </c>
      <c r="J60" s="59">
        <v>834.98003000000006</v>
      </c>
      <c r="K60" s="59">
        <v>3462.422</v>
      </c>
      <c r="L60" s="59">
        <v>2304.9104600000001</v>
      </c>
      <c r="M60" s="5">
        <v>1193.8674599999999</v>
      </c>
      <c r="N60" s="5">
        <v>1127.38138</v>
      </c>
      <c r="O60" s="5">
        <v>1414.15777</v>
      </c>
      <c r="P60" s="5">
        <v>1251.9918</v>
      </c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</row>
    <row r="61" spans="1:270" s="7" customFormat="1" ht="14.5" x14ac:dyDescent="0.35">
      <c r="A61"/>
      <c r="B61" s="5"/>
      <c r="C61" s="5"/>
      <c r="D61" s="56">
        <v>40056</v>
      </c>
      <c r="E61" s="7">
        <v>7.7770999999999999</v>
      </c>
      <c r="F61" s="59">
        <v>2784.5</v>
      </c>
      <c r="G61" s="59">
        <v>295.59399999999999</v>
      </c>
      <c r="H61" s="59">
        <v>228.73009999999999</v>
      </c>
      <c r="I61" s="59">
        <v>632</v>
      </c>
      <c r="J61" s="59">
        <v>864.95219999999995</v>
      </c>
      <c r="K61" s="59">
        <v>3531.056</v>
      </c>
      <c r="L61" s="59">
        <v>2307.4857200000001</v>
      </c>
      <c r="M61" s="5">
        <v>1196.6712399999999</v>
      </c>
      <c r="N61" s="5">
        <v>1132.12102</v>
      </c>
      <c r="O61" s="5">
        <v>1427.4829500000001</v>
      </c>
      <c r="P61" s="5">
        <v>1264.6129699999999</v>
      </c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</row>
    <row r="62" spans="1:270" s="7" customFormat="1" ht="14.5" x14ac:dyDescent="0.35">
      <c r="A62"/>
      <c r="B62" s="5"/>
      <c r="C62" s="5"/>
      <c r="D62" s="56">
        <v>40086</v>
      </c>
      <c r="E62" s="7">
        <v>7.5098000000000003</v>
      </c>
      <c r="F62" s="59">
        <v>2791.42</v>
      </c>
      <c r="G62" s="59">
        <v>295.82600000000002</v>
      </c>
      <c r="H62" s="59">
        <v>230.14869999999999</v>
      </c>
      <c r="I62" s="59">
        <v>644.96</v>
      </c>
      <c r="J62" s="59">
        <v>872.72859000000005</v>
      </c>
      <c r="K62" s="59">
        <v>3483.57</v>
      </c>
      <c r="L62" s="59">
        <v>2227.2208300000002</v>
      </c>
      <c r="M62" s="5">
        <v>1152.2615000000001</v>
      </c>
      <c r="N62" s="5">
        <v>1090.5028500000001</v>
      </c>
      <c r="O62" s="5">
        <v>1382.9494999999999</v>
      </c>
      <c r="P62" s="5">
        <v>1224.73227</v>
      </c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</row>
    <row r="63" spans="1:270" s="7" customFormat="1" ht="14.5" x14ac:dyDescent="0.35">
      <c r="A63"/>
      <c r="B63" s="5"/>
      <c r="C63" s="5"/>
      <c r="D63" s="56">
        <v>40116</v>
      </c>
      <c r="E63" s="7">
        <v>7.8149999999999995</v>
      </c>
      <c r="F63" s="59">
        <v>2959.37</v>
      </c>
      <c r="G63" s="59">
        <v>295.11399999999998</v>
      </c>
      <c r="H63" s="59">
        <v>231.54329999999999</v>
      </c>
      <c r="I63" s="59">
        <v>658.2</v>
      </c>
      <c r="J63" s="59">
        <v>898.68767000000003</v>
      </c>
      <c r="K63" s="59">
        <v>3643.5740000000001</v>
      </c>
      <c r="L63" s="59">
        <v>2330.2142600000002</v>
      </c>
      <c r="M63" s="5">
        <v>1206.0869399999999</v>
      </c>
      <c r="N63" s="5">
        <v>1141.58051</v>
      </c>
      <c r="O63" s="5">
        <v>1450.5790099999999</v>
      </c>
      <c r="P63" s="5">
        <v>1288.8233499999999</v>
      </c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</row>
    <row r="64" spans="1:270" s="7" customFormat="1" ht="14.5" x14ac:dyDescent="0.35">
      <c r="A64"/>
      <c r="B64" s="5"/>
      <c r="C64" s="5"/>
      <c r="D64" s="56">
        <v>40147</v>
      </c>
      <c r="E64" s="7">
        <v>7.4046000000000003</v>
      </c>
      <c r="F64" s="59">
        <v>3022.43</v>
      </c>
      <c r="G64" s="59">
        <v>295.47800000000001</v>
      </c>
      <c r="H64" s="59">
        <v>232.96870000000001</v>
      </c>
      <c r="I64" s="59">
        <v>660.72</v>
      </c>
      <c r="J64" s="59">
        <v>884.12255000000005</v>
      </c>
      <c r="K64" s="59">
        <v>3554.357</v>
      </c>
      <c r="L64" s="59">
        <v>2202.6470199999999</v>
      </c>
      <c r="M64" s="5">
        <v>1149.8671899999999</v>
      </c>
      <c r="N64" s="5">
        <v>1087.3602800000001</v>
      </c>
      <c r="O64" s="5">
        <v>1382.1990000000001</v>
      </c>
      <c r="P64" s="5">
        <v>1221.5603699999999</v>
      </c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</row>
    <row r="65" spans="1:270" s="7" customFormat="1" ht="14.5" x14ac:dyDescent="0.35">
      <c r="A65" s="12"/>
      <c r="B65" s="5"/>
      <c r="C65" s="5"/>
      <c r="D65" s="56">
        <v>40178</v>
      </c>
      <c r="E65" s="7">
        <v>7.3979999999999997</v>
      </c>
      <c r="F65" s="59">
        <v>3110.79</v>
      </c>
      <c r="G65" s="59">
        <v>299.01299999999998</v>
      </c>
      <c r="H65" s="59">
        <v>234.39779999999999</v>
      </c>
      <c r="I65" s="59">
        <v>671.08</v>
      </c>
      <c r="J65" s="59">
        <v>897.38291000000004</v>
      </c>
      <c r="K65" s="59">
        <v>3358.1080000000002</v>
      </c>
      <c r="L65" s="59">
        <v>2190.9013399999999</v>
      </c>
      <c r="M65" s="5">
        <v>1139.47939</v>
      </c>
      <c r="N65" s="5">
        <v>1072.39735</v>
      </c>
      <c r="O65" s="5">
        <v>1357.7307000000001</v>
      </c>
      <c r="P65" s="5">
        <v>1210.21009</v>
      </c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</row>
    <row r="66" spans="1:270" s="7" customFormat="1" ht="14.5" x14ac:dyDescent="0.35">
      <c r="A66" s="12"/>
      <c r="B66" s="5"/>
      <c r="C66" s="5"/>
      <c r="D66" s="56">
        <v>40207</v>
      </c>
      <c r="E66" s="7">
        <v>7.6262999999999996</v>
      </c>
      <c r="F66" s="59">
        <v>3001.79</v>
      </c>
      <c r="G66" s="59">
        <v>299.67200000000003</v>
      </c>
      <c r="H66" s="59">
        <v>235.7405</v>
      </c>
      <c r="I66" s="59">
        <v>669.37</v>
      </c>
      <c r="J66" s="59">
        <v>880.27062000000001</v>
      </c>
      <c r="K66" s="59">
        <v>3460.3130000000001</v>
      </c>
      <c r="L66" s="59">
        <v>2246.68851</v>
      </c>
      <c r="M66" s="5">
        <v>1171.21072</v>
      </c>
      <c r="N66" s="5">
        <v>1100.7594899999999</v>
      </c>
      <c r="O66" s="5">
        <v>1382.95984</v>
      </c>
      <c r="P66" s="5">
        <v>1233.48352</v>
      </c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</row>
    <row r="67" spans="1:270" s="7" customFormat="1" ht="14.5" x14ac:dyDescent="0.35">
      <c r="A67" s="12"/>
      <c r="B67" s="5"/>
      <c r="C67" s="5"/>
      <c r="D67" s="56">
        <v>40235</v>
      </c>
      <c r="E67" s="7">
        <v>7.7153999999999998</v>
      </c>
      <c r="F67" s="59">
        <v>3012.99</v>
      </c>
      <c r="G67" s="59">
        <v>305.86500000000001</v>
      </c>
      <c r="H67" s="59">
        <v>237.03739999999999</v>
      </c>
      <c r="I67" s="59">
        <v>707.87</v>
      </c>
      <c r="J67" s="59">
        <v>903.78153999999995</v>
      </c>
      <c r="K67" s="59">
        <v>3516.9949999999999</v>
      </c>
      <c r="L67" s="59">
        <v>2278.1727999999998</v>
      </c>
      <c r="M67" s="5">
        <v>1189.3495</v>
      </c>
      <c r="N67" s="5">
        <v>1117.4997699999999</v>
      </c>
      <c r="O67" s="5">
        <v>1407.43173</v>
      </c>
      <c r="P67" s="5">
        <v>1255.1440600000001</v>
      </c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</row>
    <row r="68" spans="1:270" s="7" customFormat="1" ht="14.5" x14ac:dyDescent="0.35">
      <c r="A68" s="12"/>
      <c r="B68" s="5"/>
      <c r="C68" s="5"/>
      <c r="D68" s="56">
        <v>40268</v>
      </c>
      <c r="E68" s="7">
        <v>7.2850000000000001</v>
      </c>
      <c r="F68" s="59">
        <v>3250.11</v>
      </c>
      <c r="G68" s="59">
        <v>312.30599999999998</v>
      </c>
      <c r="H68" s="59">
        <v>238.57259999999999</v>
      </c>
      <c r="I68" s="59">
        <v>737.24</v>
      </c>
      <c r="J68" s="59">
        <v>911.01881000000003</v>
      </c>
      <c r="K68" s="59">
        <v>3270.4140000000002</v>
      </c>
      <c r="L68" s="59">
        <v>2158.0365299999999</v>
      </c>
      <c r="M68" s="5">
        <v>1133.8678500000001</v>
      </c>
      <c r="N68" s="5">
        <v>1067.51494</v>
      </c>
      <c r="O68" s="5">
        <v>1340.4449</v>
      </c>
      <c r="P68" s="5">
        <v>1194.5004300000001</v>
      </c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</row>
    <row r="69" spans="1:270" s="7" customFormat="1" ht="14.5" x14ac:dyDescent="0.35">
      <c r="A69" s="12"/>
      <c r="B69" s="5"/>
      <c r="C69" s="5"/>
      <c r="D69" s="56">
        <v>40298</v>
      </c>
      <c r="E69" s="7">
        <v>7.3890000000000002</v>
      </c>
      <c r="F69" s="59">
        <v>3248.17</v>
      </c>
      <c r="G69" s="59">
        <v>316.38900000000001</v>
      </c>
      <c r="H69" s="59">
        <v>239.9547</v>
      </c>
      <c r="I69" s="59">
        <v>750.9</v>
      </c>
      <c r="J69" s="59">
        <v>928.10864000000004</v>
      </c>
      <c r="K69" s="59">
        <v>3329.451</v>
      </c>
      <c r="L69" s="59">
        <v>2195.22309</v>
      </c>
      <c r="M69" s="5">
        <v>1160.9195299999999</v>
      </c>
      <c r="N69" s="5">
        <v>1095.56609</v>
      </c>
      <c r="O69" s="5">
        <v>1371.48107</v>
      </c>
      <c r="P69" s="5">
        <v>1216.39833</v>
      </c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</row>
    <row r="70" spans="1:270" s="7" customFormat="1" ht="14.5" x14ac:dyDescent="0.35">
      <c r="A70" s="12"/>
      <c r="B70" s="5"/>
      <c r="C70" s="5"/>
      <c r="D70" s="56">
        <v>40329</v>
      </c>
      <c r="E70" s="7">
        <v>7.67</v>
      </c>
      <c r="F70" s="59">
        <v>3082.13</v>
      </c>
      <c r="G70" s="59">
        <v>314.92700000000002</v>
      </c>
      <c r="H70" s="59">
        <v>241.36099999999999</v>
      </c>
      <c r="I70" s="59">
        <v>734.21</v>
      </c>
      <c r="J70" s="59">
        <v>871.03038000000004</v>
      </c>
      <c r="K70" s="59">
        <v>3426.8620000000001</v>
      </c>
      <c r="L70" s="59">
        <v>2276.1752499999998</v>
      </c>
      <c r="M70" s="5">
        <v>1198.9694999999999</v>
      </c>
      <c r="N70" s="5">
        <v>1133.7692500000001</v>
      </c>
      <c r="O70" s="5">
        <v>1408.0869299999999</v>
      </c>
      <c r="P70" s="5">
        <v>1251.50235</v>
      </c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</row>
    <row r="71" spans="1:270" s="7" customFormat="1" ht="14.5" x14ac:dyDescent="0.35">
      <c r="A71" s="12"/>
      <c r="B71" s="5"/>
      <c r="C71" s="5"/>
      <c r="D71" s="56">
        <v>40359</v>
      </c>
      <c r="E71" s="7">
        <v>7.6710000000000003</v>
      </c>
      <c r="F71" s="59">
        <v>2984.48</v>
      </c>
      <c r="G71" s="59">
        <v>315.791</v>
      </c>
      <c r="H71" s="59">
        <v>242.7089</v>
      </c>
      <c r="I71" s="59">
        <v>741.98</v>
      </c>
      <c r="J71" s="59">
        <v>843.52682000000004</v>
      </c>
      <c r="K71" s="59">
        <v>3496.0810000000001</v>
      </c>
      <c r="L71" s="59">
        <v>2275.9808499999999</v>
      </c>
      <c r="M71" s="5">
        <v>1205.07386</v>
      </c>
      <c r="N71" s="5">
        <v>1134.5823700000001</v>
      </c>
      <c r="O71" s="5">
        <v>1418.9060500000001</v>
      </c>
      <c r="P71" s="5">
        <v>1263.3904700000001</v>
      </c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</row>
    <row r="72" spans="1:270" s="7" customFormat="1" ht="14.5" x14ac:dyDescent="0.35">
      <c r="A72" s="12"/>
      <c r="B72" s="5"/>
      <c r="C72" s="5"/>
      <c r="D72" s="56">
        <v>40389</v>
      </c>
      <c r="E72" s="7">
        <v>7.2972000000000001</v>
      </c>
      <c r="F72" s="59">
        <v>3224.6</v>
      </c>
      <c r="G72" s="59">
        <v>328.88200000000001</v>
      </c>
      <c r="H72" s="59">
        <v>244.0478</v>
      </c>
      <c r="I72" s="59">
        <v>791.51</v>
      </c>
      <c r="J72" s="59">
        <v>869.79507999999998</v>
      </c>
      <c r="K72" s="59">
        <v>3446.9839999999999</v>
      </c>
      <c r="L72" s="59">
        <v>2172.1725099999999</v>
      </c>
      <c r="M72" s="5">
        <v>1141.9228499999999</v>
      </c>
      <c r="N72" s="5">
        <v>1070.88429</v>
      </c>
      <c r="O72" s="5">
        <v>1358.0880999999999</v>
      </c>
      <c r="P72" s="5">
        <v>1208.7360100000001</v>
      </c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</row>
    <row r="73" spans="1:270" s="7" customFormat="1" ht="14.5" x14ac:dyDescent="0.35">
      <c r="A73" s="12"/>
      <c r="B73" s="5"/>
      <c r="C73" s="5"/>
      <c r="D73" s="56">
        <v>40421</v>
      </c>
      <c r="E73" s="7">
        <v>7.3739999999999997</v>
      </c>
      <c r="F73" s="59">
        <v>3109.27</v>
      </c>
      <c r="G73" s="59">
        <v>338.63200000000001</v>
      </c>
      <c r="H73" s="59">
        <v>245.46690000000001</v>
      </c>
      <c r="I73" s="59">
        <v>814.61</v>
      </c>
      <c r="J73" s="59">
        <v>849.12982</v>
      </c>
      <c r="K73" s="59">
        <v>3561.5259999999998</v>
      </c>
      <c r="L73" s="59">
        <v>2199.2648199999999</v>
      </c>
      <c r="M73" s="5">
        <v>1163.4690700000001</v>
      </c>
      <c r="N73" s="5">
        <v>1099.51836</v>
      </c>
      <c r="O73" s="5">
        <v>1391.1088099999999</v>
      </c>
      <c r="P73" s="5">
        <v>1232.3977</v>
      </c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</row>
    <row r="74" spans="1:270" s="7" customFormat="1" ht="14.5" x14ac:dyDescent="0.35">
      <c r="A74" s="12"/>
      <c r="B74" s="5"/>
      <c r="C74" s="5"/>
      <c r="D74" s="56">
        <v>40451</v>
      </c>
      <c r="E74" s="7">
        <v>6.9630000000000001</v>
      </c>
      <c r="F74" s="59">
        <v>3381.14</v>
      </c>
      <c r="G74" s="59">
        <v>341.19600000000003</v>
      </c>
      <c r="H74" s="59">
        <v>246.78100000000001</v>
      </c>
      <c r="I74" s="59">
        <v>843.4</v>
      </c>
      <c r="J74" s="59">
        <v>879.78510000000006</v>
      </c>
      <c r="K74" s="59">
        <v>3442.4749999999999</v>
      </c>
      <c r="L74" s="59">
        <v>2080.32996</v>
      </c>
      <c r="M74" s="5">
        <v>1100.9152099999999</v>
      </c>
      <c r="N74" s="5">
        <v>1035.27574</v>
      </c>
      <c r="O74" s="5">
        <v>1316.17581</v>
      </c>
      <c r="P74" s="5">
        <v>1163.7639099999999</v>
      </c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</row>
    <row r="75" spans="1:270" s="7" customFormat="1" ht="14.5" x14ac:dyDescent="0.35">
      <c r="A75" s="12"/>
      <c r="B75" s="5"/>
      <c r="C75" s="5"/>
      <c r="D75" s="56">
        <v>40480</v>
      </c>
      <c r="E75" s="7">
        <v>6.9989999999999997</v>
      </c>
      <c r="F75" s="59">
        <v>3501.18</v>
      </c>
      <c r="G75" s="59">
        <v>344.75099999999998</v>
      </c>
      <c r="H75" s="59">
        <v>248.024</v>
      </c>
      <c r="I75" s="59">
        <v>855.02</v>
      </c>
      <c r="J75" s="59">
        <v>910.74530000000004</v>
      </c>
      <c r="K75" s="59">
        <v>3484.9430000000002</v>
      </c>
      <c r="L75" s="59">
        <v>2079.0125200000002</v>
      </c>
      <c r="M75" s="5">
        <v>1104.4918600000001</v>
      </c>
      <c r="N75" s="5">
        <v>1035.47154</v>
      </c>
      <c r="O75" s="5">
        <v>1321.8633299999999</v>
      </c>
      <c r="P75" s="5">
        <v>1168.5476900000001</v>
      </c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</row>
    <row r="76" spans="1:270" s="7" customFormat="1" ht="14.5" x14ac:dyDescent="0.35">
      <c r="A76" s="12"/>
      <c r="B76" s="5"/>
      <c r="C76" s="5"/>
      <c r="D76" s="56">
        <v>40512</v>
      </c>
      <c r="E76" s="7">
        <v>7.1032000000000002</v>
      </c>
      <c r="F76" s="59">
        <v>3485.37</v>
      </c>
      <c r="G76" s="59">
        <v>337.887</v>
      </c>
      <c r="H76" s="59">
        <v>249.37029999999999</v>
      </c>
      <c r="I76" s="59">
        <v>850.84</v>
      </c>
      <c r="J76" s="59">
        <v>905.30301999999995</v>
      </c>
      <c r="K76" s="59">
        <v>3383.9769999999999</v>
      </c>
      <c r="L76" s="59">
        <v>2114.1740799999998</v>
      </c>
      <c r="M76" s="5">
        <v>1123.97867</v>
      </c>
      <c r="N76" s="5">
        <v>1053.4627800000001</v>
      </c>
      <c r="O76" s="5">
        <v>1347.0047099999999</v>
      </c>
      <c r="P76" s="5">
        <v>1191.5146</v>
      </c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</row>
    <row r="77" spans="1:270" s="7" customFormat="1" ht="14.5" x14ac:dyDescent="0.35">
      <c r="A77" s="12"/>
      <c r="B77" s="5"/>
      <c r="C77" s="5"/>
      <c r="D77" s="56">
        <v>40543</v>
      </c>
      <c r="E77" s="7">
        <v>6.6291000000000002</v>
      </c>
      <c r="F77" s="59">
        <v>3701.33</v>
      </c>
      <c r="G77" s="59">
        <v>343.892</v>
      </c>
      <c r="H77" s="59">
        <v>250.6353</v>
      </c>
      <c r="I77" s="59">
        <v>869.84</v>
      </c>
      <c r="J77" s="59">
        <v>902.42177000000004</v>
      </c>
      <c r="K77" s="59">
        <v>3189.76</v>
      </c>
      <c r="L77" s="59">
        <v>1964.2643</v>
      </c>
      <c r="M77" s="5">
        <v>1044.5571500000001</v>
      </c>
      <c r="N77" s="5">
        <v>974.07995000000005</v>
      </c>
      <c r="O77" s="5">
        <v>1254.1401900000001</v>
      </c>
      <c r="P77" s="5">
        <v>1108.00611</v>
      </c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</row>
    <row r="78" spans="1:270" s="7" customFormat="1" ht="14.5" x14ac:dyDescent="0.35">
      <c r="A78" s="12"/>
      <c r="B78" s="5"/>
      <c r="C78" s="5"/>
      <c r="D78" s="56">
        <v>40574</v>
      </c>
      <c r="E78" s="7">
        <v>7.1855000000000002</v>
      </c>
      <c r="F78" s="59">
        <v>3621.62</v>
      </c>
      <c r="G78" s="59">
        <v>336.40100000000001</v>
      </c>
      <c r="H78" s="59">
        <v>251.8723</v>
      </c>
      <c r="I78" s="59">
        <v>833.43</v>
      </c>
      <c r="J78" s="59">
        <v>998.94797000000005</v>
      </c>
      <c r="K78" s="59">
        <v>3472.9479999999999</v>
      </c>
      <c r="L78" s="59">
        <v>2141.4331699999998</v>
      </c>
      <c r="M78" s="5">
        <v>1145.96831</v>
      </c>
      <c r="N78" s="5">
        <v>1072.72091</v>
      </c>
      <c r="O78" s="5">
        <v>1380.0802699999999</v>
      </c>
      <c r="P78" s="5">
        <v>1220.9860900000001</v>
      </c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</row>
    <row r="79" spans="1:270" s="7" customFormat="1" ht="14.5" x14ac:dyDescent="0.35">
      <c r="A79" s="12"/>
      <c r="B79" s="5"/>
      <c r="C79" s="5"/>
      <c r="D79" s="56">
        <v>40602</v>
      </c>
      <c r="E79" s="7">
        <v>6.9687000000000001</v>
      </c>
      <c r="F79" s="59">
        <v>3723.2</v>
      </c>
      <c r="G79" s="59">
        <v>336.70299999999997</v>
      </c>
      <c r="H79" s="59">
        <v>252.9735</v>
      </c>
      <c r="I79" s="59">
        <v>823.41</v>
      </c>
      <c r="J79" s="59">
        <v>996.62365999999997</v>
      </c>
      <c r="K79" s="59">
        <v>3379.2750000000001</v>
      </c>
      <c r="L79" s="59">
        <v>2076.5770900000002</v>
      </c>
      <c r="M79" s="5">
        <v>1120.3944799999999</v>
      </c>
      <c r="N79" s="5">
        <v>1045.5399399999999</v>
      </c>
      <c r="O79" s="5">
        <v>1360.19634</v>
      </c>
      <c r="P79" s="5">
        <v>1204.58861</v>
      </c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</row>
    <row r="80" spans="1:270" s="7" customFormat="1" ht="14.5" x14ac:dyDescent="0.35">
      <c r="A80" s="12"/>
      <c r="B80" s="5"/>
      <c r="C80" s="5"/>
      <c r="D80" s="56">
        <v>40633</v>
      </c>
      <c r="E80" s="7">
        <v>6.7743000000000002</v>
      </c>
      <c r="F80" s="59">
        <v>3742.65</v>
      </c>
      <c r="G80" s="59">
        <v>338.35</v>
      </c>
      <c r="H80" s="59">
        <v>254.18450000000001</v>
      </c>
      <c r="I80" s="59">
        <v>851.01</v>
      </c>
      <c r="J80" s="59">
        <v>968.44186999999999</v>
      </c>
      <c r="K80" s="59">
        <v>3295.8670000000002</v>
      </c>
      <c r="L80" s="59">
        <v>2020.58737</v>
      </c>
      <c r="M80" s="5">
        <v>1092.6204700000001</v>
      </c>
      <c r="N80" s="5">
        <v>1023.4804799999999</v>
      </c>
      <c r="O80" s="5">
        <v>1338.7596900000001</v>
      </c>
      <c r="P80" s="5">
        <v>1185.0044600000001</v>
      </c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</row>
    <row r="81" spans="1:270" s="7" customFormat="1" ht="14.5" x14ac:dyDescent="0.35">
      <c r="A81" s="12"/>
      <c r="B81" s="5"/>
      <c r="C81" s="5"/>
      <c r="D81" s="56">
        <v>40662</v>
      </c>
      <c r="E81" s="7">
        <v>6.5686</v>
      </c>
      <c r="F81" s="59">
        <v>3826.56</v>
      </c>
      <c r="G81" s="59">
        <v>346.15199999999999</v>
      </c>
      <c r="H81" s="59">
        <v>255.31450000000001</v>
      </c>
      <c r="I81" s="59">
        <v>882.61</v>
      </c>
      <c r="J81" s="59">
        <v>979.72403999999995</v>
      </c>
      <c r="K81" s="59">
        <v>3302.308</v>
      </c>
      <c r="L81" s="59">
        <v>1964.5212300000001</v>
      </c>
      <c r="M81" s="5">
        <v>1071.7162800000001</v>
      </c>
      <c r="N81" s="5">
        <v>999.88306</v>
      </c>
      <c r="O81" s="5">
        <v>1310.3026199999999</v>
      </c>
      <c r="P81" s="5">
        <v>1159.5249100000001</v>
      </c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</row>
    <row r="82" spans="1:270" s="7" customFormat="1" ht="14.5" x14ac:dyDescent="0.35">
      <c r="A82" s="12"/>
      <c r="B82" s="5"/>
      <c r="C82" s="5"/>
      <c r="D82" s="56">
        <v>40694</v>
      </c>
      <c r="E82" s="7">
        <v>6.8021000000000003</v>
      </c>
      <c r="F82" s="59">
        <v>3796.99</v>
      </c>
      <c r="G82" s="59">
        <v>350.96899999999999</v>
      </c>
      <c r="H82" s="59">
        <v>256.56209999999999</v>
      </c>
      <c r="I82" s="59">
        <v>883.49</v>
      </c>
      <c r="J82" s="59">
        <v>993.16021000000001</v>
      </c>
      <c r="K82" s="59">
        <v>3422.4859999999999</v>
      </c>
      <c r="L82" s="59">
        <v>2035.9380799999999</v>
      </c>
      <c r="M82" s="5">
        <v>1115.72741</v>
      </c>
      <c r="N82" s="5">
        <v>1042.75198</v>
      </c>
      <c r="O82" s="5">
        <v>1355.0278599999999</v>
      </c>
      <c r="P82" s="5">
        <v>1199.0334399999999</v>
      </c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</row>
    <row r="83" spans="1:270" s="7" customFormat="1" ht="14.5" x14ac:dyDescent="0.35">
      <c r="A83" s="12"/>
      <c r="B83" s="5"/>
      <c r="C83" s="5"/>
      <c r="D83" s="56">
        <v>40724</v>
      </c>
      <c r="E83" s="7">
        <v>6.7693000000000003</v>
      </c>
      <c r="F83" s="59">
        <v>3719.91</v>
      </c>
      <c r="G83" s="59">
        <v>351.52600000000001</v>
      </c>
      <c r="H83" s="59">
        <v>257.7353</v>
      </c>
      <c r="I83" s="59">
        <v>893.83</v>
      </c>
      <c r="J83" s="59">
        <v>969.53571999999997</v>
      </c>
      <c r="K83" s="59">
        <v>3401.1260000000002</v>
      </c>
      <c r="L83" s="59">
        <v>2019.9288300000001</v>
      </c>
      <c r="M83" s="5">
        <v>1110.2439199999999</v>
      </c>
      <c r="N83" s="5">
        <v>1039.2178699999999</v>
      </c>
      <c r="O83" s="5">
        <v>1336.66626</v>
      </c>
      <c r="P83" s="5">
        <v>1182.5496700000001</v>
      </c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</row>
    <row r="84" spans="1:270" s="7" customFormat="1" ht="14.5" x14ac:dyDescent="0.35">
      <c r="A84" s="12"/>
      <c r="B84" s="5"/>
      <c r="C84" s="5"/>
      <c r="D84" s="56">
        <v>40753</v>
      </c>
      <c r="E84" s="7">
        <v>6.6909999999999998</v>
      </c>
      <c r="F84" s="59">
        <v>3645.83</v>
      </c>
      <c r="G84" s="59">
        <v>356.66899999999998</v>
      </c>
      <c r="H84" s="59">
        <v>258.8732</v>
      </c>
      <c r="I84" s="59">
        <v>908.13</v>
      </c>
      <c r="J84" s="59">
        <v>945.08947999999998</v>
      </c>
      <c r="K84" s="59">
        <v>3449.4349999999999</v>
      </c>
      <c r="L84" s="59">
        <v>2002.0891099999999</v>
      </c>
      <c r="M84" s="5">
        <v>1103.1215400000001</v>
      </c>
      <c r="N84" s="5">
        <v>1030.7590399999999</v>
      </c>
      <c r="O84" s="5">
        <v>1332.74791</v>
      </c>
      <c r="P84" s="5">
        <v>1179.0826300000001</v>
      </c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</row>
    <row r="85" spans="1:270" s="7" customFormat="1" ht="14.5" x14ac:dyDescent="0.35">
      <c r="A85" s="12"/>
      <c r="B85" s="5"/>
      <c r="C85" s="5"/>
      <c r="D85" s="56">
        <v>40786</v>
      </c>
      <c r="E85" s="7">
        <v>6.9915000000000003</v>
      </c>
      <c r="F85" s="59">
        <v>3634.09</v>
      </c>
      <c r="G85" s="59">
        <v>369.12099999999998</v>
      </c>
      <c r="H85" s="59">
        <v>260.17230000000001</v>
      </c>
      <c r="I85" s="59">
        <v>933.16</v>
      </c>
      <c r="J85" s="59">
        <v>912.58946000000003</v>
      </c>
      <c r="K85" s="59">
        <v>3670.9029999999998</v>
      </c>
      <c r="L85" s="59">
        <v>2086.02961</v>
      </c>
      <c r="M85" s="5">
        <v>1151.92985</v>
      </c>
      <c r="N85" s="5">
        <v>1073.0880999999999</v>
      </c>
      <c r="O85" s="5">
        <v>1395.36241</v>
      </c>
      <c r="P85" s="5">
        <v>1234.5705700000001</v>
      </c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</row>
    <row r="86" spans="1:270" s="7" customFormat="1" ht="14.5" x14ac:dyDescent="0.35">
      <c r="A86" s="12"/>
      <c r="B86" s="5"/>
      <c r="C86" s="5"/>
      <c r="D86" s="56">
        <v>40816</v>
      </c>
      <c r="E86" s="7">
        <v>8.0967000000000002</v>
      </c>
      <c r="F86" s="59">
        <v>3502.83</v>
      </c>
      <c r="G86" s="59">
        <v>361.39100000000002</v>
      </c>
      <c r="H86" s="59">
        <v>261.35480000000001</v>
      </c>
      <c r="I86" s="59">
        <v>913.44</v>
      </c>
      <c r="J86" s="59">
        <v>952.11798999999996</v>
      </c>
      <c r="K86" s="59">
        <v>4168.49</v>
      </c>
      <c r="L86" s="59">
        <v>2404.10475</v>
      </c>
      <c r="M86" s="5">
        <v>1328.4180699999999</v>
      </c>
      <c r="N86" s="5">
        <v>1245.53404</v>
      </c>
      <c r="O86" s="5">
        <v>1598.4962499999999</v>
      </c>
      <c r="P86" s="5">
        <v>1414.9809499999999</v>
      </c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</row>
    <row r="87" spans="1:270" s="7" customFormat="1" ht="14.5" x14ac:dyDescent="0.35">
      <c r="A87" s="12"/>
      <c r="B87" s="5"/>
      <c r="C87" s="5"/>
      <c r="D87" s="56">
        <v>40847</v>
      </c>
      <c r="E87" s="7">
        <v>7.9599000000000002</v>
      </c>
      <c r="F87" s="59">
        <v>3830.33</v>
      </c>
      <c r="G87" s="59">
        <v>371.33300000000003</v>
      </c>
      <c r="H87" s="59">
        <v>262.5788</v>
      </c>
      <c r="I87" s="59">
        <v>936.77</v>
      </c>
      <c r="J87" s="59">
        <v>1033.10365</v>
      </c>
      <c r="K87" s="59">
        <v>4096.2049999999999</v>
      </c>
      <c r="L87" s="59">
        <v>2357.1596199999999</v>
      </c>
      <c r="M87" s="5">
        <v>1303.0542600000001</v>
      </c>
      <c r="N87" s="5">
        <v>1217.39417</v>
      </c>
      <c r="O87" s="5">
        <v>1568.2479599999999</v>
      </c>
      <c r="P87" s="5">
        <v>1380.06375</v>
      </c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</row>
    <row r="88" spans="1:270" s="7" customFormat="1" ht="14.5" x14ac:dyDescent="0.35">
      <c r="A88" s="12"/>
      <c r="B88" s="5"/>
      <c r="C88" s="5"/>
      <c r="D88" s="56">
        <v>40877</v>
      </c>
      <c r="E88" s="7">
        <v>8.1089000000000002</v>
      </c>
      <c r="F88" s="59">
        <v>3891.52</v>
      </c>
      <c r="G88" s="59">
        <v>371.38299999999998</v>
      </c>
      <c r="H88" s="59">
        <v>263.76580000000001</v>
      </c>
      <c r="I88" s="59">
        <v>927.98</v>
      </c>
      <c r="J88" s="59">
        <v>1034.33917</v>
      </c>
      <c r="K88" s="59">
        <v>4179.8980000000001</v>
      </c>
      <c r="L88" s="59">
        <v>2433.8775099999998</v>
      </c>
      <c r="M88" s="5">
        <v>1348.2888499999999</v>
      </c>
      <c r="N88" s="5">
        <v>1256.21271</v>
      </c>
      <c r="O88" s="5">
        <v>1614.0945400000001</v>
      </c>
      <c r="P88" s="5">
        <v>1414.9817700000001</v>
      </c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</row>
    <row r="89" spans="1:270" s="7" customFormat="1" ht="14.5" x14ac:dyDescent="0.35">
      <c r="A89" s="12"/>
      <c r="B89" s="5"/>
      <c r="C89" s="5"/>
      <c r="D89" s="56">
        <v>40907</v>
      </c>
      <c r="E89" s="7">
        <v>8.09</v>
      </c>
      <c r="F89" s="59">
        <v>3796.35</v>
      </c>
      <c r="G89" s="59">
        <v>374.07</v>
      </c>
      <c r="H89" s="59">
        <v>264.9581</v>
      </c>
      <c r="I89" s="59">
        <v>947.49</v>
      </c>
      <c r="J89" s="59">
        <v>1025.0297800000001</v>
      </c>
      <c r="K89" s="59">
        <v>4192.88</v>
      </c>
      <c r="L89" s="59">
        <v>2418.5764300000001</v>
      </c>
      <c r="M89" s="5">
        <v>1345.2826299999999</v>
      </c>
      <c r="N89" s="5">
        <v>1254.60484</v>
      </c>
      <c r="O89" s="5">
        <v>1597.77342</v>
      </c>
      <c r="P89" s="5">
        <v>1402.5414699999999</v>
      </c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</row>
    <row r="90" spans="1:270" s="7" customFormat="1" ht="14.5" x14ac:dyDescent="0.35">
      <c r="A90" s="12"/>
      <c r="B90" s="5"/>
      <c r="C90" s="5"/>
      <c r="D90" s="56">
        <v>40939</v>
      </c>
      <c r="E90" s="7">
        <v>7.8108000000000004</v>
      </c>
      <c r="F90" s="59">
        <v>4013.84</v>
      </c>
      <c r="G90" s="59">
        <v>381.78199999999998</v>
      </c>
      <c r="H90" s="59">
        <v>266.23820000000001</v>
      </c>
      <c r="I90" s="59">
        <v>992.49</v>
      </c>
      <c r="J90" s="59">
        <v>1049.28909</v>
      </c>
      <c r="K90" s="59">
        <v>4108.0349999999999</v>
      </c>
      <c r="L90" s="59">
        <v>2342.0993100000001</v>
      </c>
      <c r="M90" s="5">
        <v>1302.9330299999999</v>
      </c>
      <c r="N90" s="5">
        <v>1216.1940400000001</v>
      </c>
      <c r="O90" s="5">
        <v>1559.6260600000001</v>
      </c>
      <c r="P90" s="5">
        <v>1363.8556900000001</v>
      </c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</row>
    <row r="91" spans="1:270" s="7" customFormat="1" ht="14.5" x14ac:dyDescent="0.35">
      <c r="A91" s="12"/>
      <c r="B91" s="5"/>
      <c r="C91" s="5"/>
      <c r="D91" s="56">
        <v>40968</v>
      </c>
      <c r="E91" s="7">
        <v>7.5062999999999995</v>
      </c>
      <c r="F91" s="59">
        <v>4081.93</v>
      </c>
      <c r="G91" s="59">
        <v>382.452</v>
      </c>
      <c r="H91" s="59">
        <v>267.40300000000002</v>
      </c>
      <c r="I91" s="59">
        <v>1002.54</v>
      </c>
      <c r="J91" s="59">
        <v>1051.4512999999999</v>
      </c>
      <c r="K91" s="59">
        <v>3876.585</v>
      </c>
      <c r="L91" s="59">
        <v>2236.4397899999999</v>
      </c>
      <c r="M91" s="5">
        <v>1243.8560399999999</v>
      </c>
      <c r="N91" s="5">
        <v>1159.1225199999999</v>
      </c>
      <c r="O91" s="5">
        <v>1496.8249699999999</v>
      </c>
      <c r="P91" s="5">
        <v>1302.4881399999999</v>
      </c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</row>
    <row r="92" spans="1:270" s="7" customFormat="1" ht="14.5" x14ac:dyDescent="0.35">
      <c r="A92" s="12"/>
      <c r="B92" s="5"/>
      <c r="C92" s="5"/>
      <c r="D92" s="56">
        <v>40998</v>
      </c>
      <c r="E92" s="7">
        <v>7.673</v>
      </c>
      <c r="F92" s="59">
        <v>4024.32</v>
      </c>
      <c r="G92" s="59">
        <v>382.911</v>
      </c>
      <c r="H92" s="59">
        <v>268.61540000000002</v>
      </c>
      <c r="I92" s="59">
        <v>1023.55</v>
      </c>
      <c r="J92" s="59">
        <v>1085.77153</v>
      </c>
      <c r="K92" s="59">
        <v>3933.6410000000001</v>
      </c>
      <c r="L92" s="59">
        <v>2295.9063999999998</v>
      </c>
      <c r="M92" s="5">
        <v>1283.40489</v>
      </c>
      <c r="N92" s="5">
        <v>1196.76576</v>
      </c>
      <c r="O92" s="5">
        <v>1555.7457899999999</v>
      </c>
      <c r="P92" s="5">
        <v>1332.8910599999999</v>
      </c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</row>
    <row r="93" spans="1:270" s="7" customFormat="1" ht="14.5" x14ac:dyDescent="0.35">
      <c r="A93" s="12"/>
      <c r="B93" s="5"/>
      <c r="C93" s="5"/>
      <c r="D93" s="56">
        <v>41029</v>
      </c>
      <c r="E93" s="7">
        <v>7.7774000000000001</v>
      </c>
      <c r="F93" s="59">
        <v>4138.34</v>
      </c>
      <c r="G93" s="59">
        <v>389.83600000000001</v>
      </c>
      <c r="H93" s="59">
        <v>269.87650000000002</v>
      </c>
      <c r="I93" s="59">
        <v>1050.3</v>
      </c>
      <c r="J93" s="59">
        <v>1093.09058</v>
      </c>
      <c r="K93" s="59">
        <v>4069.915</v>
      </c>
      <c r="L93" s="59">
        <v>2339.7798899999998</v>
      </c>
      <c r="M93" s="5">
        <v>1307.6599100000001</v>
      </c>
      <c r="N93" s="5">
        <v>1218.5121799999999</v>
      </c>
      <c r="O93" s="5">
        <v>1580.5566799999999</v>
      </c>
      <c r="P93" s="5">
        <v>1369.2876699999999</v>
      </c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</row>
    <row r="94" spans="1:270" s="7" customFormat="1" ht="14.5" x14ac:dyDescent="0.35">
      <c r="A94" s="12"/>
      <c r="B94" s="5"/>
      <c r="C94" s="5"/>
      <c r="D94" s="56">
        <v>41060</v>
      </c>
      <c r="E94" s="7">
        <v>8.5229999999999997</v>
      </c>
      <c r="F94" s="59">
        <v>3989.82</v>
      </c>
      <c r="G94" s="59">
        <v>389.78300000000002</v>
      </c>
      <c r="H94" s="59">
        <v>271.14479999999998</v>
      </c>
      <c r="I94" s="59">
        <v>1056.1199999999999</v>
      </c>
      <c r="J94" s="59">
        <v>1086.72174</v>
      </c>
      <c r="K94" s="59">
        <v>4440.1840000000002</v>
      </c>
      <c r="L94" s="59">
        <v>2557.1208799999999</v>
      </c>
      <c r="M94" s="5">
        <v>1429.36391</v>
      </c>
      <c r="N94" s="5">
        <v>1342.2952600000001</v>
      </c>
      <c r="O94" s="5">
        <v>1711.9816000000001</v>
      </c>
      <c r="P94" s="5">
        <v>1473.84807</v>
      </c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</row>
    <row r="95" spans="1:270" s="7" customFormat="1" ht="14.5" x14ac:dyDescent="0.35">
      <c r="A95" s="12"/>
      <c r="B95" s="5"/>
      <c r="C95" s="5"/>
      <c r="D95" s="56">
        <v>41089</v>
      </c>
      <c r="E95" s="7">
        <v>8.1641999999999992</v>
      </c>
      <c r="F95" s="59">
        <v>4063.73</v>
      </c>
      <c r="G95" s="59">
        <v>402.80200000000002</v>
      </c>
      <c r="H95" s="59">
        <v>272.33620000000002</v>
      </c>
      <c r="I95" s="59">
        <v>1129.06</v>
      </c>
      <c r="J95" s="59">
        <v>1098.0658599999999</v>
      </c>
      <c r="K95" s="59">
        <v>4268.3</v>
      </c>
      <c r="L95" s="59">
        <v>2463.9218999999998</v>
      </c>
      <c r="M95" s="5">
        <v>1371.3336899999999</v>
      </c>
      <c r="N95" s="5">
        <v>1279.2635399999999</v>
      </c>
      <c r="O95" s="5">
        <v>1634.2518299999999</v>
      </c>
      <c r="P95" s="5">
        <v>1419.08744</v>
      </c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</row>
    <row r="96" spans="1:270" s="7" customFormat="1" ht="14.5" x14ac:dyDescent="0.35">
      <c r="A96" s="12"/>
      <c r="B96" s="5"/>
      <c r="C96" s="5"/>
      <c r="D96" s="56">
        <v>41121</v>
      </c>
      <c r="E96" s="7">
        <v>8.2586999999999993</v>
      </c>
      <c r="F96" s="59">
        <v>4173.68</v>
      </c>
      <c r="G96" s="59">
        <v>418.745</v>
      </c>
      <c r="H96" s="59">
        <v>273.65140000000002</v>
      </c>
      <c r="I96" s="59">
        <v>1226.1099999999999</v>
      </c>
      <c r="J96" s="59">
        <v>1123.2596799999999</v>
      </c>
      <c r="K96" s="59">
        <v>4351.8590000000004</v>
      </c>
      <c r="L96" s="59">
        <v>2488.21065</v>
      </c>
      <c r="M96" s="5">
        <v>1375.86383</v>
      </c>
      <c r="N96" s="5">
        <v>1275.999</v>
      </c>
      <c r="O96" s="5">
        <v>1643.70715</v>
      </c>
      <c r="P96" s="5">
        <v>1426.02424</v>
      </c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</row>
    <row r="97" spans="1:270" s="7" customFormat="1" ht="14.5" x14ac:dyDescent="0.35">
      <c r="A97" s="12"/>
      <c r="B97" s="5"/>
      <c r="C97" s="5"/>
      <c r="D97" s="56">
        <v>41152</v>
      </c>
      <c r="E97" s="7">
        <v>8.4</v>
      </c>
      <c r="F97" s="59">
        <v>4288.12</v>
      </c>
      <c r="G97" s="59">
        <v>419.04300000000001</v>
      </c>
      <c r="H97" s="59">
        <v>274.9015</v>
      </c>
      <c r="I97" s="59">
        <v>1295.3599999999999</v>
      </c>
      <c r="J97" s="59">
        <v>1166.10778</v>
      </c>
      <c r="K97" s="59">
        <v>4451.2280000000001</v>
      </c>
      <c r="L97" s="59">
        <v>2529.8309899999999</v>
      </c>
      <c r="M97" s="5">
        <v>1400.63051</v>
      </c>
      <c r="N97" s="5">
        <v>1306.2799299999999</v>
      </c>
      <c r="O97" s="5">
        <v>1682.46461</v>
      </c>
      <c r="P97" s="5">
        <v>1455.4512199999999</v>
      </c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</row>
    <row r="98" spans="1:270" s="7" customFormat="1" x14ac:dyDescent="0.3">
      <c r="A98" s="4"/>
      <c r="B98" s="5"/>
      <c r="C98" s="5"/>
      <c r="D98" s="56">
        <v>41180</v>
      </c>
      <c r="E98" s="7">
        <v>8.3146000000000004</v>
      </c>
      <c r="F98" s="59">
        <v>4358.6499999999996</v>
      </c>
      <c r="G98" s="59">
        <v>422.959</v>
      </c>
      <c r="H98" s="59">
        <v>276.01260000000002</v>
      </c>
      <c r="I98" s="59">
        <v>1253</v>
      </c>
      <c r="J98" s="59">
        <v>1187.8341800000001</v>
      </c>
      <c r="K98" s="59">
        <v>4441.92</v>
      </c>
      <c r="L98" s="59">
        <v>2499.9673200000002</v>
      </c>
      <c r="M98" s="5">
        <v>1384.32754</v>
      </c>
      <c r="N98" s="5">
        <v>1298.26432</v>
      </c>
      <c r="O98" s="5">
        <v>1666.84112</v>
      </c>
      <c r="P98" s="5">
        <v>1453.44382</v>
      </c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</row>
    <row r="99" spans="1:270" s="7" customFormat="1" x14ac:dyDescent="0.3">
      <c r="A99" s="4"/>
      <c r="B99" s="5"/>
      <c r="C99" s="5"/>
      <c r="D99" s="56">
        <v>41213</v>
      </c>
      <c r="E99" s="7">
        <v>8.6736000000000004</v>
      </c>
      <c r="F99" s="59">
        <v>4542.46</v>
      </c>
      <c r="G99" s="59">
        <v>420.41500000000002</v>
      </c>
      <c r="H99" s="59">
        <v>277.3032</v>
      </c>
      <c r="I99" s="59">
        <v>1201.83</v>
      </c>
      <c r="J99" s="59">
        <v>1232.1935100000001</v>
      </c>
      <c r="K99" s="59">
        <v>4607.6239999999998</v>
      </c>
      <c r="L99" s="59">
        <v>2612.1584699999999</v>
      </c>
      <c r="M99" s="5">
        <v>1452.46723</v>
      </c>
      <c r="N99" s="5">
        <v>1362.1992600000001</v>
      </c>
      <c r="O99" s="5">
        <v>1739.8184900000001</v>
      </c>
      <c r="P99" s="5">
        <v>1512.9160099999999</v>
      </c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</row>
    <row r="100" spans="1:270" s="7" customFormat="1" x14ac:dyDescent="0.3">
      <c r="A100" s="4"/>
      <c r="B100" s="5"/>
      <c r="C100" s="5"/>
      <c r="D100" s="56">
        <v>41243</v>
      </c>
      <c r="E100" s="7">
        <v>8.9087999999999994</v>
      </c>
      <c r="F100" s="59">
        <v>4662.18</v>
      </c>
      <c r="G100" s="59">
        <v>424.13</v>
      </c>
      <c r="H100" s="59">
        <v>278.46929999999998</v>
      </c>
      <c r="I100" s="59">
        <v>1282.8599999999999</v>
      </c>
      <c r="J100" s="59">
        <v>1281.5944099999999</v>
      </c>
      <c r="K100" s="59">
        <v>4724.8270000000002</v>
      </c>
      <c r="L100" s="59">
        <v>2683.6506800000002</v>
      </c>
      <c r="M100" s="5">
        <v>1499.09647</v>
      </c>
      <c r="N100" s="5">
        <v>1406.08816</v>
      </c>
      <c r="O100" s="5">
        <v>1796.33286</v>
      </c>
      <c r="P100" s="5">
        <v>1561.9821400000001</v>
      </c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</row>
    <row r="101" spans="1:270" s="7" customFormat="1" x14ac:dyDescent="0.3">
      <c r="A101" s="4"/>
      <c r="B101" s="5"/>
      <c r="C101" s="5"/>
      <c r="D101" s="56">
        <v>41274</v>
      </c>
      <c r="E101" s="7">
        <v>8.4734999999999996</v>
      </c>
      <c r="F101" s="59">
        <v>4809.26</v>
      </c>
      <c r="G101" s="59">
        <v>433.899</v>
      </c>
      <c r="H101" s="59">
        <v>279.6721</v>
      </c>
      <c r="I101" s="59">
        <v>1287.46</v>
      </c>
      <c r="J101" s="59">
        <v>1249.7125000000001</v>
      </c>
      <c r="K101" s="59">
        <v>4459.018</v>
      </c>
      <c r="L101" s="59">
        <v>2560.1014599999999</v>
      </c>
      <c r="M101" s="5">
        <v>1432.0589600000001</v>
      </c>
      <c r="N101" s="5">
        <v>1347.21396</v>
      </c>
      <c r="O101" s="5">
        <v>1725.9245100000001</v>
      </c>
      <c r="P101" s="5">
        <v>1500.23659</v>
      </c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</row>
    <row r="102" spans="1:270" s="7" customFormat="1" x14ac:dyDescent="0.3">
      <c r="A102" s="4"/>
      <c r="B102" s="5"/>
      <c r="C102" s="5"/>
      <c r="D102" s="56">
        <v>41305</v>
      </c>
      <c r="E102" s="7">
        <v>8.9558999999999997</v>
      </c>
      <c r="F102" s="59">
        <v>4964.47</v>
      </c>
      <c r="G102" s="59">
        <v>434.18599999999998</v>
      </c>
      <c r="H102" s="59">
        <v>280.87349999999998</v>
      </c>
      <c r="I102" s="59">
        <v>1300.17</v>
      </c>
      <c r="J102" s="59">
        <v>1378.06998</v>
      </c>
      <c r="K102" s="59">
        <v>4630.0870000000004</v>
      </c>
      <c r="L102" s="59">
        <v>2699.8464300000001</v>
      </c>
      <c r="M102" s="5">
        <v>1508.65416</v>
      </c>
      <c r="N102" s="5">
        <v>1409.2419199999999</v>
      </c>
      <c r="O102" s="5">
        <v>1814.33853</v>
      </c>
      <c r="P102" s="5">
        <v>1574.4601600000001</v>
      </c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</row>
    <row r="103" spans="1:270" s="7" customFormat="1" x14ac:dyDescent="0.3">
      <c r="A103" s="4"/>
      <c r="B103" s="5"/>
      <c r="C103" s="5"/>
      <c r="D103" s="56">
        <v>41333</v>
      </c>
      <c r="E103" s="7">
        <v>9.0245999999999995</v>
      </c>
      <c r="F103" s="59">
        <v>4870.45</v>
      </c>
      <c r="G103" s="59">
        <v>437.06</v>
      </c>
      <c r="H103" s="59">
        <v>281.96039999999999</v>
      </c>
      <c r="I103" s="59">
        <v>1360.55</v>
      </c>
      <c r="J103" s="59">
        <v>1388.66842</v>
      </c>
      <c r="K103" s="59">
        <v>4616.07</v>
      </c>
      <c r="L103" s="59">
        <v>2721.9261099999999</v>
      </c>
      <c r="M103" s="5">
        <v>1517.9816800000001</v>
      </c>
      <c r="N103" s="5">
        <v>1421.74955</v>
      </c>
      <c r="O103" s="5">
        <v>1831.9718</v>
      </c>
      <c r="P103" s="5">
        <v>1589.38589</v>
      </c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</row>
    <row r="104" spans="1:270" s="7" customFormat="1" x14ac:dyDescent="0.3">
      <c r="A104" s="4"/>
      <c r="B104" s="5"/>
      <c r="C104" s="5"/>
      <c r="D104" s="56">
        <v>41362</v>
      </c>
      <c r="E104" s="7">
        <v>9.2362000000000002</v>
      </c>
      <c r="F104" s="59">
        <v>4928.63</v>
      </c>
      <c r="G104" s="59">
        <v>437.86599999999999</v>
      </c>
      <c r="H104" s="59">
        <v>283.08949999999999</v>
      </c>
      <c r="I104" s="59">
        <v>1405.17</v>
      </c>
      <c r="J104" s="59">
        <v>1450.9155000000001</v>
      </c>
      <c r="K104" s="59">
        <v>4724.4049999999997</v>
      </c>
      <c r="L104" s="59">
        <v>2793.7904699999999</v>
      </c>
      <c r="M104" s="5">
        <v>1554.1741</v>
      </c>
      <c r="N104" s="5">
        <v>1453.1313</v>
      </c>
      <c r="O104" s="5">
        <v>1875.31864</v>
      </c>
      <c r="P104" s="5">
        <v>1631.2515900000001</v>
      </c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</row>
    <row r="105" spans="1:270" s="7" customFormat="1" x14ac:dyDescent="0.3">
      <c r="A105" s="4"/>
      <c r="B105" s="5"/>
      <c r="C105" s="5"/>
      <c r="D105" s="56">
        <v>41394</v>
      </c>
      <c r="E105" s="7">
        <v>8.9681999999999995</v>
      </c>
      <c r="F105" s="59">
        <v>4805.7</v>
      </c>
      <c r="G105" s="59">
        <v>455.86500000000001</v>
      </c>
      <c r="H105" s="59">
        <v>284.34089999999998</v>
      </c>
      <c r="I105" s="59">
        <v>1508.76</v>
      </c>
      <c r="J105" s="59">
        <v>1452.72252</v>
      </c>
      <c r="K105" s="59">
        <v>4643.8829999999998</v>
      </c>
      <c r="L105" s="59">
        <v>2720.67364</v>
      </c>
      <c r="M105" s="5">
        <v>1519.1584600000001</v>
      </c>
      <c r="N105" s="5">
        <v>1428.7707399999999</v>
      </c>
      <c r="O105" s="5">
        <v>1833.6273100000001</v>
      </c>
      <c r="P105" s="5">
        <v>1582.77747</v>
      </c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</row>
    <row r="106" spans="1:270" s="7" customFormat="1" x14ac:dyDescent="0.3">
      <c r="A106" s="4"/>
      <c r="B106" s="5"/>
      <c r="C106" s="5"/>
      <c r="D106" s="56">
        <v>41425</v>
      </c>
      <c r="E106" s="7">
        <v>10.0915</v>
      </c>
      <c r="F106" s="59">
        <v>5214.7299999999996</v>
      </c>
      <c r="G106" s="59">
        <v>434.714</v>
      </c>
      <c r="H106" s="59">
        <v>285.55709999999999</v>
      </c>
      <c r="I106" s="59">
        <v>1341.41</v>
      </c>
      <c r="J106" s="59">
        <v>1625.7217900000001</v>
      </c>
      <c r="K106" s="59">
        <v>5031.5060000000003</v>
      </c>
      <c r="L106" s="59">
        <v>3051.5444600000001</v>
      </c>
      <c r="M106" s="5">
        <v>1708.3019999999999</v>
      </c>
      <c r="N106" s="5">
        <v>1606.1863699999999</v>
      </c>
      <c r="O106" s="5">
        <v>2062.2595700000002</v>
      </c>
      <c r="P106" s="5">
        <v>1773.7565300000001</v>
      </c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</row>
    <row r="107" spans="1:270" s="7" customFormat="1" x14ac:dyDescent="0.3">
      <c r="A107" s="4"/>
      <c r="B107" s="5"/>
      <c r="C107" s="5"/>
      <c r="D107" s="56">
        <v>41453</v>
      </c>
      <c r="E107" s="7">
        <v>9.8805999999999994</v>
      </c>
      <c r="F107" s="59">
        <v>4917.6099999999997</v>
      </c>
      <c r="G107" s="59">
        <v>427.928</v>
      </c>
      <c r="H107" s="59">
        <v>286.6601</v>
      </c>
      <c r="I107" s="59">
        <v>1400.21</v>
      </c>
      <c r="J107" s="59">
        <v>1552.7633599999999</v>
      </c>
      <c r="K107" s="59">
        <v>4921.1819999999998</v>
      </c>
      <c r="L107" s="59">
        <v>3005.7865299999999</v>
      </c>
      <c r="M107" s="5">
        <v>1676.0776000000001</v>
      </c>
      <c r="N107" s="5">
        <v>1578.13822</v>
      </c>
      <c r="O107" s="5">
        <v>2025.2772299999999</v>
      </c>
      <c r="P107" s="5">
        <v>1755.17193</v>
      </c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</row>
    <row r="108" spans="1:270" s="7" customFormat="1" x14ac:dyDescent="0.3">
      <c r="A108" s="4"/>
      <c r="B108" s="5"/>
      <c r="C108" s="5"/>
      <c r="D108" s="56">
        <v>41486</v>
      </c>
      <c r="E108" s="7">
        <v>9.8767999999999994</v>
      </c>
      <c r="F108" s="59">
        <v>5134.34</v>
      </c>
      <c r="G108" s="59">
        <v>425.26799999999997</v>
      </c>
      <c r="H108" s="59">
        <v>287.96870000000001</v>
      </c>
      <c r="I108" s="59">
        <v>1341.57</v>
      </c>
      <c r="J108" s="59">
        <v>1623.89851</v>
      </c>
      <c r="K108" s="59">
        <v>4967.4539999999997</v>
      </c>
      <c r="L108" s="59">
        <v>3000.85482</v>
      </c>
      <c r="M108" s="5">
        <v>1677.2020399999999</v>
      </c>
      <c r="N108" s="5">
        <v>1569.31718</v>
      </c>
      <c r="O108" s="5">
        <v>2025.63096</v>
      </c>
      <c r="P108" s="5">
        <v>1756.05169</v>
      </c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</row>
    <row r="109" spans="1:270" s="7" customFormat="1" x14ac:dyDescent="0.3">
      <c r="A109" s="4"/>
      <c r="B109" s="5"/>
      <c r="C109" s="5"/>
      <c r="D109" s="56">
        <v>41516</v>
      </c>
      <c r="E109" s="7">
        <v>10.2799</v>
      </c>
      <c r="F109" s="59">
        <v>5266.66</v>
      </c>
      <c r="G109" s="59">
        <v>419.64100000000002</v>
      </c>
      <c r="H109" s="59">
        <v>289.16750000000002</v>
      </c>
      <c r="I109" s="59">
        <v>1295</v>
      </c>
      <c r="J109" s="59">
        <v>1646.2012400000001</v>
      </c>
      <c r="K109" s="59">
        <v>5126.3190000000004</v>
      </c>
      <c r="L109" s="59">
        <v>3107.94994</v>
      </c>
      <c r="M109" s="5">
        <v>1735.38958</v>
      </c>
      <c r="N109" s="5">
        <v>1612.1451500000001</v>
      </c>
      <c r="O109" s="5">
        <v>2098.91984</v>
      </c>
      <c r="P109" s="5">
        <v>1824.8366799999999</v>
      </c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</row>
    <row r="110" spans="1:270" s="7" customFormat="1" x14ac:dyDescent="0.3">
      <c r="A110" s="4"/>
      <c r="B110" s="5"/>
      <c r="C110" s="5"/>
      <c r="D110" s="56">
        <v>41547</v>
      </c>
      <c r="E110" s="7">
        <v>10.027799999999999</v>
      </c>
      <c r="F110" s="59">
        <v>5534</v>
      </c>
      <c r="G110" s="59">
        <v>436.11</v>
      </c>
      <c r="H110" s="59">
        <v>290.41669999999999</v>
      </c>
      <c r="I110" s="59">
        <v>1381.85</v>
      </c>
      <c r="J110" s="59">
        <v>1694.626</v>
      </c>
      <c r="K110" s="59">
        <v>5110.4129999999996</v>
      </c>
      <c r="L110" s="59">
        <v>3043.1450599999998</v>
      </c>
      <c r="M110" s="5">
        <v>1706.92912</v>
      </c>
      <c r="N110" s="5">
        <v>1590.0441499999999</v>
      </c>
      <c r="O110" s="5">
        <v>2057.6024400000001</v>
      </c>
      <c r="P110" s="5">
        <v>1787.45127</v>
      </c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</row>
    <row r="111" spans="1:270" s="7" customFormat="1" x14ac:dyDescent="0.3">
      <c r="A111" s="4"/>
      <c r="B111" s="5"/>
      <c r="C111" s="5"/>
      <c r="D111" s="56">
        <v>41578</v>
      </c>
      <c r="E111" s="7">
        <v>10.0467</v>
      </c>
      <c r="F111" s="59">
        <v>5733.98</v>
      </c>
      <c r="G111" s="59">
        <v>437.80200000000002</v>
      </c>
      <c r="H111" s="59">
        <v>291.6746</v>
      </c>
      <c r="I111" s="59">
        <v>1423.85</v>
      </c>
      <c r="J111" s="59">
        <v>1760.1922099999999</v>
      </c>
      <c r="K111" s="59">
        <v>5149.0050000000001</v>
      </c>
      <c r="L111" s="59">
        <v>3039.6664700000001</v>
      </c>
      <c r="M111" s="5">
        <v>1713.18948</v>
      </c>
      <c r="N111" s="5">
        <v>1599.8819900000001</v>
      </c>
      <c r="O111" s="5">
        <v>2067.52079</v>
      </c>
      <c r="P111" s="5">
        <v>1792.9474700000001</v>
      </c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</row>
    <row r="112" spans="1:270" s="7" customFormat="1" x14ac:dyDescent="0.3">
      <c r="A112" s="4"/>
      <c r="B112" s="5"/>
      <c r="C112" s="5"/>
      <c r="D112" s="56">
        <v>41607</v>
      </c>
      <c r="E112" s="7">
        <v>10.174200000000001</v>
      </c>
      <c r="F112" s="59">
        <v>5670.89</v>
      </c>
      <c r="G112" s="59">
        <v>431.79599999999999</v>
      </c>
      <c r="H112" s="59">
        <v>292.86149999999998</v>
      </c>
      <c r="I112" s="59">
        <v>1381.65</v>
      </c>
      <c r="J112" s="59">
        <v>1813.1503399999999</v>
      </c>
      <c r="K112" s="59">
        <v>5172.259</v>
      </c>
      <c r="L112" s="59">
        <v>3088.3263999999999</v>
      </c>
      <c r="M112" s="5">
        <v>1744.3239799999999</v>
      </c>
      <c r="N112" s="5">
        <v>1630.56772</v>
      </c>
      <c r="O112" s="5">
        <v>2109.4610200000002</v>
      </c>
      <c r="P112" s="5">
        <v>1827.4782700000001</v>
      </c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</row>
    <row r="113" spans="1:270" s="7" customFormat="1" x14ac:dyDescent="0.3">
      <c r="A113" s="4"/>
      <c r="B113" s="5"/>
      <c r="C113" s="5"/>
      <c r="D113" s="56">
        <v>41639</v>
      </c>
      <c r="E113" s="7">
        <v>10.492599999999999</v>
      </c>
      <c r="F113" s="59">
        <v>5840.09</v>
      </c>
      <c r="G113" s="59">
        <v>436.65899999999999</v>
      </c>
      <c r="H113" s="59">
        <v>294.18509999999998</v>
      </c>
      <c r="I113" s="59">
        <v>1395.5</v>
      </c>
      <c r="J113" s="59">
        <v>1904.4390100000001</v>
      </c>
      <c r="K113" s="59">
        <v>5284.6019999999999</v>
      </c>
      <c r="L113" s="59">
        <v>3189.7154599999999</v>
      </c>
      <c r="M113" s="5">
        <v>1802.00512</v>
      </c>
      <c r="N113" s="5">
        <v>1680.96669</v>
      </c>
      <c r="O113" s="5">
        <v>2171.7760499999999</v>
      </c>
      <c r="P113" s="5">
        <v>1883.1021599999999</v>
      </c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</row>
    <row r="114" spans="1:270" s="7" customFormat="1" x14ac:dyDescent="0.3">
      <c r="A114" s="4"/>
      <c r="B114" s="5"/>
      <c r="C114" s="5"/>
      <c r="D114" s="56">
        <v>41670</v>
      </c>
      <c r="E114" s="7">
        <v>11.1206</v>
      </c>
      <c r="F114" s="59">
        <v>5702.3</v>
      </c>
      <c r="G114" s="59">
        <v>422.5</v>
      </c>
      <c r="H114" s="59">
        <v>295.48149999999998</v>
      </c>
      <c r="I114" s="59">
        <v>1295.95</v>
      </c>
      <c r="J114" s="59">
        <v>1933.1287199999999</v>
      </c>
      <c r="K114" s="59">
        <v>5679.875</v>
      </c>
      <c r="L114" s="59">
        <v>3373.71119</v>
      </c>
      <c r="M114" s="5">
        <v>1892.89094</v>
      </c>
      <c r="N114" s="5">
        <v>1768.56476</v>
      </c>
      <c r="O114" s="5">
        <v>2275.29439</v>
      </c>
      <c r="P114" s="5">
        <v>1985.9066</v>
      </c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</row>
    <row r="115" spans="1:270" s="7" customFormat="1" x14ac:dyDescent="0.3">
      <c r="A115" s="4"/>
      <c r="B115" s="5"/>
      <c r="C115" s="5"/>
      <c r="D115" s="56">
        <v>41698</v>
      </c>
      <c r="E115" s="7">
        <v>10.755100000000001</v>
      </c>
      <c r="F115" s="59">
        <v>5980.81</v>
      </c>
      <c r="G115" s="59">
        <v>432.81700000000001</v>
      </c>
      <c r="H115" s="59">
        <v>296.68310000000002</v>
      </c>
      <c r="I115" s="59">
        <v>1356.34</v>
      </c>
      <c r="J115" s="59">
        <v>1952.75098</v>
      </c>
      <c r="K115" s="59">
        <v>5540.4030000000002</v>
      </c>
      <c r="L115" s="59">
        <v>3251.7023300000001</v>
      </c>
      <c r="M115" s="5">
        <v>1818.2901199999999</v>
      </c>
      <c r="N115" s="5">
        <v>1696.1182699999999</v>
      </c>
      <c r="O115" s="5">
        <v>2206.7967400000002</v>
      </c>
      <c r="P115" s="5">
        <v>1923.3031599999999</v>
      </c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</row>
    <row r="116" spans="1:270" s="7" customFormat="1" x14ac:dyDescent="0.3">
      <c r="A116" s="4"/>
      <c r="B116" s="5"/>
      <c r="C116" s="5"/>
      <c r="D116" s="56">
        <v>41729</v>
      </c>
      <c r="E116" s="7">
        <v>10.5319</v>
      </c>
      <c r="F116" s="59">
        <v>6090.43</v>
      </c>
      <c r="G116" s="59">
        <v>440.55799999999999</v>
      </c>
      <c r="H116" s="59">
        <v>298.05790000000002</v>
      </c>
      <c r="I116" s="59">
        <v>1420.84</v>
      </c>
      <c r="J116" s="59">
        <v>1924.90841</v>
      </c>
      <c r="K116" s="59">
        <v>5426.55</v>
      </c>
      <c r="L116" s="59">
        <v>3192.1406499999998</v>
      </c>
      <c r="M116" s="5">
        <v>1785.41542</v>
      </c>
      <c r="N116" s="5">
        <v>1671.19055</v>
      </c>
      <c r="O116" s="5">
        <v>2174.1264799999999</v>
      </c>
      <c r="P116" s="5">
        <v>1894.28809</v>
      </c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</row>
    <row r="117" spans="1:270" s="7" customFormat="1" x14ac:dyDescent="0.3">
      <c r="A117" s="4"/>
      <c r="B117" s="5"/>
      <c r="C117" s="5"/>
      <c r="D117" s="56">
        <v>41759</v>
      </c>
      <c r="E117" s="7">
        <v>10.522399999999999</v>
      </c>
      <c r="F117" s="59">
        <v>6251.89</v>
      </c>
      <c r="G117" s="59">
        <v>441.97899999999998</v>
      </c>
      <c r="H117" s="59">
        <v>299.42509999999999</v>
      </c>
      <c r="I117" s="59">
        <v>1453.87</v>
      </c>
      <c r="J117" s="59">
        <v>1944.7820200000001</v>
      </c>
      <c r="K117" s="59">
        <v>5491.5559999999996</v>
      </c>
      <c r="L117" s="59">
        <v>3195.67281</v>
      </c>
      <c r="M117" s="5">
        <v>1794.8422499999999</v>
      </c>
      <c r="N117" s="5">
        <v>1676.10346</v>
      </c>
      <c r="O117" s="5">
        <v>2181.9615600000002</v>
      </c>
      <c r="P117" s="5">
        <v>1890.9518499999999</v>
      </c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</row>
    <row r="118" spans="1:270" s="7" customFormat="1" x14ac:dyDescent="0.3">
      <c r="A118" s="4"/>
      <c r="B118" s="5"/>
      <c r="C118" s="5"/>
      <c r="D118" s="56">
        <v>41789</v>
      </c>
      <c r="E118" s="7">
        <v>10.5723</v>
      </c>
      <c r="F118" s="59">
        <v>6351.82</v>
      </c>
      <c r="G118" s="59">
        <v>447.12599999999998</v>
      </c>
      <c r="H118" s="59">
        <v>300.82400000000001</v>
      </c>
      <c r="I118" s="59">
        <v>1435.5</v>
      </c>
      <c r="J118" s="59">
        <v>1994.7210500000001</v>
      </c>
      <c r="K118" s="59">
        <v>5540.5559999999996</v>
      </c>
      <c r="L118" s="59">
        <v>3210.3040099999998</v>
      </c>
      <c r="M118" s="5">
        <v>1806.2259200000001</v>
      </c>
      <c r="N118" s="5">
        <v>1685.7212</v>
      </c>
      <c r="O118" s="5">
        <v>2196.3685700000001</v>
      </c>
      <c r="P118" s="5">
        <v>1894.7851599999999</v>
      </c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</row>
    <row r="119" spans="1:270" s="7" customFormat="1" x14ac:dyDescent="0.3">
      <c r="A119" s="4"/>
      <c r="B119" s="5"/>
      <c r="C119" s="5"/>
      <c r="D119" s="56">
        <v>41820</v>
      </c>
      <c r="E119" s="7">
        <v>10.637499999999999</v>
      </c>
      <c r="F119" s="59">
        <v>6527.53</v>
      </c>
      <c r="G119" s="59">
        <v>451.38099999999997</v>
      </c>
      <c r="H119" s="59">
        <v>302.2955</v>
      </c>
      <c r="I119" s="59">
        <v>1483.84</v>
      </c>
      <c r="J119" s="59">
        <v>2042.7502199999999</v>
      </c>
      <c r="K119" s="59">
        <v>5607.7690000000002</v>
      </c>
      <c r="L119" s="59">
        <v>3227.8036000000002</v>
      </c>
      <c r="M119" s="5">
        <v>1812.91444</v>
      </c>
      <c r="N119" s="5">
        <v>1694.5027299999999</v>
      </c>
      <c r="O119" s="5">
        <v>2220.9374600000001</v>
      </c>
      <c r="P119" s="5">
        <v>1908.10157</v>
      </c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</row>
    <row r="120" spans="1:270" s="7" customFormat="1" x14ac:dyDescent="0.3">
      <c r="A120" s="4"/>
      <c r="B120" s="5"/>
      <c r="C120" s="5"/>
      <c r="D120" s="56">
        <v>41851</v>
      </c>
      <c r="E120" s="7">
        <v>10.7073</v>
      </c>
      <c r="F120" s="59">
        <v>6587.92</v>
      </c>
      <c r="G120" s="59">
        <v>455.97300000000001</v>
      </c>
      <c r="H120" s="59">
        <v>303.79309999999998</v>
      </c>
      <c r="I120" s="59">
        <v>1512.25</v>
      </c>
      <c r="J120" s="59">
        <v>2032.25488</v>
      </c>
      <c r="K120" s="59">
        <v>5600.2259999999997</v>
      </c>
      <c r="L120" s="59">
        <v>3251.556</v>
      </c>
      <c r="M120" s="5">
        <v>1837.9918299999999</v>
      </c>
      <c r="N120" s="5">
        <v>1722.0988299999999</v>
      </c>
      <c r="O120" s="5">
        <v>2238.52943</v>
      </c>
      <c r="P120" s="5">
        <v>1926.4876999999999</v>
      </c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</row>
    <row r="121" spans="1:270" s="7" customFormat="1" x14ac:dyDescent="0.3">
      <c r="A121" s="4"/>
      <c r="B121" s="5"/>
      <c r="C121" s="5"/>
      <c r="D121" s="56">
        <v>41880</v>
      </c>
      <c r="E121" s="7">
        <v>10.666600000000001</v>
      </c>
      <c r="F121" s="59">
        <v>6557.71</v>
      </c>
      <c r="G121" s="59">
        <v>468.93</v>
      </c>
      <c r="H121" s="59">
        <v>305.22129999999999</v>
      </c>
      <c r="I121" s="59">
        <v>1557.08</v>
      </c>
      <c r="J121" s="59">
        <v>2066.74692</v>
      </c>
      <c r="K121" s="59">
        <v>5604.06</v>
      </c>
      <c r="L121" s="59">
        <v>3236.24134</v>
      </c>
      <c r="M121" s="5">
        <v>1836.27692</v>
      </c>
      <c r="N121" s="5">
        <v>1721.4817</v>
      </c>
      <c r="O121" s="5">
        <v>2233.4063099999998</v>
      </c>
      <c r="P121" s="5">
        <v>1922.66615</v>
      </c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</row>
    <row r="122" spans="1:270" s="7" customFormat="1" x14ac:dyDescent="0.3">
      <c r="A122" s="4"/>
      <c r="B122" s="5"/>
      <c r="C122" s="5"/>
      <c r="D122" s="56">
        <v>41912</v>
      </c>
      <c r="E122" s="7">
        <v>11.285299999999999</v>
      </c>
      <c r="F122" s="59">
        <v>6388.59</v>
      </c>
      <c r="G122" s="59">
        <v>461.375</v>
      </c>
      <c r="H122" s="59">
        <v>306.82420000000002</v>
      </c>
      <c r="I122" s="59">
        <v>1590.98</v>
      </c>
      <c r="J122" s="59">
        <v>2121.3506600000001</v>
      </c>
      <c r="K122" s="59">
        <v>5764.9489999999996</v>
      </c>
      <c r="L122" s="59">
        <v>3434.11967</v>
      </c>
      <c r="M122" s="5">
        <v>1941.58035</v>
      </c>
      <c r="N122" s="5">
        <v>1819.6890599999999</v>
      </c>
      <c r="O122" s="5">
        <v>2347.9250000000002</v>
      </c>
      <c r="P122" s="5">
        <v>2022.9300800000001</v>
      </c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</row>
    <row r="123" spans="1:270" s="7" customFormat="1" x14ac:dyDescent="0.3">
      <c r="A123" s="4"/>
      <c r="B123" s="5"/>
      <c r="C123" s="5"/>
      <c r="D123" s="56">
        <v>41943</v>
      </c>
      <c r="E123" s="7">
        <v>11.0395</v>
      </c>
      <c r="F123" s="59">
        <v>6452.81</v>
      </c>
      <c r="G123" s="59">
        <v>477.11200000000002</v>
      </c>
      <c r="H123" s="59">
        <v>308.40390000000002</v>
      </c>
      <c r="I123" s="59">
        <v>1699.77</v>
      </c>
      <c r="J123" s="59">
        <v>2086.13229</v>
      </c>
      <c r="K123" s="59">
        <v>5624.1350000000002</v>
      </c>
      <c r="L123" s="59">
        <v>3354.5238899999999</v>
      </c>
      <c r="M123" s="5">
        <v>1895.7327600000001</v>
      </c>
      <c r="N123" s="5">
        <v>1777.73002</v>
      </c>
      <c r="O123" s="5">
        <v>2286.3038799999999</v>
      </c>
      <c r="P123" s="5">
        <v>1977.15363</v>
      </c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</row>
    <row r="124" spans="1:270" s="7" customFormat="1" x14ac:dyDescent="0.3">
      <c r="A124" s="4"/>
      <c r="B124" s="5"/>
      <c r="C124" s="5"/>
      <c r="D124" s="56">
        <v>41971</v>
      </c>
      <c r="E124" s="7">
        <v>11.062900000000001</v>
      </c>
      <c r="F124" s="59">
        <v>6487.85</v>
      </c>
      <c r="G124" s="59">
        <v>488.553</v>
      </c>
      <c r="H124" s="59">
        <v>309.84899999999999</v>
      </c>
      <c r="I124" s="59">
        <v>1747.89</v>
      </c>
      <c r="J124" s="59">
        <v>2129.4094799999998</v>
      </c>
      <c r="K124" s="59">
        <v>5620.7020000000002</v>
      </c>
      <c r="L124" s="59">
        <v>3368.4971999999998</v>
      </c>
      <c r="M124" s="5">
        <v>1908.37598</v>
      </c>
      <c r="N124" s="5">
        <v>1790.3418999999999</v>
      </c>
      <c r="O124" s="5">
        <v>2308.05348</v>
      </c>
      <c r="P124" s="5">
        <v>1996.45847</v>
      </c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</row>
    <row r="125" spans="1:270" s="7" customFormat="1" x14ac:dyDescent="0.3">
      <c r="A125" s="4"/>
      <c r="B125" s="5"/>
      <c r="C125" s="5"/>
      <c r="D125" s="56">
        <v>42004</v>
      </c>
      <c r="E125" s="7">
        <v>11.570600000000001</v>
      </c>
      <c r="F125" s="59">
        <v>6475.35</v>
      </c>
      <c r="G125" s="59">
        <v>480.97199999999998</v>
      </c>
      <c r="H125" s="59">
        <v>311.57040000000001</v>
      </c>
      <c r="I125" s="59">
        <v>1767.32</v>
      </c>
      <c r="J125" s="59">
        <v>2177.9410499999999</v>
      </c>
      <c r="K125" s="59">
        <v>5840.8289999999997</v>
      </c>
      <c r="L125" s="59">
        <v>3514.2150200000001</v>
      </c>
      <c r="M125" s="5">
        <v>2001.2511099999999</v>
      </c>
      <c r="N125" s="5">
        <v>1885.68806</v>
      </c>
      <c r="O125" s="5">
        <v>2426.473</v>
      </c>
      <c r="P125" s="5">
        <v>2065.7369100000001</v>
      </c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</row>
    <row r="126" spans="1:270" x14ac:dyDescent="0.3">
      <c r="D126" s="56">
        <v>42034</v>
      </c>
      <c r="E126" s="7">
        <v>11.647600000000001</v>
      </c>
      <c r="F126" s="59">
        <v>6674.85</v>
      </c>
      <c r="G126" s="59">
        <v>512.18700000000001</v>
      </c>
      <c r="H126" s="59">
        <v>313.15300000000002</v>
      </c>
      <c r="I126" s="59">
        <v>1897.67</v>
      </c>
      <c r="J126" s="59">
        <v>2163.5072799999998</v>
      </c>
      <c r="K126" s="59">
        <v>5913.2849999999999</v>
      </c>
      <c r="L126" s="59">
        <v>3547.3371699999998</v>
      </c>
      <c r="M126" s="5">
        <v>2027.1425899999999</v>
      </c>
      <c r="N126" s="5">
        <v>1916.7875300000001</v>
      </c>
      <c r="O126" s="5">
        <v>2486.92344</v>
      </c>
      <c r="P126" s="5">
        <v>2100.7479699999999</v>
      </c>
    </row>
    <row r="127" spans="1:270" x14ac:dyDescent="0.3">
      <c r="D127" s="56">
        <v>42062</v>
      </c>
      <c r="E127" s="7">
        <v>11.6585</v>
      </c>
      <c r="F127" s="59">
        <v>6946.4</v>
      </c>
      <c r="G127" s="59">
        <v>498.01100000000002</v>
      </c>
      <c r="H127" s="59">
        <v>314.64179999999999</v>
      </c>
      <c r="I127" s="59">
        <v>1957.68</v>
      </c>
      <c r="J127" s="59">
        <v>2289.8528099999999</v>
      </c>
      <c r="K127" s="59">
        <v>5850.9679999999998</v>
      </c>
      <c r="L127" s="59">
        <v>3557.5610900000001</v>
      </c>
      <c r="M127" s="5">
        <v>2031.9154799999999</v>
      </c>
      <c r="N127" s="5">
        <v>1921.5948800000001</v>
      </c>
      <c r="O127" s="5">
        <v>2502.3632600000001</v>
      </c>
      <c r="P127" s="5">
        <v>2112.5861300000001</v>
      </c>
    </row>
    <row r="128" spans="1:270" x14ac:dyDescent="0.3">
      <c r="D128" s="56">
        <v>42094</v>
      </c>
      <c r="E128" s="7">
        <v>12.132099999999999</v>
      </c>
      <c r="F128" s="59">
        <v>6853.85</v>
      </c>
      <c r="G128" s="59">
        <v>495.37299999999999</v>
      </c>
      <c r="H128" s="59">
        <v>316.35379999999998</v>
      </c>
      <c r="I128" s="59">
        <v>2009.31</v>
      </c>
      <c r="J128" s="59">
        <v>2342.23038</v>
      </c>
      <c r="K128" s="59">
        <v>6030.1329999999998</v>
      </c>
      <c r="L128" s="59">
        <v>3697.5536699999998</v>
      </c>
      <c r="M128" s="5">
        <v>2115.5439799999999</v>
      </c>
      <c r="N128" s="5">
        <v>2004.31897</v>
      </c>
      <c r="O128" s="5">
        <v>2598.19958</v>
      </c>
      <c r="P128" s="5">
        <v>2204.5535500000001</v>
      </c>
    </row>
    <row r="129" spans="4:16" x14ac:dyDescent="0.3">
      <c r="D129" s="56">
        <v>42124</v>
      </c>
      <c r="E129" s="7">
        <v>11.9107</v>
      </c>
      <c r="F129" s="59">
        <v>7175.88</v>
      </c>
      <c r="G129" s="59">
        <v>492.94600000000003</v>
      </c>
      <c r="H129" s="59">
        <v>317.96949999999998</v>
      </c>
      <c r="I129" s="59">
        <v>2010.07</v>
      </c>
      <c r="J129" s="59">
        <v>2365.0481</v>
      </c>
      <c r="K129" s="59">
        <v>5962.9459999999999</v>
      </c>
      <c r="L129" s="59">
        <v>3629.4540499999998</v>
      </c>
      <c r="M129" s="5">
        <v>2060.0235499999999</v>
      </c>
      <c r="N129" s="5">
        <v>1948.4601500000001</v>
      </c>
      <c r="O129" s="5">
        <v>2533.4843599999999</v>
      </c>
      <c r="P129" s="5">
        <v>2147.4601200000002</v>
      </c>
    </row>
    <row r="130" spans="4:16" x14ac:dyDescent="0.3">
      <c r="D130" s="56">
        <v>42153</v>
      </c>
      <c r="E130" s="7">
        <v>12.1525</v>
      </c>
      <c r="F130" s="59">
        <v>6892.16</v>
      </c>
      <c r="G130" s="59">
        <v>489.39100000000002</v>
      </c>
      <c r="H130" s="59">
        <v>319.54270000000002</v>
      </c>
      <c r="I130" s="59">
        <v>1890.95</v>
      </c>
      <c r="J130" s="59">
        <v>2409.7261400000002</v>
      </c>
      <c r="K130" s="59">
        <v>5955.0190000000002</v>
      </c>
      <c r="L130" s="59">
        <v>3704.1006200000002</v>
      </c>
      <c r="M130" s="5">
        <v>2099.3110299999998</v>
      </c>
      <c r="N130" s="5">
        <v>1985.76794</v>
      </c>
      <c r="O130" s="5">
        <v>2564.0915300000001</v>
      </c>
      <c r="P130" s="5">
        <v>2190.3053500000001</v>
      </c>
    </row>
    <row r="131" spans="4:16" x14ac:dyDescent="0.3">
      <c r="D131" s="56">
        <v>42185</v>
      </c>
      <c r="E131" s="7">
        <v>12.168799999999999</v>
      </c>
      <c r="F131" s="59">
        <v>6840.02</v>
      </c>
      <c r="G131" s="59">
        <v>488.43099999999998</v>
      </c>
      <c r="H131" s="59">
        <v>321.29329999999999</v>
      </c>
      <c r="I131" s="59">
        <v>1884.2</v>
      </c>
      <c r="J131" s="59">
        <v>2352.2680099999998</v>
      </c>
      <c r="K131" s="59">
        <v>5933.5479999999998</v>
      </c>
      <c r="L131" s="59">
        <v>3704.2327799999998</v>
      </c>
      <c r="M131" s="5">
        <v>2099.0790699999998</v>
      </c>
      <c r="N131" s="5">
        <v>1979.66713</v>
      </c>
      <c r="O131" s="5">
        <v>2563.7151199999998</v>
      </c>
      <c r="P131" s="5">
        <v>2190.8294099999998</v>
      </c>
    </row>
    <row r="132" spans="4:16" x14ac:dyDescent="0.3">
      <c r="D132" s="56">
        <v>42216</v>
      </c>
      <c r="E132" s="7">
        <v>12.6808</v>
      </c>
      <c r="F132" s="59">
        <v>6875.76</v>
      </c>
      <c r="G132" s="59">
        <v>493.52100000000002</v>
      </c>
      <c r="H132" s="59">
        <v>323.0009</v>
      </c>
      <c r="I132" s="59">
        <v>1981.06</v>
      </c>
      <c r="J132" s="59">
        <v>2474.3347199999998</v>
      </c>
      <c r="K132" s="59">
        <v>6225.3630000000003</v>
      </c>
      <c r="L132" s="59">
        <v>3864.1654699999999</v>
      </c>
      <c r="M132" s="5">
        <v>2196.3857699999999</v>
      </c>
      <c r="N132" s="5">
        <v>2086.8211900000001</v>
      </c>
      <c r="O132" s="5">
        <v>2675.09447</v>
      </c>
      <c r="P132" s="5">
        <v>2299.4940799999999</v>
      </c>
    </row>
    <row r="133" spans="4:16" x14ac:dyDescent="0.3">
      <c r="D133" s="56">
        <v>42247</v>
      </c>
      <c r="E133" s="7">
        <v>13.2799</v>
      </c>
      <c r="F133" s="59">
        <v>6631.39</v>
      </c>
      <c r="G133" s="59">
        <v>494.202</v>
      </c>
      <c r="H133" s="59">
        <v>324.73020000000002</v>
      </c>
      <c r="I133" s="59">
        <v>1985.35</v>
      </c>
      <c r="J133" s="59">
        <v>2412.03269</v>
      </c>
      <c r="K133" s="59">
        <v>6545.7610000000004</v>
      </c>
      <c r="L133" s="59">
        <v>4045.7335800000001</v>
      </c>
      <c r="M133" s="5">
        <v>2296.19749</v>
      </c>
      <c r="N133" s="5">
        <v>2183.1091000000001</v>
      </c>
      <c r="O133" s="5">
        <v>2798.75738</v>
      </c>
      <c r="P133" s="5">
        <v>2406.3100599999998</v>
      </c>
    </row>
    <row r="134" spans="4:16" x14ac:dyDescent="0.3">
      <c r="D134" s="56">
        <v>42277</v>
      </c>
      <c r="E134" s="7">
        <v>13.854900000000001</v>
      </c>
      <c r="F134" s="59">
        <v>6694.61</v>
      </c>
      <c r="G134" s="59">
        <v>493.83600000000001</v>
      </c>
      <c r="H134" s="59">
        <v>326.42290000000003</v>
      </c>
      <c r="I134" s="59">
        <v>2001.73</v>
      </c>
      <c r="J134" s="59">
        <v>2429.9592200000002</v>
      </c>
      <c r="K134" s="59">
        <v>6906.9440000000004</v>
      </c>
      <c r="L134" s="59">
        <v>4230.9543899999999</v>
      </c>
      <c r="M134" s="5">
        <v>2400.2682799999998</v>
      </c>
      <c r="N134" s="5">
        <v>2286.9522499999998</v>
      </c>
      <c r="O134" s="5">
        <v>2920.2179700000002</v>
      </c>
      <c r="P134" s="5">
        <v>2520.47406</v>
      </c>
    </row>
    <row r="135" spans="4:16" x14ac:dyDescent="0.3">
      <c r="D135" s="56">
        <v>42307</v>
      </c>
      <c r="E135" s="7">
        <v>13.8224</v>
      </c>
      <c r="F135" s="59">
        <v>7204.18</v>
      </c>
      <c r="G135" s="59">
        <v>500.346</v>
      </c>
      <c r="H135" s="59">
        <v>328.13</v>
      </c>
      <c r="I135" s="59">
        <v>2043.3</v>
      </c>
      <c r="J135" s="59">
        <v>2613.40238</v>
      </c>
      <c r="K135" s="59">
        <v>6877.415</v>
      </c>
      <c r="L135" s="59">
        <v>4220.9116599999998</v>
      </c>
      <c r="M135" s="5">
        <v>2399.7335800000001</v>
      </c>
      <c r="N135" s="5">
        <v>2287.71416</v>
      </c>
      <c r="O135" s="5">
        <v>2934.5580300000001</v>
      </c>
      <c r="P135" s="5">
        <v>2502.9411300000002</v>
      </c>
    </row>
    <row r="136" spans="4:16" x14ac:dyDescent="0.3">
      <c r="D136" s="56">
        <v>42338</v>
      </c>
      <c r="E136" s="7">
        <v>14.448</v>
      </c>
      <c r="F136" s="59">
        <v>6926.21</v>
      </c>
      <c r="G136" s="59">
        <v>495.11900000000003</v>
      </c>
      <c r="H136" s="59">
        <v>329.90780000000001</v>
      </c>
      <c r="I136" s="59">
        <v>2033.07</v>
      </c>
      <c r="J136" s="59">
        <v>2716.88517</v>
      </c>
      <c r="K136" s="59">
        <v>7076.5870000000004</v>
      </c>
      <c r="L136" s="59">
        <v>4426.0012900000002</v>
      </c>
      <c r="M136" s="5">
        <v>2541.6759699999998</v>
      </c>
      <c r="N136" s="5">
        <v>2419.3378600000001</v>
      </c>
      <c r="O136" s="5">
        <v>3129.8771299999999</v>
      </c>
      <c r="P136" s="5">
        <v>2628.81529</v>
      </c>
    </row>
    <row r="137" spans="4:16" x14ac:dyDescent="0.3">
      <c r="D137" s="56">
        <v>42369</v>
      </c>
      <c r="E137" s="7">
        <v>15.468500000000001</v>
      </c>
      <c r="F137" s="59">
        <v>6807.38</v>
      </c>
      <c r="G137" s="59">
        <v>462.07100000000003</v>
      </c>
      <c r="H137" s="59">
        <v>331.71570000000003</v>
      </c>
      <c r="I137" s="59">
        <v>1908.54</v>
      </c>
      <c r="J137" s="59">
        <v>2851.1382899999999</v>
      </c>
      <c r="K137" s="59">
        <v>7626.7610000000004</v>
      </c>
      <c r="L137" s="59">
        <v>4731.0001599999996</v>
      </c>
      <c r="M137" s="5">
        <v>2718.99946</v>
      </c>
      <c r="N137" s="5">
        <v>2592.4296899999999</v>
      </c>
      <c r="O137" s="5">
        <v>3366.0671699999998</v>
      </c>
      <c r="P137" s="5">
        <v>2835.7705799999999</v>
      </c>
    </row>
    <row r="138" spans="4:16" x14ac:dyDescent="0.3">
      <c r="D138" s="56">
        <v>42398</v>
      </c>
      <c r="E138" s="7">
        <v>15.890700000000001</v>
      </c>
      <c r="F138" s="59">
        <v>6604.11</v>
      </c>
      <c r="G138" s="59">
        <v>483.44099999999997</v>
      </c>
      <c r="H138" s="59">
        <v>333.4402</v>
      </c>
      <c r="I138" s="59">
        <v>1851.71</v>
      </c>
      <c r="J138" s="59">
        <v>2751.9768199999999</v>
      </c>
      <c r="K138" s="59">
        <v>7952.0789999999997</v>
      </c>
      <c r="L138" s="59">
        <v>4863.3327600000002</v>
      </c>
      <c r="M138" s="5">
        <v>2795.8106600000001</v>
      </c>
      <c r="N138" s="5">
        <v>2679.5176299999998</v>
      </c>
      <c r="O138" s="5">
        <v>3513.2602700000002</v>
      </c>
      <c r="P138" s="5">
        <v>2935.0335300000002</v>
      </c>
    </row>
    <row r="139" spans="4:16" x14ac:dyDescent="0.3">
      <c r="D139" s="56">
        <v>42429</v>
      </c>
      <c r="E139" s="7">
        <v>15.871499999999999</v>
      </c>
      <c r="F139" s="59">
        <v>6643.16</v>
      </c>
      <c r="G139" s="59">
        <v>479.73</v>
      </c>
      <c r="H139" s="59">
        <v>335.33350000000002</v>
      </c>
      <c r="I139" s="59">
        <v>1919.22</v>
      </c>
      <c r="J139" s="59">
        <v>2717.1544399999998</v>
      </c>
      <c r="K139" s="59">
        <v>8131.8710000000001</v>
      </c>
      <c r="L139" s="59">
        <v>4838.6605499999996</v>
      </c>
      <c r="M139" s="5">
        <v>2794.6392500000002</v>
      </c>
      <c r="N139" s="5">
        <v>2686.3516100000002</v>
      </c>
      <c r="O139" s="5">
        <v>3560.56286</v>
      </c>
      <c r="P139" s="5">
        <v>2909.7797099999998</v>
      </c>
    </row>
    <row r="140" spans="4:16" x14ac:dyDescent="0.3">
      <c r="D140" s="56">
        <v>42460</v>
      </c>
      <c r="E140" s="7">
        <v>14.767300000000001</v>
      </c>
      <c r="F140" s="59">
        <v>7070.92</v>
      </c>
      <c r="G140" s="59">
        <v>492.34100000000001</v>
      </c>
      <c r="H140" s="59">
        <v>337.28339999999997</v>
      </c>
      <c r="I140" s="59">
        <v>2101.21</v>
      </c>
      <c r="J140" s="59">
        <v>2711.16941</v>
      </c>
      <c r="K140" s="59">
        <v>7722.6880000000001</v>
      </c>
      <c r="L140" s="59">
        <v>4498.4785300000003</v>
      </c>
      <c r="M140" s="5">
        <v>2602.0893599999999</v>
      </c>
      <c r="N140" s="5">
        <v>2497.9576200000001</v>
      </c>
      <c r="O140" s="5">
        <v>3336.69731</v>
      </c>
      <c r="P140" s="5">
        <v>2701.2453300000002</v>
      </c>
    </row>
    <row r="141" spans="4:16" x14ac:dyDescent="0.3">
      <c r="D141" s="56">
        <v>42489</v>
      </c>
      <c r="E141" s="7">
        <v>14.2302</v>
      </c>
      <c r="F141" s="59">
        <v>7190.89</v>
      </c>
      <c r="G141" s="59">
        <v>501.57299999999998</v>
      </c>
      <c r="H141" s="59">
        <v>339.1592</v>
      </c>
      <c r="I141" s="59">
        <v>2142.2199999999998</v>
      </c>
      <c r="J141" s="59">
        <v>2668.56736</v>
      </c>
      <c r="K141" s="59">
        <v>7582.009</v>
      </c>
      <c r="L141" s="59">
        <v>4366.7914099999998</v>
      </c>
      <c r="M141" s="5">
        <v>2527.6160300000001</v>
      </c>
      <c r="N141" s="5">
        <v>2415.8685399999999</v>
      </c>
      <c r="O141" s="5">
        <v>3251.6087400000001</v>
      </c>
      <c r="P141" s="5">
        <v>2640.3796400000001</v>
      </c>
    </row>
    <row r="142" spans="4:16" x14ac:dyDescent="0.3">
      <c r="D142" s="56">
        <v>42521</v>
      </c>
      <c r="E142" s="7">
        <v>15.708600000000001</v>
      </c>
      <c r="F142" s="59">
        <v>7322.95</v>
      </c>
      <c r="G142" s="59">
        <v>494.08300000000003</v>
      </c>
      <c r="H142" s="59">
        <v>341.28050000000002</v>
      </c>
      <c r="I142" s="59">
        <v>2067.9899999999998</v>
      </c>
      <c r="J142" s="59">
        <v>2940.1687499999998</v>
      </c>
      <c r="K142" s="59">
        <v>8241.2459999999992</v>
      </c>
      <c r="L142" s="59">
        <v>4808.6530499999999</v>
      </c>
      <c r="M142" s="5">
        <v>2785.4107800000002</v>
      </c>
      <c r="N142" s="5">
        <v>2662.9226600000002</v>
      </c>
      <c r="O142" s="5">
        <v>3586.6761499999998</v>
      </c>
      <c r="P142" s="5">
        <v>2909.51424</v>
      </c>
    </row>
    <row r="143" spans="4:16" x14ac:dyDescent="0.3">
      <c r="D143" s="56">
        <v>42551</v>
      </c>
      <c r="E143" s="7">
        <v>14.726599999999999</v>
      </c>
      <c r="F143" s="59">
        <v>7101.74</v>
      </c>
      <c r="G143" s="59">
        <v>514.02599999999995</v>
      </c>
      <c r="H143" s="59">
        <v>343.30650000000003</v>
      </c>
      <c r="I143" s="59">
        <v>2092.1799999999998</v>
      </c>
      <c r="J143" s="59">
        <v>2737.5352200000002</v>
      </c>
      <c r="K143" s="59">
        <v>7999.2269999999999</v>
      </c>
      <c r="L143" s="59">
        <v>4508.7055200000004</v>
      </c>
      <c r="M143" s="5">
        <v>2610.2492499999998</v>
      </c>
      <c r="N143" s="5">
        <v>2490.8589499999998</v>
      </c>
      <c r="O143" s="5">
        <v>3373.2234800000001</v>
      </c>
      <c r="P143" s="5">
        <v>2723.7299800000001</v>
      </c>
    </row>
    <row r="144" spans="4:16" x14ac:dyDescent="0.3">
      <c r="D144" s="56">
        <v>42580</v>
      </c>
      <c r="E144" s="7">
        <v>13.8787</v>
      </c>
      <c r="F144" s="59">
        <v>7184.25</v>
      </c>
      <c r="G144" s="59">
        <v>525.50599999999997</v>
      </c>
      <c r="H144" s="59">
        <v>345.29180000000002</v>
      </c>
      <c r="I144" s="59">
        <v>2160.3200000000002</v>
      </c>
      <c r="J144" s="59">
        <v>2701.7099800000001</v>
      </c>
      <c r="K144" s="59">
        <v>7604.48</v>
      </c>
      <c r="L144" s="59">
        <v>4268.3932199999999</v>
      </c>
      <c r="M144" s="5">
        <v>2489.4688299999998</v>
      </c>
      <c r="N144" s="5">
        <v>2389.2739999999999</v>
      </c>
      <c r="O144" s="5">
        <v>3203.67706</v>
      </c>
      <c r="P144" s="5">
        <v>2578.0503399999998</v>
      </c>
    </row>
    <row r="145" spans="4:16" x14ac:dyDescent="0.3">
      <c r="D145" s="56">
        <v>42613</v>
      </c>
      <c r="E145" s="7">
        <v>14.731299999999999</v>
      </c>
      <c r="F145" s="59">
        <v>7203.48</v>
      </c>
      <c r="G145" s="59">
        <v>516.22400000000005</v>
      </c>
      <c r="H145" s="59">
        <v>347.57819999999998</v>
      </c>
      <c r="I145" s="59">
        <v>2054.6</v>
      </c>
      <c r="J145" s="59">
        <v>2869.5951</v>
      </c>
      <c r="K145" s="59">
        <v>7981.76</v>
      </c>
      <c r="L145" s="59">
        <v>4522.8923500000001</v>
      </c>
      <c r="M145" s="5">
        <v>2638.5725699999998</v>
      </c>
      <c r="N145" s="5">
        <v>2540.3369299999999</v>
      </c>
      <c r="O145" s="5">
        <v>3394.3705599999998</v>
      </c>
      <c r="P145" s="5">
        <v>2727.1143299999999</v>
      </c>
    </row>
    <row r="146" spans="4:16" x14ac:dyDescent="0.3">
      <c r="D146" s="56">
        <v>42643</v>
      </c>
      <c r="E146" s="7">
        <v>13.7225</v>
      </c>
      <c r="F146" s="59">
        <v>7135.68</v>
      </c>
      <c r="G146" s="59">
        <v>531.61</v>
      </c>
      <c r="H146" s="59">
        <v>349.68029999999999</v>
      </c>
      <c r="I146" s="59">
        <v>2076.9699999999998</v>
      </c>
      <c r="J146" s="59">
        <v>2694.84618</v>
      </c>
      <c r="K146" s="59">
        <v>7490.393</v>
      </c>
      <c r="L146" s="59">
        <v>4226.55807</v>
      </c>
      <c r="M146" s="5">
        <v>2469.1941000000002</v>
      </c>
      <c r="N146" s="5">
        <v>2375.7697400000002</v>
      </c>
      <c r="O146" s="5">
        <v>3185.5796599999999</v>
      </c>
      <c r="P146" s="5">
        <v>2559.9858100000001</v>
      </c>
    </row>
    <row r="147" spans="4:16" x14ac:dyDescent="0.3">
      <c r="D147" s="56">
        <v>42674</v>
      </c>
      <c r="E147" s="7">
        <v>13.4741</v>
      </c>
      <c r="F147" s="59">
        <v>6957.94</v>
      </c>
      <c r="G147" s="59">
        <v>535.01700000000005</v>
      </c>
      <c r="H147" s="59">
        <v>351.8723</v>
      </c>
      <c r="I147" s="59">
        <v>2087.41</v>
      </c>
      <c r="J147" s="59">
        <v>2604.7672699999998</v>
      </c>
      <c r="K147" s="59">
        <v>7111.3620000000001</v>
      </c>
      <c r="L147" s="59">
        <v>4160.9250000000002</v>
      </c>
      <c r="M147" s="5">
        <v>2433.3099200000001</v>
      </c>
      <c r="N147" s="5">
        <v>2344.8955000000001</v>
      </c>
      <c r="O147" s="5">
        <v>3145.8665799999999</v>
      </c>
      <c r="P147" s="5">
        <v>2531.4904700000002</v>
      </c>
    </row>
    <row r="148" spans="4:16" x14ac:dyDescent="0.3">
      <c r="D148" s="56">
        <v>42704</v>
      </c>
      <c r="E148" s="7">
        <v>14.093999999999999</v>
      </c>
      <c r="F148" s="59">
        <v>6919.33</v>
      </c>
      <c r="G148" s="59">
        <v>525.23299999999995</v>
      </c>
      <c r="H148" s="59">
        <v>354.01209999999998</v>
      </c>
      <c r="I148" s="59">
        <v>2017.65</v>
      </c>
      <c r="J148" s="59">
        <v>2735.41255</v>
      </c>
      <c r="K148" s="59">
        <v>7084.1840000000002</v>
      </c>
      <c r="L148" s="59">
        <v>4341.5787399999999</v>
      </c>
      <c r="M148" s="5">
        <v>2534.9567999999999</v>
      </c>
      <c r="N148" s="5">
        <v>2446.6293999999998</v>
      </c>
      <c r="O148" s="5">
        <v>3285.1698900000001</v>
      </c>
      <c r="P148" s="5">
        <v>2645.0094300000001</v>
      </c>
    </row>
    <row r="149" spans="4:16" x14ac:dyDescent="0.3">
      <c r="D149" s="56">
        <v>42734</v>
      </c>
      <c r="E149" s="7">
        <v>13.7401</v>
      </c>
      <c r="F149" s="59">
        <v>6986.33</v>
      </c>
      <c r="G149" s="59">
        <v>533.46699999999998</v>
      </c>
      <c r="H149" s="59">
        <v>356.16739999999999</v>
      </c>
      <c r="I149" s="59">
        <v>2103.14</v>
      </c>
      <c r="J149" s="59">
        <v>2727.3771499999998</v>
      </c>
      <c r="K149" s="59">
        <v>6869.5749999999998</v>
      </c>
      <c r="L149" s="59">
        <v>4242.1056699999999</v>
      </c>
      <c r="M149" s="5">
        <v>2464.6986099999999</v>
      </c>
      <c r="N149" s="5">
        <v>2381.52979</v>
      </c>
      <c r="O149" s="5">
        <v>3224.56095</v>
      </c>
      <c r="P149" s="5">
        <v>2606.8564299999998</v>
      </c>
    </row>
    <row r="150" spans="4:16" x14ac:dyDescent="0.3">
      <c r="D150" s="56">
        <v>42766</v>
      </c>
      <c r="E150" s="7">
        <v>13.475300000000001</v>
      </c>
      <c r="F150" s="59">
        <v>7287.34</v>
      </c>
      <c r="G150" s="59">
        <v>540.58600000000001</v>
      </c>
      <c r="H150" s="59">
        <v>358.48140000000001</v>
      </c>
      <c r="I150" s="59">
        <v>2137.41</v>
      </c>
      <c r="J150" s="59">
        <v>2755.8359999999998</v>
      </c>
      <c r="K150" s="59">
        <v>6818.018</v>
      </c>
      <c r="L150" s="59">
        <v>4177.8892500000002</v>
      </c>
      <c r="M150" s="5">
        <v>2435.3944700000002</v>
      </c>
      <c r="N150" s="5">
        <v>2356.6437700000001</v>
      </c>
      <c r="O150" s="5">
        <v>3168.28163</v>
      </c>
      <c r="P150" s="5">
        <v>2555.08421</v>
      </c>
    </row>
    <row r="151" spans="4:16" x14ac:dyDescent="0.3">
      <c r="D151" s="56">
        <v>42794</v>
      </c>
      <c r="E151" s="7">
        <v>13.128500000000001</v>
      </c>
      <c r="F151" s="59">
        <v>7060.65</v>
      </c>
      <c r="G151" s="59">
        <v>544.43399999999997</v>
      </c>
      <c r="H151" s="59">
        <v>360.51769999999999</v>
      </c>
      <c r="I151" s="59">
        <v>2129.61</v>
      </c>
      <c r="J151" s="59">
        <v>2750.02171</v>
      </c>
      <c r="K151" s="59">
        <v>6646.2740000000003</v>
      </c>
      <c r="L151" s="59">
        <v>4059.9383499999999</v>
      </c>
      <c r="M151" s="5">
        <v>2371.2810300000001</v>
      </c>
      <c r="N151" s="5">
        <v>2300.21153</v>
      </c>
      <c r="O151" s="5">
        <v>3080.6887499999998</v>
      </c>
      <c r="P151" s="5">
        <v>2478.97289</v>
      </c>
    </row>
    <row r="152" spans="4:16" x14ac:dyDescent="0.3">
      <c r="D152" s="56">
        <v>42825</v>
      </c>
      <c r="E152" s="7">
        <v>13.413600000000001</v>
      </c>
      <c r="F152" s="59">
        <v>7250.08</v>
      </c>
      <c r="G152" s="59">
        <v>546.60299999999995</v>
      </c>
      <c r="H152" s="59">
        <v>362.78370000000001</v>
      </c>
      <c r="I152" s="59">
        <v>2131.86</v>
      </c>
      <c r="J152" s="59">
        <v>2845.4926999999998</v>
      </c>
      <c r="K152" s="59">
        <v>6800.7539999999999</v>
      </c>
      <c r="L152" s="59">
        <v>4154.9930299999996</v>
      </c>
      <c r="M152" s="5">
        <v>2427.9925499999999</v>
      </c>
      <c r="N152" s="5">
        <v>2357.4630699999998</v>
      </c>
      <c r="O152" s="5">
        <v>3147.0271899999998</v>
      </c>
      <c r="P152" s="5">
        <v>2537.54043</v>
      </c>
    </row>
    <row r="153" spans="4:16" x14ac:dyDescent="0.3">
      <c r="D153" s="56">
        <v>42853</v>
      </c>
      <c r="E153" s="7">
        <v>13.370100000000001</v>
      </c>
      <c r="F153" s="59">
        <v>7514.33</v>
      </c>
      <c r="G153" s="59">
        <v>554.62099999999998</v>
      </c>
      <c r="H153" s="59">
        <v>364.84100000000001</v>
      </c>
      <c r="I153" s="59">
        <v>2142.63</v>
      </c>
      <c r="J153" s="59">
        <v>2883.8871600000002</v>
      </c>
      <c r="K153" s="59">
        <v>6873.9189999999999</v>
      </c>
      <c r="L153" s="59">
        <v>4151.1321900000003</v>
      </c>
      <c r="M153" s="5">
        <v>2427.30863</v>
      </c>
      <c r="N153" s="5">
        <v>2360.0415600000001</v>
      </c>
      <c r="O153" s="5">
        <v>3158.1966900000002</v>
      </c>
      <c r="P153" s="5">
        <v>2542.1264200000001</v>
      </c>
    </row>
    <row r="154" spans="4:16" x14ac:dyDescent="0.3">
      <c r="D154" s="56">
        <v>42886</v>
      </c>
      <c r="E154" s="7">
        <v>13.117900000000001</v>
      </c>
      <c r="F154" s="59">
        <v>7482.47</v>
      </c>
      <c r="G154" s="59">
        <v>560.06600000000003</v>
      </c>
      <c r="H154" s="59">
        <v>367.27789999999999</v>
      </c>
      <c r="I154" s="59">
        <v>2145.0700000000002</v>
      </c>
      <c r="J154" s="59">
        <v>2898.65951</v>
      </c>
      <c r="K154" s="59">
        <v>6862.8050000000003</v>
      </c>
      <c r="L154" s="59">
        <v>4087.4611300000001</v>
      </c>
      <c r="M154" s="5">
        <v>2374.3804700000001</v>
      </c>
      <c r="N154" s="5">
        <v>2316.39408</v>
      </c>
      <c r="O154" s="5">
        <v>3091.4634099999998</v>
      </c>
      <c r="P154" s="5">
        <v>2494.6453799999999</v>
      </c>
    </row>
    <row r="155" spans="4:16" x14ac:dyDescent="0.3">
      <c r="D155" s="56">
        <v>42916</v>
      </c>
      <c r="E155" s="7">
        <v>13.074400000000001</v>
      </c>
      <c r="F155" s="59">
        <v>7221.62</v>
      </c>
      <c r="G155" s="59">
        <v>554.76900000000001</v>
      </c>
      <c r="H155" s="59">
        <v>369.50360000000001</v>
      </c>
      <c r="I155" s="59">
        <v>2151.2399999999998</v>
      </c>
      <c r="J155" s="59">
        <v>2890.05402</v>
      </c>
      <c r="K155" s="59">
        <v>6795.8680000000004</v>
      </c>
      <c r="L155" s="59">
        <v>4060.7791900000002</v>
      </c>
      <c r="M155" s="5">
        <v>2361.4506500000002</v>
      </c>
      <c r="N155" s="5">
        <v>2303.3101000000001</v>
      </c>
      <c r="O155" s="5">
        <v>3086.1863699999999</v>
      </c>
      <c r="P155" s="5">
        <v>2482.8496399999999</v>
      </c>
    </row>
    <row r="156" spans="4:16" x14ac:dyDescent="0.3">
      <c r="D156" s="56">
        <v>42947</v>
      </c>
      <c r="E156" s="7">
        <v>13.1859</v>
      </c>
      <c r="F156" s="59">
        <v>7729.54</v>
      </c>
      <c r="G156" s="59">
        <v>563.11</v>
      </c>
      <c r="H156" s="59">
        <v>371.81180000000001</v>
      </c>
      <c r="I156" s="59">
        <v>2230.88</v>
      </c>
      <c r="J156" s="59">
        <v>3011.5559800000001</v>
      </c>
      <c r="K156" s="59">
        <v>7003.1270000000004</v>
      </c>
      <c r="L156" s="59">
        <v>4121.4364599999999</v>
      </c>
      <c r="M156" s="5">
        <v>2404.2499899999998</v>
      </c>
      <c r="N156" s="5">
        <v>2345.3675199999998</v>
      </c>
      <c r="O156" s="5">
        <v>3122.6066599999999</v>
      </c>
      <c r="P156" s="5">
        <v>2520.15155</v>
      </c>
    </row>
    <row r="157" spans="4:16" x14ac:dyDescent="0.3">
      <c r="D157" s="56">
        <v>42978</v>
      </c>
      <c r="E157" s="7">
        <v>13.0032</v>
      </c>
      <c r="F157" s="59">
        <v>7934.04</v>
      </c>
      <c r="G157" s="59">
        <v>568.89300000000003</v>
      </c>
      <c r="H157" s="59">
        <v>374.10890000000001</v>
      </c>
      <c r="I157" s="59">
        <v>2247.79</v>
      </c>
      <c r="J157" s="59">
        <v>2972.7720899999999</v>
      </c>
      <c r="K157" s="59">
        <v>6965.9009999999998</v>
      </c>
      <c r="L157" s="59">
        <v>4057.88726</v>
      </c>
      <c r="M157" s="5">
        <v>2375.45982</v>
      </c>
      <c r="N157" s="5">
        <v>2315.66473</v>
      </c>
      <c r="O157" s="5">
        <v>3090.9721500000001</v>
      </c>
      <c r="P157" s="5">
        <v>2478.8289399999999</v>
      </c>
    </row>
    <row r="158" spans="4:16" x14ac:dyDescent="0.3">
      <c r="D158" s="56">
        <v>43007</v>
      </c>
      <c r="E158" s="7">
        <v>13.558999999999999</v>
      </c>
      <c r="F158" s="59">
        <v>7864.89</v>
      </c>
      <c r="G158" s="59">
        <v>575.18899999999996</v>
      </c>
      <c r="H158" s="59">
        <v>376.24689999999998</v>
      </c>
      <c r="I158" s="59">
        <v>2274.56</v>
      </c>
      <c r="J158" s="59">
        <v>3152.32762</v>
      </c>
      <c r="K158" s="59">
        <v>7163.2389999999996</v>
      </c>
      <c r="L158" s="59">
        <v>4226.1471000000001</v>
      </c>
      <c r="M158" s="5">
        <v>2472.6221399999999</v>
      </c>
      <c r="N158" s="5">
        <v>2419.0189</v>
      </c>
      <c r="O158" s="5">
        <v>3249.6602200000002</v>
      </c>
      <c r="P158" s="5">
        <v>2590.5921899999998</v>
      </c>
    </row>
    <row r="159" spans="4:16" x14ac:dyDescent="0.3">
      <c r="D159" s="56">
        <v>43039</v>
      </c>
      <c r="E159" s="7">
        <v>14.1272</v>
      </c>
      <c r="F159" s="59">
        <v>8357.4</v>
      </c>
      <c r="G159" s="59">
        <v>561.95799999999997</v>
      </c>
      <c r="H159" s="59">
        <v>378.59730000000002</v>
      </c>
      <c r="I159" s="59">
        <v>2319.81</v>
      </c>
      <c r="J159" s="59">
        <v>3360.0833899999998</v>
      </c>
      <c r="K159" s="59">
        <v>7447.4520000000002</v>
      </c>
      <c r="L159" s="59">
        <v>4418.7605999999996</v>
      </c>
      <c r="M159" s="5">
        <v>2573.9252900000001</v>
      </c>
      <c r="N159" s="5">
        <v>2519.5649100000001</v>
      </c>
      <c r="O159" s="5">
        <v>3377.9493000000002</v>
      </c>
      <c r="P159" s="5">
        <v>2697.52466</v>
      </c>
    </row>
    <row r="160" spans="4:16" x14ac:dyDescent="0.3">
      <c r="D160" s="56">
        <v>43069</v>
      </c>
      <c r="E160" s="7">
        <v>13.6981</v>
      </c>
      <c r="F160" s="59">
        <v>8479.06</v>
      </c>
      <c r="G160" s="59">
        <v>556.49199999999996</v>
      </c>
      <c r="H160" s="59">
        <v>380.80369999999999</v>
      </c>
      <c r="I160" s="59">
        <v>2364.2399999999998</v>
      </c>
      <c r="J160" s="59">
        <v>3318.49332</v>
      </c>
      <c r="K160" s="59">
        <v>7308.1959999999999</v>
      </c>
      <c r="L160" s="59">
        <v>4285.7765300000001</v>
      </c>
      <c r="M160" s="5">
        <v>2506.1302300000002</v>
      </c>
      <c r="N160" s="5">
        <v>2449.5266700000002</v>
      </c>
      <c r="O160" s="5">
        <v>3306.2948799999999</v>
      </c>
      <c r="P160" s="5">
        <v>2627.0476100000001</v>
      </c>
    </row>
    <row r="161" spans="4:16" x14ac:dyDescent="0.3">
      <c r="D161" s="56">
        <v>43098</v>
      </c>
      <c r="E161" s="7">
        <v>12.3828</v>
      </c>
      <c r="F161" s="59">
        <v>8450.2800000000007</v>
      </c>
      <c r="G161" s="59">
        <v>587.96500000000003</v>
      </c>
      <c r="H161" s="59">
        <v>382.9461</v>
      </c>
      <c r="I161" s="59">
        <v>2463.85</v>
      </c>
      <c r="J161" s="59">
        <v>3050.2194399999998</v>
      </c>
      <c r="K161" s="59">
        <v>6620.6719999999996</v>
      </c>
      <c r="L161" s="59">
        <v>3880.3838999999998</v>
      </c>
      <c r="M161" s="5">
        <v>2262.37988</v>
      </c>
      <c r="N161" s="5">
        <v>2213.2750999999998</v>
      </c>
      <c r="O161" s="5">
        <v>2975.9376999999999</v>
      </c>
      <c r="P161" s="5">
        <v>2370.3481499999998</v>
      </c>
    </row>
    <row r="162" spans="4:16" x14ac:dyDescent="0.3">
      <c r="D162" s="56">
        <v>43131</v>
      </c>
      <c r="E162" s="7">
        <v>11.8514</v>
      </c>
      <c r="F162" s="59">
        <v>8458.7199999999993</v>
      </c>
      <c r="G162" s="59">
        <v>598.89599999999996</v>
      </c>
      <c r="H162" s="59">
        <v>385.399</v>
      </c>
      <c r="I162" s="59">
        <v>2219.8000000000002</v>
      </c>
      <c r="J162" s="59">
        <v>3092.2062900000001</v>
      </c>
      <c r="K162" s="59">
        <v>6437.098</v>
      </c>
      <c r="L162" s="59">
        <v>3729.7486800000001</v>
      </c>
      <c r="M162" s="5">
        <v>2172.1611499999999</v>
      </c>
      <c r="N162" s="5">
        <v>2129.14698</v>
      </c>
      <c r="O162" s="5">
        <v>2871.9554899999998</v>
      </c>
      <c r="P162" s="5">
        <v>2282.28532</v>
      </c>
    </row>
    <row r="163" spans="4:16" x14ac:dyDescent="0.3">
      <c r="D163" s="56">
        <v>43159</v>
      </c>
      <c r="E163" s="7">
        <v>11.7957</v>
      </c>
      <c r="F163" s="59">
        <v>8292.14</v>
      </c>
      <c r="G163" s="59">
        <v>622.43899999999996</v>
      </c>
      <c r="H163" s="59">
        <v>387.49430000000001</v>
      </c>
      <c r="I163" s="59">
        <v>1999.97</v>
      </c>
      <c r="J163" s="59">
        <v>2936.7377499999998</v>
      </c>
      <c r="K163" s="59">
        <v>6337.6440000000002</v>
      </c>
      <c r="L163" s="59">
        <v>3702.0518000000002</v>
      </c>
      <c r="M163" s="5">
        <v>2157.2186200000001</v>
      </c>
      <c r="N163" s="5">
        <v>2114.9144900000001</v>
      </c>
      <c r="O163" s="5">
        <v>2874.1096299999999</v>
      </c>
      <c r="P163" s="5">
        <v>2271.3298100000002</v>
      </c>
    </row>
    <row r="164" spans="4:16" x14ac:dyDescent="0.3">
      <c r="D164" s="56">
        <v>43189</v>
      </c>
      <c r="E164" s="7">
        <v>11.8408</v>
      </c>
      <c r="F164" s="59">
        <v>7945.83</v>
      </c>
      <c r="G164" s="59">
        <v>635.32899999999995</v>
      </c>
      <c r="H164" s="59">
        <v>389.67750000000001</v>
      </c>
      <c r="I164" s="59">
        <v>1980.79</v>
      </c>
      <c r="J164" s="59">
        <v>2882.5412500000002</v>
      </c>
      <c r="K164" s="59">
        <v>6454.76</v>
      </c>
      <c r="L164" s="59">
        <v>3719.44769</v>
      </c>
      <c r="M164" s="5">
        <v>2182.3343199999999</v>
      </c>
      <c r="N164" s="5">
        <v>2143.7251799999999</v>
      </c>
      <c r="O164" s="5">
        <v>2912.3990899999999</v>
      </c>
      <c r="P164" s="5">
        <v>2291.74928</v>
      </c>
    </row>
    <row r="165" spans="4:16" x14ac:dyDescent="0.3">
      <c r="D165" s="56">
        <v>43220</v>
      </c>
      <c r="E165" s="7">
        <v>12.460800000000001</v>
      </c>
      <c r="F165" s="59">
        <v>8372.34</v>
      </c>
      <c r="G165" s="59">
        <v>630.86599999999999</v>
      </c>
      <c r="H165" s="59">
        <v>392.08879999999999</v>
      </c>
      <c r="I165" s="59">
        <v>2132.92</v>
      </c>
      <c r="J165" s="59">
        <v>3065.0091200000002</v>
      </c>
      <c r="K165" s="59">
        <v>6674.6319999999996</v>
      </c>
      <c r="L165" s="59">
        <v>3927.98713</v>
      </c>
      <c r="M165" s="5">
        <v>2291.3290299999999</v>
      </c>
      <c r="N165" s="5">
        <v>2243.1086700000001</v>
      </c>
      <c r="O165" s="5">
        <v>3066.2741799999999</v>
      </c>
      <c r="P165" s="5">
        <v>2413.2582499999999</v>
      </c>
    </row>
    <row r="166" spans="4:16" x14ac:dyDescent="0.3">
      <c r="D166" s="56">
        <v>43251</v>
      </c>
      <c r="E166" s="7">
        <v>12.699300000000001</v>
      </c>
      <c r="F166" s="59">
        <v>8081.29</v>
      </c>
      <c r="G166" s="59">
        <v>618.53300000000002</v>
      </c>
      <c r="H166" s="59">
        <v>394.41860000000003</v>
      </c>
      <c r="I166" s="59">
        <v>2006.68</v>
      </c>
      <c r="J166" s="59">
        <v>3125.5528300000001</v>
      </c>
      <c r="K166" s="59">
        <v>6733.4520000000002</v>
      </c>
      <c r="L166" s="59">
        <v>4011.4812400000001</v>
      </c>
      <c r="M166" s="5">
        <v>2338.1341900000002</v>
      </c>
      <c r="N166" s="5">
        <v>2291.2604200000001</v>
      </c>
      <c r="O166" s="5">
        <v>3150.1653900000001</v>
      </c>
      <c r="P166" s="5">
        <v>2475.0471400000001</v>
      </c>
    </row>
    <row r="167" spans="4:16" x14ac:dyDescent="0.3">
      <c r="D167" s="56">
        <v>43280</v>
      </c>
      <c r="E167" s="7">
        <v>13.725</v>
      </c>
      <c r="F167" s="59">
        <v>8306.34</v>
      </c>
      <c r="G167" s="59">
        <v>611.29700000000003</v>
      </c>
      <c r="H167" s="59">
        <v>396.59769999999997</v>
      </c>
      <c r="I167" s="59">
        <v>1937.43</v>
      </c>
      <c r="J167" s="59">
        <v>3371.7821800000002</v>
      </c>
      <c r="K167" s="59">
        <v>7282.2979999999998</v>
      </c>
      <c r="L167" s="59">
        <v>4361.0276700000004</v>
      </c>
      <c r="M167" s="5">
        <v>2527.6329000000001</v>
      </c>
      <c r="N167" s="5">
        <v>2481.81927</v>
      </c>
      <c r="O167" s="5">
        <v>3389.76017</v>
      </c>
      <c r="P167" s="5">
        <v>2667.4935500000001</v>
      </c>
    </row>
    <row r="168" spans="4:16" x14ac:dyDescent="0.3">
      <c r="D168" s="56">
        <v>43312</v>
      </c>
      <c r="E168" s="7">
        <v>13.275</v>
      </c>
      <c r="F168" s="59">
        <v>8285.7099999999991</v>
      </c>
      <c r="G168" s="59">
        <v>626.08100000000002</v>
      </c>
      <c r="H168" s="59">
        <v>399.01119999999997</v>
      </c>
      <c r="I168" s="59">
        <v>1927.67</v>
      </c>
      <c r="J168" s="59">
        <v>3307.27025</v>
      </c>
      <c r="K168" s="59">
        <v>6896.0839999999998</v>
      </c>
      <c r="L168" s="59">
        <v>4162.6888200000003</v>
      </c>
      <c r="M168" s="5">
        <v>2420.9008699999999</v>
      </c>
      <c r="N168" s="5">
        <v>2382.0544500000001</v>
      </c>
      <c r="O168" s="5">
        <v>3241.1170099999999</v>
      </c>
      <c r="P168" s="5">
        <v>2548.7160600000002</v>
      </c>
    </row>
    <row r="169" spans="4:16" x14ac:dyDescent="0.3">
      <c r="D169" s="56">
        <v>43343</v>
      </c>
      <c r="E169" s="7">
        <v>14.688700000000001</v>
      </c>
      <c r="F169" s="59">
        <v>8479.68</v>
      </c>
      <c r="G169" s="59">
        <v>614.40200000000004</v>
      </c>
      <c r="H169" s="59">
        <v>401.3664</v>
      </c>
      <c r="I169" s="59">
        <v>1969.04</v>
      </c>
      <c r="J169" s="59">
        <v>3740.11229</v>
      </c>
      <c r="K169" s="59">
        <v>7734.0770000000002</v>
      </c>
      <c r="L169" s="59">
        <v>4681.9154399999998</v>
      </c>
      <c r="M169" s="5">
        <v>2726.9091699999999</v>
      </c>
      <c r="N169" s="5">
        <v>2690.2986500000002</v>
      </c>
      <c r="O169" s="5">
        <v>3641.2004999999999</v>
      </c>
      <c r="P169" s="5">
        <v>2865.52216</v>
      </c>
    </row>
    <row r="170" spans="4:16" x14ac:dyDescent="0.3">
      <c r="D170" s="56">
        <v>43371</v>
      </c>
      <c r="E170" s="7">
        <v>14.141500000000001</v>
      </c>
      <c r="F170" s="59">
        <v>8125.87</v>
      </c>
      <c r="G170" s="59">
        <v>616.24300000000005</v>
      </c>
      <c r="H170" s="59">
        <v>403.51389999999998</v>
      </c>
      <c r="I170" s="59">
        <v>1917.9</v>
      </c>
      <c r="J170" s="59">
        <v>3621.4035899999999</v>
      </c>
      <c r="K170" s="59">
        <v>7373.0469999999996</v>
      </c>
      <c r="L170" s="59">
        <v>4522.2644</v>
      </c>
      <c r="M170" s="5">
        <v>2621.8316300000001</v>
      </c>
      <c r="N170" s="5">
        <v>2578.8519700000002</v>
      </c>
      <c r="O170" s="5">
        <v>3505.5806899999998</v>
      </c>
      <c r="P170" s="5">
        <v>2768.8724900000002</v>
      </c>
    </row>
    <row r="171" spans="4:16" x14ac:dyDescent="0.3">
      <c r="D171" s="56">
        <v>43404</v>
      </c>
      <c r="E171" s="7">
        <v>14.7864</v>
      </c>
      <c r="F171" s="59">
        <v>7657.53</v>
      </c>
      <c r="G171" s="59">
        <v>605.71799999999996</v>
      </c>
      <c r="H171" s="59">
        <v>406.06889999999999</v>
      </c>
      <c r="I171" s="59">
        <v>1885.45</v>
      </c>
      <c r="J171" s="59">
        <v>3492.2188000000001</v>
      </c>
      <c r="K171" s="59">
        <v>7613.3590000000004</v>
      </c>
      <c r="L171" s="59">
        <v>4724.2524400000002</v>
      </c>
      <c r="M171" s="5">
        <v>2735.8161599999999</v>
      </c>
      <c r="N171" s="5">
        <v>2703.5554699999998</v>
      </c>
      <c r="O171" s="5">
        <v>3691.3479000000002</v>
      </c>
      <c r="P171" s="5">
        <v>2916.59789</v>
      </c>
    </row>
    <row r="172" spans="4:16" x14ac:dyDescent="0.3">
      <c r="D172" s="56">
        <v>43434</v>
      </c>
      <c r="E172" s="7">
        <v>13.869899999999999</v>
      </c>
      <c r="F172" s="59">
        <v>7414.43</v>
      </c>
      <c r="G172" s="59">
        <v>629.13499999999999</v>
      </c>
      <c r="H172" s="59">
        <v>408.41300000000001</v>
      </c>
      <c r="I172" s="59">
        <v>1861.14</v>
      </c>
      <c r="J172" s="59">
        <v>3339.3120399999998</v>
      </c>
      <c r="K172" s="59">
        <v>7210.0739999999996</v>
      </c>
      <c r="L172" s="59">
        <v>4462.06837</v>
      </c>
      <c r="M172" s="5">
        <v>2547.2199900000001</v>
      </c>
      <c r="N172" s="5">
        <v>2546.5837700000002</v>
      </c>
      <c r="O172" s="5">
        <v>3424.7087900000001</v>
      </c>
      <c r="P172" s="5">
        <v>2751.2424099999998</v>
      </c>
    </row>
    <row r="173" spans="4:16" x14ac:dyDescent="0.3">
      <c r="D173" s="56">
        <v>43465</v>
      </c>
      <c r="E173" s="7">
        <v>14.3467</v>
      </c>
      <c r="F173" s="59">
        <v>7729.61</v>
      </c>
      <c r="G173" s="59">
        <v>633.15200000000004</v>
      </c>
      <c r="H173" s="59">
        <v>410.8673</v>
      </c>
      <c r="I173" s="59">
        <v>1841.43</v>
      </c>
      <c r="J173" s="59">
        <v>3207.03314</v>
      </c>
      <c r="K173" s="59">
        <v>7633.6989999999996</v>
      </c>
      <c r="L173" s="59">
        <v>4622.7806499999997</v>
      </c>
      <c r="M173" s="5">
        <v>2675.3964799999999</v>
      </c>
      <c r="N173" s="5">
        <v>2656.8922499999999</v>
      </c>
      <c r="O173" s="5">
        <v>3552.3778699999998</v>
      </c>
      <c r="P173" s="5">
        <v>2835.9179600000002</v>
      </c>
    </row>
    <row r="174" spans="4:16" x14ac:dyDescent="0.3">
      <c r="D174" s="56">
        <v>43496</v>
      </c>
      <c r="E174" s="7">
        <v>13.254200000000001</v>
      </c>
      <c r="F174" s="59">
        <v>7946.48</v>
      </c>
      <c r="G174" s="59">
        <v>651.52499999999998</v>
      </c>
      <c r="H174" s="59">
        <v>413.35149999999999</v>
      </c>
      <c r="I174" s="59">
        <v>2010.53</v>
      </c>
      <c r="J174" s="59">
        <v>3203.3371699999998</v>
      </c>
      <c r="K174" s="59">
        <v>7159.893</v>
      </c>
      <c r="L174" s="59">
        <v>4291.9273000000003</v>
      </c>
      <c r="M174" s="5">
        <v>2461.1111299999998</v>
      </c>
      <c r="N174" s="5">
        <v>2450.5190200000002</v>
      </c>
      <c r="O174" s="5">
        <v>3277.28512</v>
      </c>
      <c r="P174" s="5">
        <v>2618.2811400000001</v>
      </c>
    </row>
    <row r="175" spans="4:16" x14ac:dyDescent="0.3">
      <c r="D175" s="56">
        <v>43524</v>
      </c>
      <c r="E175" s="7">
        <v>14.084899999999999</v>
      </c>
      <c r="F175" s="59">
        <v>8217.57</v>
      </c>
      <c r="G175" s="59">
        <v>648.654</v>
      </c>
      <c r="H175" s="59">
        <v>415.61709999999999</v>
      </c>
      <c r="I175" s="59">
        <v>1895.99</v>
      </c>
      <c r="J175" s="59">
        <v>3475.4252900000001</v>
      </c>
      <c r="K175" s="59">
        <v>7499.2659999999996</v>
      </c>
      <c r="L175" s="59">
        <v>4546.7017400000004</v>
      </c>
      <c r="M175" s="5">
        <v>2605.2128400000001</v>
      </c>
      <c r="N175" s="5">
        <v>2598.1817900000001</v>
      </c>
      <c r="O175" s="5">
        <v>3481.67697</v>
      </c>
      <c r="P175" s="5">
        <v>2774.2251000000001</v>
      </c>
    </row>
    <row r="176" spans="4:16" x14ac:dyDescent="0.3">
      <c r="D176" s="56">
        <v>43553</v>
      </c>
      <c r="E176" s="7">
        <v>14.501200000000001</v>
      </c>
      <c r="F176" s="59">
        <v>8346.01</v>
      </c>
      <c r="G176" s="59">
        <v>657.29200000000003</v>
      </c>
      <c r="H176" s="59">
        <v>417.98149999999998</v>
      </c>
      <c r="I176" s="59">
        <v>1868.22</v>
      </c>
      <c r="J176" s="59">
        <v>3607.4881999999998</v>
      </c>
      <c r="K176" s="59">
        <v>7794.3090000000002</v>
      </c>
      <c r="L176" s="59">
        <v>4671.4196000000002</v>
      </c>
      <c r="M176" s="5">
        <v>2660.9908799999998</v>
      </c>
      <c r="N176" s="5">
        <v>2662.8280399999999</v>
      </c>
      <c r="O176" s="5">
        <v>3549.3588199999999</v>
      </c>
      <c r="P176" s="5">
        <v>2839.5149299999998</v>
      </c>
    </row>
    <row r="177" spans="4:16" x14ac:dyDescent="0.3">
      <c r="D177" s="56">
        <v>43585</v>
      </c>
      <c r="E177" s="7">
        <v>14.2986</v>
      </c>
      <c r="F177" s="59">
        <v>8698.6299999999992</v>
      </c>
      <c r="G177" s="59">
        <v>662.21900000000005</v>
      </c>
      <c r="H177" s="59">
        <v>420.6105</v>
      </c>
      <c r="I177" s="59">
        <v>1927.49</v>
      </c>
      <c r="J177" s="59">
        <v>3705.9965999999999</v>
      </c>
      <c r="K177" s="59">
        <v>7703.973</v>
      </c>
      <c r="L177" s="59">
        <v>4653.6225100000001</v>
      </c>
      <c r="M177" s="5">
        <v>2649.1297800000002</v>
      </c>
      <c r="N177" s="5">
        <v>2642.43426</v>
      </c>
      <c r="O177" s="5">
        <v>3504.0226499999999</v>
      </c>
      <c r="P177" s="5">
        <v>2819.9968699999999</v>
      </c>
    </row>
    <row r="178" spans="4:16" x14ac:dyDescent="0.3">
      <c r="D178" s="56">
        <v>43616</v>
      </c>
      <c r="E178" s="7">
        <v>14.580299999999999</v>
      </c>
      <c r="F178" s="59">
        <v>8277.42</v>
      </c>
      <c r="G178" s="59">
        <v>666.447</v>
      </c>
      <c r="H178" s="59">
        <v>423.17559999999997</v>
      </c>
      <c r="I178" s="59">
        <v>1910.68</v>
      </c>
      <c r="J178" s="59">
        <v>3553.8096700000001</v>
      </c>
      <c r="K178" s="59">
        <v>7999.8850000000002</v>
      </c>
      <c r="L178" s="59">
        <v>4755.5615399999997</v>
      </c>
      <c r="M178" s="5">
        <v>2703.0648000000001</v>
      </c>
      <c r="N178" s="5">
        <v>2696.9202</v>
      </c>
      <c r="O178" s="5">
        <v>3533.8185699999999</v>
      </c>
      <c r="P178" s="5">
        <v>2887.40382</v>
      </c>
    </row>
    <row r="179" spans="4:16" x14ac:dyDescent="0.3">
      <c r="D179" s="56">
        <v>43644</v>
      </c>
      <c r="E179" s="7">
        <v>14.0869</v>
      </c>
      <c r="F179" s="59">
        <v>8673.2000000000007</v>
      </c>
      <c r="G179" s="59">
        <v>681.60400000000004</v>
      </c>
      <c r="H179" s="59">
        <v>425.50229999999999</v>
      </c>
      <c r="I179" s="59">
        <v>1952.64</v>
      </c>
      <c r="J179" s="59">
        <v>3656.60068</v>
      </c>
      <c r="K179" s="59">
        <v>7890.9719999999998</v>
      </c>
      <c r="L179" s="59">
        <v>4603.0718200000001</v>
      </c>
      <c r="M179" s="5">
        <v>2609.3095600000001</v>
      </c>
      <c r="N179" s="5">
        <v>2608.5674399999998</v>
      </c>
      <c r="O179" s="5">
        <v>3413.1579000000002</v>
      </c>
      <c r="P179" s="5">
        <v>2788.8524000000002</v>
      </c>
    </row>
    <row r="180" spans="4:16" x14ac:dyDescent="0.3">
      <c r="D180" s="56">
        <v>43677</v>
      </c>
      <c r="E180" s="7">
        <v>14.3429</v>
      </c>
      <c r="F180" s="59">
        <v>8467.42</v>
      </c>
      <c r="G180" s="59">
        <v>676.53399999999999</v>
      </c>
      <c r="H180" s="59">
        <v>428.24590000000001</v>
      </c>
      <c r="I180" s="59">
        <v>1929.22</v>
      </c>
      <c r="J180" s="59">
        <v>3683.9334100000001</v>
      </c>
      <c r="K180" s="59">
        <v>7892.1350000000002</v>
      </c>
      <c r="L180" s="59">
        <v>4634.1005500000001</v>
      </c>
      <c r="M180" s="5">
        <v>2618.6807399999998</v>
      </c>
      <c r="N180" s="5">
        <v>2624.06315</v>
      </c>
      <c r="O180" s="5">
        <v>3431.29594</v>
      </c>
      <c r="P180" s="5">
        <v>2797.2357299999999</v>
      </c>
    </row>
    <row r="181" spans="4:16" x14ac:dyDescent="0.3">
      <c r="D181" s="56">
        <v>43707</v>
      </c>
      <c r="E181" s="7">
        <v>15.195399999999999</v>
      </c>
      <c r="F181" s="59">
        <v>8261.2099999999991</v>
      </c>
      <c r="G181" s="59">
        <v>683.14300000000003</v>
      </c>
      <c r="H181" s="59">
        <v>430.72559999999999</v>
      </c>
      <c r="I181" s="59">
        <v>1860.38</v>
      </c>
      <c r="J181" s="59">
        <v>3856.3393700000001</v>
      </c>
      <c r="K181" s="59">
        <v>8712.1389999999992</v>
      </c>
      <c r="L181" s="59">
        <v>4979.1969600000002</v>
      </c>
      <c r="M181" s="5">
        <v>2810.1785300000001</v>
      </c>
      <c r="N181" s="5">
        <v>2810.5128300000001</v>
      </c>
      <c r="O181" s="5">
        <v>3670.7023199999999</v>
      </c>
      <c r="P181" s="5">
        <v>3017.5847100000001</v>
      </c>
    </row>
    <row r="182" spans="4:16" x14ac:dyDescent="0.3">
      <c r="D182" s="56">
        <v>43738</v>
      </c>
      <c r="E182" s="7">
        <v>15.1363</v>
      </c>
      <c r="F182" s="59">
        <v>8277.02</v>
      </c>
      <c r="G182" s="59">
        <v>686.61400000000003</v>
      </c>
      <c r="H182" s="59">
        <v>433.2774</v>
      </c>
      <c r="I182" s="59">
        <v>1866.03</v>
      </c>
      <c r="J182" s="59">
        <v>3931.00587</v>
      </c>
      <c r="K182" s="59">
        <v>8582.3880000000008</v>
      </c>
      <c r="L182" s="59">
        <v>4980.8220099999999</v>
      </c>
      <c r="M182" s="5">
        <v>2795.8202200000001</v>
      </c>
      <c r="N182" s="5">
        <v>2792.4644800000001</v>
      </c>
      <c r="O182" s="5">
        <v>3663.10673</v>
      </c>
      <c r="P182" s="5">
        <v>3017.4961400000002</v>
      </c>
    </row>
    <row r="183" spans="4:16" x14ac:dyDescent="0.3">
      <c r="D183" s="56">
        <v>43769</v>
      </c>
      <c r="E183" s="7">
        <v>15.1008</v>
      </c>
      <c r="F183" s="59">
        <v>8537.2199999999993</v>
      </c>
      <c r="G183" s="59">
        <v>684.21400000000006</v>
      </c>
      <c r="H183" s="59">
        <v>435.8236</v>
      </c>
      <c r="I183" s="59">
        <v>1901.22</v>
      </c>
      <c r="J183" s="59">
        <v>4012.9027799999999</v>
      </c>
      <c r="K183" s="59">
        <v>8566.3209999999999</v>
      </c>
      <c r="L183" s="59">
        <v>4960.3117300000004</v>
      </c>
      <c r="M183" s="5">
        <v>2777.9459299999999</v>
      </c>
      <c r="N183" s="5">
        <v>2780.1030500000002</v>
      </c>
      <c r="O183" s="5">
        <v>3644.0386199999998</v>
      </c>
      <c r="P183" s="5">
        <v>3023.0222800000001</v>
      </c>
    </row>
    <row r="184" spans="4:16" x14ac:dyDescent="0.3">
      <c r="D184" s="56">
        <v>43798</v>
      </c>
      <c r="E184" s="7">
        <v>14.6706</v>
      </c>
      <c r="F184" s="59">
        <v>8383.89</v>
      </c>
      <c r="G184" s="59">
        <v>685.73099999999999</v>
      </c>
      <c r="H184" s="59">
        <v>438.20339999999999</v>
      </c>
      <c r="I184" s="59">
        <v>1916.61</v>
      </c>
      <c r="J184" s="59">
        <v>3995.71965</v>
      </c>
      <c r="K184" s="59">
        <v>8231.4959999999992</v>
      </c>
      <c r="L184" s="59">
        <v>4829.42155</v>
      </c>
      <c r="M184" s="5">
        <v>2706.5237999999999</v>
      </c>
      <c r="N184" s="5">
        <v>2702.9576299999999</v>
      </c>
      <c r="O184" s="5">
        <v>3556.2579900000001</v>
      </c>
      <c r="P184" s="5">
        <v>2922.2541200000001</v>
      </c>
    </row>
    <row r="185" spans="4:16" x14ac:dyDescent="0.3">
      <c r="D185" s="56">
        <v>43830</v>
      </c>
      <c r="E185" s="7">
        <v>14</v>
      </c>
      <c r="F185" s="59">
        <v>8660.66</v>
      </c>
      <c r="G185" s="59">
        <v>698.50199999999995</v>
      </c>
      <c r="H185" s="59">
        <v>440.83460000000002</v>
      </c>
      <c r="I185" s="59">
        <v>1876.88</v>
      </c>
      <c r="J185" s="59">
        <v>3945.6492499999999</v>
      </c>
      <c r="K185" s="59">
        <v>7865.3450000000003</v>
      </c>
      <c r="L185" s="59">
        <v>4615.44247</v>
      </c>
      <c r="M185" s="5">
        <v>2585.9593199999999</v>
      </c>
      <c r="N185" s="5">
        <v>2577.9061700000002</v>
      </c>
      <c r="O185" s="5">
        <v>3416.88949</v>
      </c>
      <c r="P185" s="5">
        <v>2783.5380799999998</v>
      </c>
    </row>
    <row r="186" spans="4:16" x14ac:dyDescent="0.3">
      <c r="D186" s="56">
        <v>43861</v>
      </c>
      <c r="E186" s="7">
        <v>15.0282</v>
      </c>
      <c r="F186" s="59">
        <v>8513.94</v>
      </c>
      <c r="G186" s="59">
        <v>706.78599999999994</v>
      </c>
      <c r="H186" s="59">
        <v>443.3904</v>
      </c>
      <c r="I186" s="59">
        <v>1819.51</v>
      </c>
      <c r="J186" s="59">
        <v>4182.2763999999997</v>
      </c>
      <c r="K186" s="59">
        <v>8579.134</v>
      </c>
      <c r="L186" s="59">
        <v>4956.8318900000004</v>
      </c>
      <c r="M186" s="5">
        <v>2790.5445399999999</v>
      </c>
      <c r="N186" s="5">
        <v>2791.1706800000002</v>
      </c>
      <c r="O186" s="5">
        <v>3674.1612700000001</v>
      </c>
      <c r="P186" s="5">
        <v>2989.9875900000002</v>
      </c>
    </row>
    <row r="187" spans="4:16" x14ac:dyDescent="0.3">
      <c r="D187" s="56">
        <v>43889</v>
      </c>
      <c r="E187" s="7">
        <v>15.6609</v>
      </c>
      <c r="F187" s="59">
        <v>7748.7</v>
      </c>
      <c r="G187" s="59">
        <v>706.47699999999998</v>
      </c>
      <c r="H187" s="59">
        <v>445.69130000000001</v>
      </c>
      <c r="I187" s="59">
        <v>1534.1</v>
      </c>
      <c r="J187" s="59">
        <v>4039.7993200000001</v>
      </c>
      <c r="K187" s="59">
        <v>9124.6579999999994</v>
      </c>
      <c r="L187" s="59">
        <v>5219.35304</v>
      </c>
      <c r="M187" s="5">
        <v>2944.85079</v>
      </c>
      <c r="N187" s="5">
        <v>2957.5848599999999</v>
      </c>
      <c r="O187" s="5">
        <v>3858.3475600000002</v>
      </c>
      <c r="P187" s="5">
        <v>3125.47775</v>
      </c>
    </row>
    <row r="188" spans="4:16" x14ac:dyDescent="0.3">
      <c r="D188" s="56">
        <v>43921</v>
      </c>
      <c r="E188" s="7">
        <v>17.837900000000001</v>
      </c>
      <c r="F188" s="59">
        <v>6808.89</v>
      </c>
      <c r="G188" s="59">
        <v>637.61500000000001</v>
      </c>
      <c r="H188" s="59">
        <v>448.30220000000003</v>
      </c>
      <c r="I188" s="59">
        <v>973.14</v>
      </c>
      <c r="J188" s="59">
        <v>3951.5778</v>
      </c>
      <c r="K188" s="59">
        <v>10327.466</v>
      </c>
      <c r="L188" s="59">
        <v>5909.5383199999997</v>
      </c>
      <c r="M188" s="5">
        <v>3437.97415</v>
      </c>
      <c r="N188" s="5">
        <v>3483.9121300000002</v>
      </c>
      <c r="O188" s="5">
        <v>4681.2010399999999</v>
      </c>
      <c r="P188" s="5">
        <v>3709.9957800000002</v>
      </c>
    </row>
    <row r="189" spans="4:16" x14ac:dyDescent="0.3">
      <c r="D189" s="56">
        <v>43951</v>
      </c>
      <c r="E189" s="7">
        <v>18.526399999999999</v>
      </c>
      <c r="F189" s="59">
        <v>7760.73</v>
      </c>
      <c r="G189" s="59">
        <v>662.59799999999996</v>
      </c>
      <c r="H189" s="59">
        <v>450.642</v>
      </c>
      <c r="I189" s="59">
        <v>1041.27</v>
      </c>
      <c r="J189" s="59">
        <v>4539.63033</v>
      </c>
      <c r="K189" s="59">
        <v>10825.092000000001</v>
      </c>
      <c r="L189" s="59">
        <v>6153.8754499999995</v>
      </c>
      <c r="M189" s="5">
        <v>3597.92578</v>
      </c>
      <c r="N189" s="5">
        <v>3657.2819399999998</v>
      </c>
      <c r="O189" s="5">
        <v>5034.0599499999998</v>
      </c>
      <c r="P189" s="5">
        <v>3967.8157000000001</v>
      </c>
    </row>
    <row r="190" spans="4:16" x14ac:dyDescent="0.3">
      <c r="D190" s="56">
        <v>43980</v>
      </c>
      <c r="E190" s="7">
        <v>17.546500000000002</v>
      </c>
      <c r="F190" s="59">
        <v>7784.45</v>
      </c>
      <c r="G190" s="59">
        <v>709.40599999999995</v>
      </c>
      <c r="H190" s="59">
        <v>452.73989999999998</v>
      </c>
      <c r="I190" s="59">
        <v>1033.3800000000001</v>
      </c>
      <c r="J190" s="59">
        <v>4507.5884900000001</v>
      </c>
      <c r="K190" s="59">
        <v>10295.992</v>
      </c>
      <c r="L190" s="59">
        <v>5861.8721500000001</v>
      </c>
      <c r="M190" s="5">
        <v>3359.2914300000002</v>
      </c>
      <c r="N190" s="5">
        <v>3407.3410899999999</v>
      </c>
      <c r="O190" s="5">
        <v>4743.2355200000002</v>
      </c>
      <c r="P190" s="5">
        <v>3736.9256599999999</v>
      </c>
    </row>
    <row r="191" spans="4:16" x14ac:dyDescent="0.3">
      <c r="D191" s="56">
        <v>44012</v>
      </c>
      <c r="E191" s="7">
        <v>17.351199999999999</v>
      </c>
      <c r="F191" s="59">
        <v>8387.09</v>
      </c>
      <c r="G191" s="59">
        <v>701.01099999999997</v>
      </c>
      <c r="H191" s="59">
        <v>454.8698</v>
      </c>
      <c r="I191" s="59">
        <v>1171.98</v>
      </c>
      <c r="J191" s="59">
        <v>4599.5261399999999</v>
      </c>
      <c r="K191" s="59">
        <v>10230.27</v>
      </c>
      <c r="L191" s="59">
        <v>5799.3636100000003</v>
      </c>
      <c r="M191" s="5">
        <v>3335.8886200000002</v>
      </c>
      <c r="N191" s="5">
        <v>3365.9647199999999</v>
      </c>
      <c r="O191" s="5">
        <v>4802.3286399999997</v>
      </c>
      <c r="P191" s="5">
        <v>3761.5489899999998</v>
      </c>
    </row>
    <row r="192" spans="4:16" x14ac:dyDescent="0.3">
      <c r="D192" s="56">
        <v>44043</v>
      </c>
      <c r="E192" s="7">
        <v>17.0718</v>
      </c>
      <c r="F192" s="59">
        <v>8601.49</v>
      </c>
      <c r="G192" s="59">
        <v>705.27700000000004</v>
      </c>
      <c r="H192" s="59">
        <v>456.77539999999999</v>
      </c>
      <c r="I192" s="59">
        <v>1134.6199999999999</v>
      </c>
      <c r="J192" s="59">
        <v>4743.9914399999998</v>
      </c>
      <c r="K192" s="59">
        <v>10353.906999999999</v>
      </c>
      <c r="L192" s="59">
        <v>5683.7327999999998</v>
      </c>
      <c r="M192" s="5">
        <v>3291.8646100000001</v>
      </c>
      <c r="N192" s="5">
        <v>3280.2897899999998</v>
      </c>
      <c r="O192" s="5">
        <v>4749.6128600000002</v>
      </c>
      <c r="P192" s="5">
        <v>3707.14858</v>
      </c>
    </row>
    <row r="193" spans="4:16" x14ac:dyDescent="0.3">
      <c r="D193" s="56">
        <v>44074</v>
      </c>
      <c r="E193" s="7">
        <v>16.941600000000001</v>
      </c>
      <c r="F193" s="59">
        <v>8579.34</v>
      </c>
      <c r="G193" s="59">
        <v>711.54899999999998</v>
      </c>
      <c r="H193" s="59">
        <v>458.54509999999999</v>
      </c>
      <c r="I193" s="59">
        <v>1037.1099999999999</v>
      </c>
      <c r="J193" s="59">
        <v>5006.1847399999997</v>
      </c>
      <c r="K193" s="59">
        <v>10231.09</v>
      </c>
      <c r="L193" s="59">
        <v>5653.8636999999999</v>
      </c>
      <c r="M193" s="5">
        <v>3243.4006399999998</v>
      </c>
      <c r="N193" s="5">
        <v>3229.3378899999998</v>
      </c>
      <c r="O193" s="5">
        <v>4655.7788899999996</v>
      </c>
      <c r="P193" s="5">
        <v>3624.0938000000001</v>
      </c>
    </row>
    <row r="194" spans="4:16" x14ac:dyDescent="0.3">
      <c r="D194" s="56">
        <v>44104</v>
      </c>
      <c r="E194" s="7">
        <v>16.7484</v>
      </c>
      <c r="F194" s="59">
        <v>8443.3799999999992</v>
      </c>
      <c r="G194" s="59">
        <v>711.21</v>
      </c>
      <c r="H194" s="59">
        <v>460.1438</v>
      </c>
      <c r="I194" s="59">
        <v>1006.3</v>
      </c>
      <c r="J194" s="59">
        <v>4775.2281000000003</v>
      </c>
      <c r="K194" s="59">
        <v>10071.563</v>
      </c>
      <c r="L194" s="59">
        <v>5574.6307800000004</v>
      </c>
      <c r="M194" s="5">
        <v>3192.6199299999998</v>
      </c>
      <c r="N194" s="5">
        <v>3220.1570000000002</v>
      </c>
      <c r="O194" s="5">
        <v>4627.1723300000003</v>
      </c>
      <c r="P194" s="5">
        <v>3616.7188500000002</v>
      </c>
    </row>
    <row r="195" spans="4:16" x14ac:dyDescent="0.3">
      <c r="D195" s="56">
        <v>44134</v>
      </c>
      <c r="E195" s="7">
        <v>16.2439</v>
      </c>
      <c r="F195" s="59">
        <v>8044.39</v>
      </c>
      <c r="G195" s="59">
        <v>717.53200000000004</v>
      </c>
      <c r="H195" s="59">
        <v>461.6481</v>
      </c>
      <c r="I195" s="59">
        <v>920.72</v>
      </c>
      <c r="J195" s="59">
        <v>4544.4171900000001</v>
      </c>
      <c r="K195" s="59">
        <v>9795.7729999999992</v>
      </c>
      <c r="L195" s="59">
        <v>5439.24845</v>
      </c>
      <c r="M195" s="5">
        <v>3092.66941</v>
      </c>
      <c r="N195" s="5">
        <v>3102.3272299999999</v>
      </c>
      <c r="O195" s="5">
        <v>4489.6732499999998</v>
      </c>
      <c r="P195" s="5">
        <v>3511.49404</v>
      </c>
    </row>
    <row r="196" spans="4:16" x14ac:dyDescent="0.3">
      <c r="D196" s="56">
        <v>44165</v>
      </c>
      <c r="E196" s="7">
        <v>15.4681</v>
      </c>
      <c r="F196" s="59">
        <v>8890.15</v>
      </c>
      <c r="G196" s="59">
        <v>740.88</v>
      </c>
      <c r="H196" s="59">
        <v>463.13310000000001</v>
      </c>
      <c r="I196" s="59">
        <v>1081.5899999999999</v>
      </c>
      <c r="J196" s="59">
        <v>4843.1975199999997</v>
      </c>
      <c r="K196" s="59">
        <v>9419.5130000000008</v>
      </c>
      <c r="L196" s="59">
        <v>5162.0743000000002</v>
      </c>
      <c r="M196" s="5">
        <v>2960.5365099999999</v>
      </c>
      <c r="N196" s="5">
        <v>2948.1938</v>
      </c>
      <c r="O196" s="5">
        <v>4328.7737800000004</v>
      </c>
      <c r="P196" s="5">
        <v>3370.14372</v>
      </c>
    </row>
    <row r="197" spans="4:16" x14ac:dyDescent="0.3">
      <c r="D197" s="56">
        <v>44196</v>
      </c>
      <c r="E197" s="7">
        <v>14.694699999999999</v>
      </c>
      <c r="F197" s="59">
        <v>9266.7800000000007</v>
      </c>
      <c r="G197" s="59">
        <v>758.95500000000004</v>
      </c>
      <c r="H197" s="59">
        <v>464.58440000000002</v>
      </c>
      <c r="I197" s="59">
        <v>1229.58</v>
      </c>
      <c r="J197" s="59">
        <v>4815.2191199999997</v>
      </c>
      <c r="K197" s="59">
        <v>9055.8539999999994</v>
      </c>
      <c r="L197" s="59">
        <v>4906.0554000000002</v>
      </c>
      <c r="M197" s="5">
        <v>2811.5876600000001</v>
      </c>
      <c r="N197" s="5">
        <v>2781.1323600000001</v>
      </c>
      <c r="O197" s="5">
        <v>4132.1798500000004</v>
      </c>
      <c r="P197" s="5">
        <v>3190.7737000000002</v>
      </c>
    </row>
    <row r="198" spans="4:16" x14ac:dyDescent="0.3">
      <c r="D198" s="56">
        <v>44225</v>
      </c>
      <c r="E198" s="7">
        <v>15.1609</v>
      </c>
      <c r="F198" s="59">
        <v>9749.19</v>
      </c>
      <c r="G198" s="59">
        <v>764.74199999999996</v>
      </c>
      <c r="H198" s="59">
        <v>465.93310000000002</v>
      </c>
      <c r="I198" s="59">
        <v>1190.08</v>
      </c>
      <c r="J198" s="59">
        <v>4965.6652899999999</v>
      </c>
      <c r="K198" s="59">
        <v>9255.0210000000006</v>
      </c>
      <c r="L198" s="59">
        <v>5084.3998799999999</v>
      </c>
      <c r="M198" s="5">
        <v>2903.5622400000002</v>
      </c>
      <c r="N198" s="5">
        <v>2857.5305499999999</v>
      </c>
      <c r="O198" s="5">
        <v>4287.6257400000004</v>
      </c>
      <c r="P198" s="5">
        <v>3303.4053800000002</v>
      </c>
    </row>
    <row r="199" spans="4:16" x14ac:dyDescent="0.3">
      <c r="D199" s="56">
        <v>44253</v>
      </c>
      <c r="E199" s="7">
        <v>15.1204</v>
      </c>
      <c r="F199" s="59">
        <v>10321.44</v>
      </c>
      <c r="G199" s="59">
        <v>765.19299999999998</v>
      </c>
      <c r="H199" s="59">
        <v>467.2353</v>
      </c>
      <c r="I199" s="59">
        <v>1292.48</v>
      </c>
      <c r="J199" s="59">
        <v>5068.8547799999997</v>
      </c>
      <c r="K199" s="59">
        <v>9011.0769999999993</v>
      </c>
      <c r="L199" s="59">
        <v>5073.8693499999999</v>
      </c>
      <c r="M199" s="5">
        <v>2885.7535499999999</v>
      </c>
      <c r="N199" s="5">
        <v>2838.1265199999998</v>
      </c>
      <c r="O199" s="5">
        <v>4288.2863200000002</v>
      </c>
      <c r="P199" s="5">
        <v>3315.9117200000001</v>
      </c>
    </row>
    <row r="200" spans="4:16" x14ac:dyDescent="0.3">
      <c r="D200" s="56">
        <v>44286</v>
      </c>
      <c r="E200" s="7">
        <v>14.7759</v>
      </c>
      <c r="F200" s="59">
        <v>10484.620000000001</v>
      </c>
      <c r="G200" s="59">
        <v>745.74800000000005</v>
      </c>
      <c r="H200" s="59">
        <v>468.77480000000003</v>
      </c>
      <c r="I200" s="59">
        <v>1308.32</v>
      </c>
      <c r="J200" s="59">
        <v>5066.3973800000003</v>
      </c>
      <c r="K200" s="59">
        <v>8596.4009999999998</v>
      </c>
      <c r="L200" s="59">
        <v>4940.9073200000003</v>
      </c>
      <c r="M200" s="5">
        <v>2822.4783000000002</v>
      </c>
      <c r="N200" s="5">
        <v>2780.9430299999999</v>
      </c>
      <c r="O200" s="5">
        <v>4197.5532599999997</v>
      </c>
      <c r="P200" s="5">
        <v>3237.2317400000002</v>
      </c>
    </row>
    <row r="201" spans="4:16" x14ac:dyDescent="0.3">
      <c r="D201" s="56">
        <v>44316</v>
      </c>
      <c r="E201" s="7">
        <v>14.494999999999999</v>
      </c>
      <c r="F201" s="59">
        <v>10585.88</v>
      </c>
      <c r="G201" s="59">
        <v>759.88900000000001</v>
      </c>
      <c r="H201" s="59">
        <v>470.18549999999999</v>
      </c>
      <c r="I201" s="59">
        <v>1461.16</v>
      </c>
      <c r="J201" s="59">
        <v>5187.3106500000004</v>
      </c>
      <c r="K201" s="59">
        <v>8525.2999999999993</v>
      </c>
      <c r="L201" s="59">
        <v>4848.4896699999999</v>
      </c>
      <c r="M201" s="5">
        <v>2777.5882900000001</v>
      </c>
      <c r="N201" s="5">
        <v>2719.3144900000002</v>
      </c>
      <c r="O201" s="5">
        <v>4188.5133299999998</v>
      </c>
      <c r="P201" s="5">
        <v>3210.2908900000002</v>
      </c>
    </row>
    <row r="202" spans="4:16" x14ac:dyDescent="0.3">
      <c r="D202" s="56">
        <v>44347</v>
      </c>
      <c r="E202" s="7">
        <v>13.737299999999999</v>
      </c>
      <c r="F202" s="59">
        <v>10751.35</v>
      </c>
      <c r="G202" s="59">
        <v>788.25400000000002</v>
      </c>
      <c r="H202" s="59">
        <v>471.66059999999999</v>
      </c>
      <c r="I202" s="59">
        <v>1419.14</v>
      </c>
      <c r="J202" s="59">
        <v>5000.2935500000003</v>
      </c>
      <c r="K202" s="59">
        <v>8156.7920000000004</v>
      </c>
      <c r="L202" s="59">
        <v>4603.4424099999997</v>
      </c>
      <c r="M202" s="5">
        <v>2643.9672500000001</v>
      </c>
      <c r="N202" s="5">
        <v>2593.2350999999999</v>
      </c>
      <c r="O202" s="5">
        <v>4007.3052400000001</v>
      </c>
      <c r="P202" s="5">
        <v>3052.9570899999999</v>
      </c>
    </row>
    <row r="203" spans="4:16" x14ac:dyDescent="0.3">
      <c r="D203" s="56">
        <v>44377</v>
      </c>
      <c r="E203" s="7">
        <v>14.285399999999999</v>
      </c>
      <c r="F203" s="59">
        <v>10489.74</v>
      </c>
      <c r="G203" s="59">
        <v>796.87099999999998</v>
      </c>
      <c r="H203" s="59">
        <v>473.10219999999998</v>
      </c>
      <c r="I203" s="59">
        <v>1466.91</v>
      </c>
      <c r="J203" s="59">
        <v>5276.9229999999998</v>
      </c>
      <c r="K203" s="59">
        <v>8426.6119999999992</v>
      </c>
      <c r="L203" s="59">
        <v>4795.5501700000004</v>
      </c>
      <c r="M203" s="5">
        <v>2757.7814100000001</v>
      </c>
      <c r="N203" s="5">
        <v>2685.28206</v>
      </c>
      <c r="O203" s="5">
        <v>4168.8221400000002</v>
      </c>
      <c r="P203" s="5">
        <v>3122.43858</v>
      </c>
    </row>
  </sheetData>
  <pageMargins left="0.7" right="0.7" top="0.75" bottom="0.75" header="0.3" footer="0.3"/>
  <pageSetup paperSize="9" orientation="portrait" r:id="rId1"/>
  <headerFooter>
    <oddFooter>&amp;LINTERNAL</oddFooter>
    <evenFooter>&amp;LINTERNAL</evenFooter>
    <firstFooter>&amp;LINTERNAL</first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5057" r:id="rId4" name="Button 1">
              <controlPr defaultSize="0" print="0" autoFill="0" autoPict="0" macro="[0]!BBG_GENERAL_HIST_DATA_UPDATE_MATCH_DATES_FX">
                <anchor moveWithCells="1" sizeWithCells="1">
                  <from>
                    <xdr:col>0</xdr:col>
                    <xdr:colOff>38100</xdr:colOff>
                    <xdr:row>9</xdr:row>
                    <xdr:rowOff>25400</xdr:rowOff>
                  </from>
                  <to>
                    <xdr:col>1</xdr:col>
                    <xdr:colOff>793750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AD049-9EBE-484E-A2C3-651397C4E6B4}">
  <sheetPr codeName="Sheet5">
    <tabColor rgb="FF00B050"/>
  </sheetPr>
  <dimension ref="A1:Y31"/>
  <sheetViews>
    <sheetView workbookViewId="0">
      <selection activeCell="E12" sqref="E12:E13"/>
    </sheetView>
  </sheetViews>
  <sheetFormatPr defaultRowHeight="14.5" x14ac:dyDescent="0.35"/>
  <cols>
    <col min="1" max="1" width="26.6328125" customWidth="1"/>
  </cols>
  <sheetData>
    <row r="1" spans="1:25" x14ac:dyDescent="0.35">
      <c r="B1" t="s">
        <v>1280</v>
      </c>
      <c r="C1" t="s">
        <v>1293</v>
      </c>
      <c r="D1" t="s">
        <v>1284</v>
      </c>
      <c r="E1" t="s">
        <v>1278</v>
      </c>
      <c r="F1" t="s">
        <v>1277</v>
      </c>
      <c r="G1" t="s">
        <v>1276</v>
      </c>
      <c r="H1" t="s">
        <v>1282</v>
      </c>
      <c r="I1" t="s">
        <v>1283</v>
      </c>
      <c r="J1" t="s">
        <v>1286</v>
      </c>
      <c r="K1" t="s">
        <v>1287</v>
      </c>
      <c r="L1" t="s">
        <v>1298</v>
      </c>
      <c r="M1" t="s">
        <v>1298</v>
      </c>
      <c r="N1" t="s">
        <v>1292</v>
      </c>
      <c r="O1" t="s">
        <v>1279</v>
      </c>
      <c r="P1" t="s">
        <v>1285</v>
      </c>
      <c r="Q1" t="s">
        <v>1288</v>
      </c>
      <c r="R1" t="s">
        <v>1289</v>
      </c>
      <c r="S1" t="s">
        <v>1290</v>
      </c>
      <c r="T1" t="s">
        <v>1297</v>
      </c>
      <c r="U1" t="s">
        <v>1291</v>
      </c>
      <c r="V1" t="s">
        <v>1296</v>
      </c>
      <c r="W1" t="s">
        <v>1281</v>
      </c>
      <c r="X1" t="s">
        <v>1295</v>
      </c>
      <c r="Y1" t="s">
        <v>1294</v>
      </c>
    </row>
    <row r="2" spans="1:25" s="63" customFormat="1" x14ac:dyDescent="0.35">
      <c r="A2" s="65" t="s">
        <v>1301</v>
      </c>
      <c r="B2" s="63">
        <v>0.10496050263372514</v>
      </c>
      <c r="C2" s="63">
        <v>9.1727878768884968E-2</v>
      </c>
      <c r="D2" s="63">
        <v>6.773752268466135E-2</v>
      </c>
      <c r="E2" s="63">
        <v>0.15462520808903224</v>
      </c>
      <c r="F2" s="63">
        <v>0.10767891500106581</v>
      </c>
      <c r="G2" s="63">
        <v>0.1261880801242497</v>
      </c>
      <c r="H2" s="63">
        <v>0.15361698112179503</v>
      </c>
      <c r="I2" s="63">
        <v>0.14352270753592603</v>
      </c>
      <c r="J2" s="63">
        <v>0.10007491361117803</v>
      </c>
      <c r="K2" s="63">
        <v>3.2672850230224995E-2</v>
      </c>
      <c r="L2" s="63">
        <v>6.9993074612144032E-2</v>
      </c>
      <c r="M2" s="63">
        <v>0.13356053524013545</v>
      </c>
      <c r="N2" s="63">
        <v>0.13950561850949958</v>
      </c>
      <c r="O2" s="63">
        <v>0.14361306453179928</v>
      </c>
      <c r="P2" s="63">
        <v>0.12845984797764631</v>
      </c>
      <c r="Q2" s="63">
        <v>0.12453786534775071</v>
      </c>
      <c r="R2" s="63">
        <v>0.13730098923156842</v>
      </c>
      <c r="S2" s="63">
        <v>0.15490568465438612</v>
      </c>
      <c r="T2" s="63">
        <v>0.1755323867931057</v>
      </c>
      <c r="U2" s="63">
        <v>0.16244597279820369</v>
      </c>
      <c r="V2" s="63">
        <v>9.9482721534286098E-2</v>
      </c>
      <c r="W2" s="63">
        <v>0.1485588650281548</v>
      </c>
      <c r="X2" s="63">
        <v>-1.7109265392698317E-2</v>
      </c>
      <c r="Y2" s="63">
        <v>8.9766981474767207E-2</v>
      </c>
    </row>
    <row r="3" spans="1:25" s="63" customFormat="1" x14ac:dyDescent="0.35">
      <c r="A3" s="65" t="s">
        <v>1302</v>
      </c>
      <c r="B3" s="63">
        <v>0.19162095559458733</v>
      </c>
      <c r="C3" s="63">
        <v>0.1016297028564961</v>
      </c>
      <c r="D3" s="63">
        <v>3.2118226091133746E-2</v>
      </c>
      <c r="E3" s="63">
        <v>0.17457535813916189</v>
      </c>
      <c r="F3" s="63">
        <v>0.16898009776726086</v>
      </c>
      <c r="G3" s="63">
        <v>0.17592602454615125</v>
      </c>
      <c r="H3" s="63">
        <v>0.16056029771232541</v>
      </c>
      <c r="I3" s="63">
        <v>0.14821475162102535</v>
      </c>
      <c r="J3" s="63">
        <v>0.20364003489097132</v>
      </c>
      <c r="K3" s="63">
        <v>0.30680253962994408</v>
      </c>
      <c r="L3" s="63">
        <v>0.22743073869486916</v>
      </c>
      <c r="M3" s="63">
        <v>0.1845022892827152</v>
      </c>
      <c r="N3" s="63">
        <v>0.17869543683207637</v>
      </c>
      <c r="O3" s="63">
        <v>0.17223717391154586</v>
      </c>
      <c r="P3" s="63">
        <v>0.19994980506147275</v>
      </c>
      <c r="Q3" s="63">
        <v>0.17864747462552152</v>
      </c>
      <c r="R3" s="63">
        <v>0.17327469075997823</v>
      </c>
      <c r="S3" s="63">
        <v>0.1554502335709004</v>
      </c>
      <c r="T3" s="63">
        <v>0.16588263233063955</v>
      </c>
      <c r="U3" s="63">
        <v>0.16748542326691762</v>
      </c>
      <c r="V3" s="63">
        <v>0.11215483081628787</v>
      </c>
      <c r="W3" s="63">
        <v>0.20734258203341152</v>
      </c>
      <c r="X3" s="63">
        <v>0.17006639601481516</v>
      </c>
      <c r="Y3" s="63">
        <v>0.17435301625440994</v>
      </c>
    </row>
    <row r="4" spans="1:25" s="63" customFormat="1" x14ac:dyDescent="0.35">
      <c r="A4" s="65" t="s">
        <v>1303</v>
      </c>
      <c r="B4" s="63">
        <v>0.18624043585411196</v>
      </c>
      <c r="C4" s="63">
        <v>0.10732776260339708</v>
      </c>
      <c r="D4" s="63">
        <v>3.2649723522348684E-2</v>
      </c>
      <c r="E4" s="63">
        <v>0.17784208180796876</v>
      </c>
      <c r="F4" s="63">
        <v>0.16339121921795693</v>
      </c>
      <c r="G4" s="63">
        <v>0.16949792555082649</v>
      </c>
      <c r="H4" s="63">
        <v>0.15648099326760243</v>
      </c>
      <c r="I4" s="63">
        <v>0.14913877923788432</v>
      </c>
      <c r="J4" s="63">
        <v>0.2374457863339075</v>
      </c>
      <c r="K4" s="63">
        <v>0.29830129395803157</v>
      </c>
      <c r="L4" s="63">
        <v>0.24465310612329164</v>
      </c>
      <c r="M4" s="63">
        <v>0.1842643789005001</v>
      </c>
      <c r="N4" s="63">
        <v>0.18022389437749578</v>
      </c>
      <c r="O4" s="63">
        <v>0.17560479172921106</v>
      </c>
      <c r="P4" s="63">
        <v>0.20813722454909916</v>
      </c>
      <c r="Q4" s="63">
        <v>0.17271621846968899</v>
      </c>
      <c r="R4" s="63">
        <v>0.16643250612903704</v>
      </c>
      <c r="S4" s="63">
        <v>0.15255772504029913</v>
      </c>
      <c r="T4" s="63">
        <v>0.15998334954009277</v>
      </c>
      <c r="U4" s="63">
        <v>0.16157576870174953</v>
      </c>
      <c r="V4" s="63">
        <v>0.11249923085500807</v>
      </c>
      <c r="W4" s="63">
        <v>0.19721176323193021</v>
      </c>
      <c r="X4" s="63">
        <v>0.16489042607159782</v>
      </c>
      <c r="Y4" s="63">
        <v>0.1687613479929112</v>
      </c>
    </row>
    <row r="7" spans="1:25" x14ac:dyDescent="0.35">
      <c r="B7" t="s">
        <v>1280</v>
      </c>
      <c r="C7" t="s">
        <v>1293</v>
      </c>
      <c r="D7" t="s">
        <v>1284</v>
      </c>
      <c r="E7" t="s">
        <v>1278</v>
      </c>
      <c r="F7" t="s">
        <v>1277</v>
      </c>
      <c r="G7" t="s">
        <v>1276</v>
      </c>
      <c r="H7" t="s">
        <v>1282</v>
      </c>
      <c r="I7" t="s">
        <v>1283</v>
      </c>
      <c r="J7" t="s">
        <v>1286</v>
      </c>
      <c r="K7" t="s">
        <v>1287</v>
      </c>
      <c r="L7" t="s">
        <v>1298</v>
      </c>
      <c r="M7" t="s">
        <v>1298</v>
      </c>
      <c r="N7" t="s">
        <v>1292</v>
      </c>
      <c r="O7" t="s">
        <v>1279</v>
      </c>
      <c r="P7" t="s">
        <v>1285</v>
      </c>
      <c r="Q7" t="s">
        <v>1288</v>
      </c>
      <c r="R7" t="s">
        <v>1289</v>
      </c>
      <c r="S7" t="s">
        <v>1290</v>
      </c>
      <c r="T7" t="s">
        <v>1297</v>
      </c>
      <c r="U7" t="s">
        <v>1291</v>
      </c>
      <c r="V7" t="s">
        <v>1296</v>
      </c>
      <c r="W7" t="s">
        <v>1281</v>
      </c>
      <c r="X7" t="s">
        <v>1295</v>
      </c>
      <c r="Y7" t="s">
        <v>1294</v>
      </c>
    </row>
    <row r="8" spans="1:25" x14ac:dyDescent="0.35">
      <c r="A8" t="s">
        <v>1280</v>
      </c>
      <c r="B8" s="64">
        <v>1</v>
      </c>
      <c r="C8" s="64">
        <v>0.32240725520885144</v>
      </c>
      <c r="D8" s="64">
        <v>0.22164534206391759</v>
      </c>
      <c r="E8" s="64">
        <v>0.44210349522835457</v>
      </c>
      <c r="F8" s="64">
        <v>0.68245977892188281</v>
      </c>
      <c r="G8" s="64">
        <v>-0.41794919285065663</v>
      </c>
      <c r="H8" s="64">
        <v>-8.6471213574862177E-2</v>
      </c>
      <c r="I8" s="64">
        <v>-8.8692047624009535E-2</v>
      </c>
      <c r="J8" s="64">
        <v>0.55913092957196298</v>
      </c>
      <c r="K8" s="64">
        <v>0.73516472941872446</v>
      </c>
      <c r="L8" s="64">
        <v>0.75236132251188792</v>
      </c>
      <c r="M8" s="64">
        <v>0.8081419962079629</v>
      </c>
      <c r="N8" s="64">
        <v>-0.35154004251532067</v>
      </c>
      <c r="O8" s="64">
        <v>0.52163309168357752</v>
      </c>
      <c r="P8" s="64">
        <v>0.54452620449656597</v>
      </c>
      <c r="Q8" s="64">
        <v>-0.43716216039508937</v>
      </c>
      <c r="R8" s="64">
        <v>-0.35871540355144504</v>
      </c>
      <c r="S8" s="64">
        <v>-8.8968099490328578E-2</v>
      </c>
      <c r="T8" s="64">
        <v>-0.12557234548709753</v>
      </c>
      <c r="U8" s="64">
        <v>-9.5806630277857519E-2</v>
      </c>
      <c r="V8" s="64">
        <v>4.8249426254762896E-2</v>
      </c>
      <c r="W8" s="64">
        <v>-0.25656790093743032</v>
      </c>
      <c r="X8" s="64">
        <v>0.13135662986528548</v>
      </c>
      <c r="Y8" s="64">
        <v>-0.41325236163022666</v>
      </c>
    </row>
    <row r="9" spans="1:25" x14ac:dyDescent="0.35">
      <c r="A9" t="s">
        <v>1293</v>
      </c>
      <c r="B9" s="64">
        <v>0.32240725520885144</v>
      </c>
      <c r="C9" s="64">
        <v>1</v>
      </c>
      <c r="D9" s="64">
        <v>5.3597287937896351E-2</v>
      </c>
      <c r="E9" s="64">
        <v>-7.895388793196137E-2</v>
      </c>
      <c r="F9" s="64">
        <v>9.1262841696977459E-2</v>
      </c>
      <c r="G9" s="64">
        <v>-0.41939017055159683</v>
      </c>
      <c r="H9" s="64">
        <v>-0.3272737194158315</v>
      </c>
      <c r="I9" s="64">
        <v>-0.31971045864415726</v>
      </c>
      <c r="J9" s="64">
        <v>0.26747455151799721</v>
      </c>
      <c r="K9" s="64">
        <v>0.24262202540294237</v>
      </c>
      <c r="L9" s="64">
        <v>0.33620909880670447</v>
      </c>
      <c r="M9" s="64">
        <v>0.26518318120977502</v>
      </c>
      <c r="N9" s="64">
        <v>-0.38169610694223455</v>
      </c>
      <c r="O9" s="64">
        <v>-3.7336537746540124E-2</v>
      </c>
      <c r="P9" s="64">
        <v>2.1387335610192328E-2</v>
      </c>
      <c r="Q9" s="64">
        <v>-0.42115744919274317</v>
      </c>
      <c r="R9" s="64">
        <v>-0.40668466954073762</v>
      </c>
      <c r="S9" s="64">
        <v>-0.33173828128663213</v>
      </c>
      <c r="T9" s="64">
        <v>-0.33797289122613872</v>
      </c>
      <c r="U9" s="64">
        <v>-0.3260521513040498</v>
      </c>
      <c r="V9" s="64">
        <v>-0.24900762805111712</v>
      </c>
      <c r="W9" s="64">
        <v>-0.26522005627876205</v>
      </c>
      <c r="X9" s="64">
        <v>-0.17246555061869329</v>
      </c>
      <c r="Y9" s="64">
        <v>-0.41675204100938462</v>
      </c>
    </row>
    <row r="10" spans="1:25" x14ac:dyDescent="0.35">
      <c r="A10" t="s">
        <v>1284</v>
      </c>
      <c r="B10" s="64">
        <v>0.22164534206391756</v>
      </c>
      <c r="C10" s="64">
        <v>5.3597287937896337E-2</v>
      </c>
      <c r="D10" s="64">
        <v>1</v>
      </c>
      <c r="E10" s="64">
        <v>0.17225813617723612</v>
      </c>
      <c r="F10" s="64">
        <v>0.20884126413863419</v>
      </c>
      <c r="G10" s="64">
        <v>-3.0571767868465251E-2</v>
      </c>
      <c r="H10" s="64">
        <v>5.8068736584120151E-2</v>
      </c>
      <c r="I10" s="64">
        <v>5.5284594200340251E-2</v>
      </c>
      <c r="J10" s="64">
        <v>0.11950543441983427</v>
      </c>
      <c r="K10" s="64">
        <v>0.18633097201282769</v>
      </c>
      <c r="L10" s="64">
        <v>0.16715153502068913</v>
      </c>
      <c r="M10" s="64">
        <v>0.20523520835815598</v>
      </c>
      <c r="N10" s="64">
        <v>-1.7964982512237694E-2</v>
      </c>
      <c r="O10" s="64">
        <v>0.18829985249841127</v>
      </c>
      <c r="P10" s="64">
        <v>0.18040205453431138</v>
      </c>
      <c r="Q10" s="64">
        <v>-3.6666896285965048E-2</v>
      </c>
      <c r="R10" s="64">
        <v>-1.3727192937056439E-2</v>
      </c>
      <c r="S10" s="64">
        <v>5.8410649340493247E-2</v>
      </c>
      <c r="T10" s="64">
        <v>4.756796722006814E-2</v>
      </c>
      <c r="U10" s="64">
        <v>5.4550671574119469E-2</v>
      </c>
      <c r="V10" s="64">
        <v>8.3163176413390785E-2</v>
      </c>
      <c r="W10" s="64">
        <v>-1.6687819050279645E-2</v>
      </c>
      <c r="X10" s="64">
        <v>9.1076846776798059E-2</v>
      </c>
      <c r="Y10" s="64">
        <v>-2.9673293479197071E-2</v>
      </c>
    </row>
    <row r="11" spans="1:25" x14ac:dyDescent="0.35">
      <c r="A11" t="s">
        <v>1278</v>
      </c>
      <c r="B11" s="64">
        <v>0.44210349522835457</v>
      </c>
      <c r="C11" s="64">
        <v>-7.895388793196137E-2</v>
      </c>
      <c r="D11" s="64">
        <v>0.17225813617723615</v>
      </c>
      <c r="E11" s="64">
        <v>1</v>
      </c>
      <c r="F11" s="64">
        <v>0.7125310351142401</v>
      </c>
      <c r="G11" s="64">
        <v>0.46115804389292969</v>
      </c>
      <c r="H11" s="64">
        <v>0.689241057597065</v>
      </c>
      <c r="I11" s="64">
        <v>0.6675146263218128</v>
      </c>
      <c r="J11" s="64">
        <v>0.10796098141716305</v>
      </c>
      <c r="K11" s="64">
        <v>0.41123861834541903</v>
      </c>
      <c r="L11" s="64">
        <v>0.20379443404177161</v>
      </c>
      <c r="M11" s="64">
        <v>0.45582155445224759</v>
      </c>
      <c r="N11" s="64">
        <v>0.459345623729843</v>
      </c>
      <c r="O11" s="64">
        <v>0.80904101259265171</v>
      </c>
      <c r="P11" s="64">
        <v>0.69550626672052585</v>
      </c>
      <c r="Q11" s="64">
        <v>0.439110931514613</v>
      </c>
      <c r="R11" s="64">
        <v>0.5111834110370016</v>
      </c>
      <c r="S11" s="64">
        <v>0.69683338362490055</v>
      </c>
      <c r="T11" s="64">
        <v>0.66192392406099054</v>
      </c>
      <c r="U11" s="64">
        <v>0.67339577676529561</v>
      </c>
      <c r="V11" s="64">
        <v>0.68113326539583885</v>
      </c>
      <c r="W11" s="64">
        <v>0.3022689892482362</v>
      </c>
      <c r="X11" s="64">
        <v>0.606352552210636</v>
      </c>
      <c r="Y11" s="64">
        <v>0.46109410172379256</v>
      </c>
    </row>
    <row r="12" spans="1:25" x14ac:dyDescent="0.35">
      <c r="A12" t="s">
        <v>1277</v>
      </c>
      <c r="B12" s="64">
        <v>0.68245977892188281</v>
      </c>
      <c r="C12" s="64">
        <v>9.1262841696977418E-2</v>
      </c>
      <c r="D12" s="64">
        <v>0.20884126413863421</v>
      </c>
      <c r="E12" s="64">
        <v>0.7125310351142401</v>
      </c>
      <c r="F12" s="64">
        <v>1</v>
      </c>
      <c r="G12" s="64">
        <v>0.11309896449586287</v>
      </c>
      <c r="H12" s="64">
        <v>0.40637981608639151</v>
      </c>
      <c r="I12" s="64">
        <v>0.39138834228479286</v>
      </c>
      <c r="J12" s="64">
        <v>0.31620630806210615</v>
      </c>
      <c r="K12" s="64">
        <v>0.58943144948841486</v>
      </c>
      <c r="L12" s="64">
        <v>0.46322771764020998</v>
      </c>
      <c r="M12" s="64">
        <v>0.65036767251459404</v>
      </c>
      <c r="N12" s="64">
        <v>0.14121647651534652</v>
      </c>
      <c r="O12" s="64">
        <v>0.75181890332065571</v>
      </c>
      <c r="P12" s="64">
        <v>0.68869260485710559</v>
      </c>
      <c r="Q12" s="64">
        <v>9.040661311947977E-2</v>
      </c>
      <c r="R12" s="64">
        <v>0.17148392932480891</v>
      </c>
      <c r="S12" s="64">
        <v>0.4101752295025024</v>
      </c>
      <c r="T12" s="64">
        <v>0.37151837528665915</v>
      </c>
      <c r="U12" s="64">
        <v>0.39204373225723677</v>
      </c>
      <c r="V12" s="64">
        <v>0.46056313222445627</v>
      </c>
      <c r="W12" s="64">
        <v>8.1795713314187835E-2</v>
      </c>
      <c r="X12" s="64">
        <v>0.44898520112271012</v>
      </c>
      <c r="Y12" s="64">
        <v>0.115128746522019</v>
      </c>
    </row>
    <row r="13" spans="1:25" x14ac:dyDescent="0.35">
      <c r="A13" t="s">
        <v>1276</v>
      </c>
      <c r="B13" s="64">
        <v>-0.41794919285065663</v>
      </c>
      <c r="C13" s="64">
        <v>-0.41939017055159689</v>
      </c>
      <c r="D13" s="64">
        <v>-3.0571767868465272E-2</v>
      </c>
      <c r="E13" s="64">
        <v>0.46115804389292969</v>
      </c>
      <c r="F13" s="64">
        <v>0.11309896449586279</v>
      </c>
      <c r="G13" s="64">
        <v>1</v>
      </c>
      <c r="H13" s="64">
        <v>0.87258524914942692</v>
      </c>
      <c r="I13" s="64">
        <v>0.8501372021727972</v>
      </c>
      <c r="J13" s="64">
        <v>-0.44869878756926024</v>
      </c>
      <c r="K13" s="64">
        <v>-0.2835760450140678</v>
      </c>
      <c r="L13" s="64">
        <v>-0.53717854761079187</v>
      </c>
      <c r="M13" s="64">
        <v>-0.30744653699491681</v>
      </c>
      <c r="N13" s="64">
        <v>0.88196794552442215</v>
      </c>
      <c r="O13" s="64">
        <v>0.38729909426268616</v>
      </c>
      <c r="P13" s="64">
        <v>0.23472175230550349</v>
      </c>
      <c r="Q13" s="64">
        <v>0.94637192873380271</v>
      </c>
      <c r="R13" s="64">
        <v>0.94825221356880374</v>
      </c>
      <c r="S13" s="64">
        <v>0.88378164868488351</v>
      </c>
      <c r="T13" s="64">
        <v>0.88147634746764747</v>
      </c>
      <c r="U13" s="64">
        <v>0.86410190598536063</v>
      </c>
      <c r="V13" s="64">
        <v>0.72565362828676039</v>
      </c>
      <c r="W13" s="64">
        <v>0.6061721924597413</v>
      </c>
      <c r="X13" s="64">
        <v>0.55562026740378623</v>
      </c>
      <c r="Y13" s="64">
        <v>0.94702651954723205</v>
      </c>
    </row>
    <row r="14" spans="1:25" x14ac:dyDescent="0.35">
      <c r="A14" t="s">
        <v>1282</v>
      </c>
      <c r="B14" s="64">
        <v>-8.6471213574862177E-2</v>
      </c>
      <c r="C14" s="64">
        <v>-0.3272737194158315</v>
      </c>
      <c r="D14" s="64">
        <v>5.8068736584120151E-2</v>
      </c>
      <c r="E14" s="64">
        <v>0.689241057597065</v>
      </c>
      <c r="F14" s="64">
        <v>0.40637981608639145</v>
      </c>
      <c r="G14" s="64">
        <v>0.87258524914942692</v>
      </c>
      <c r="H14" s="64">
        <v>1</v>
      </c>
      <c r="I14" s="64">
        <v>0.89695778409137294</v>
      </c>
      <c r="J14" s="64">
        <v>-0.26158334870356165</v>
      </c>
      <c r="K14" s="64">
        <v>-7.4612326073076251E-3</v>
      </c>
      <c r="L14" s="64">
        <v>-0.27885887038171381</v>
      </c>
      <c r="M14" s="64">
        <v>-3.5028685555436494E-3</v>
      </c>
      <c r="N14" s="64">
        <v>0.8232349892613986</v>
      </c>
      <c r="O14" s="64">
        <v>0.64101271454401354</v>
      </c>
      <c r="P14" s="64">
        <v>0.48291637426464407</v>
      </c>
      <c r="Q14" s="64">
        <v>0.85867014297118005</v>
      </c>
      <c r="R14" s="64">
        <v>0.89309602224467799</v>
      </c>
      <c r="S14" s="64">
        <v>0.93378743779016704</v>
      </c>
      <c r="T14" s="64">
        <v>0.9161240261063297</v>
      </c>
      <c r="U14" s="64">
        <v>0.90935127764121204</v>
      </c>
      <c r="V14" s="64">
        <v>0.81686871722467391</v>
      </c>
      <c r="W14" s="64">
        <v>0.55962115282378533</v>
      </c>
      <c r="X14" s="64">
        <v>0.66449787615152622</v>
      </c>
      <c r="Y14" s="64">
        <v>0.86918060668190633</v>
      </c>
    </row>
    <row r="15" spans="1:25" x14ac:dyDescent="0.35">
      <c r="A15" t="s">
        <v>1283</v>
      </c>
      <c r="B15" s="64">
        <v>-8.8692047624009535E-2</v>
      </c>
      <c r="C15" s="64">
        <v>-0.31971045864415726</v>
      </c>
      <c r="D15" s="64">
        <v>5.5284594200340251E-2</v>
      </c>
      <c r="E15" s="64">
        <v>0.6675146263218128</v>
      </c>
      <c r="F15" s="64">
        <v>0.3913883422847928</v>
      </c>
      <c r="G15" s="64">
        <v>0.8501372021727972</v>
      </c>
      <c r="H15" s="64">
        <v>0.89695778409137283</v>
      </c>
      <c r="I15" s="64">
        <v>1</v>
      </c>
      <c r="J15" s="64">
        <v>-0.25709718109510399</v>
      </c>
      <c r="K15" s="64">
        <v>-1.1052955586379358E-2</v>
      </c>
      <c r="L15" s="64">
        <v>-0.27488480730920201</v>
      </c>
      <c r="M15" s="64">
        <v>-7.5836610828613708E-3</v>
      </c>
      <c r="N15" s="64">
        <v>0.80183388682986545</v>
      </c>
      <c r="O15" s="64">
        <v>0.62023522619053839</v>
      </c>
      <c r="P15" s="64">
        <v>0.46647957080038172</v>
      </c>
      <c r="Q15" s="64">
        <v>0.83671138391706579</v>
      </c>
      <c r="R15" s="64">
        <v>0.86976128372652539</v>
      </c>
      <c r="S15" s="64">
        <v>0.90791026947203224</v>
      </c>
      <c r="T15" s="64">
        <v>0.89093433623353002</v>
      </c>
      <c r="U15" s="64">
        <v>0.88419865900727868</v>
      </c>
      <c r="V15" s="64">
        <v>0.79357951380615299</v>
      </c>
      <c r="W15" s="64">
        <v>0.54516405923818179</v>
      </c>
      <c r="X15" s="64">
        <v>0.64507645728582919</v>
      </c>
      <c r="Y15" s="64">
        <v>0.84680265133030441</v>
      </c>
    </row>
    <row r="16" spans="1:25" x14ac:dyDescent="0.35">
      <c r="A16" t="s">
        <v>1286</v>
      </c>
      <c r="B16" s="64">
        <v>0.55913092957196298</v>
      </c>
      <c r="C16" s="64">
        <v>0.26747455151799721</v>
      </c>
      <c r="D16" s="64">
        <v>0.11950543441983429</v>
      </c>
      <c r="E16" s="64">
        <v>0.10796098141716302</v>
      </c>
      <c r="F16" s="64">
        <v>0.3162063080621062</v>
      </c>
      <c r="G16" s="64">
        <v>-0.44869878756926029</v>
      </c>
      <c r="H16" s="64">
        <v>-0.2615833487035617</v>
      </c>
      <c r="I16" s="64">
        <v>-0.25709718109510404</v>
      </c>
      <c r="J16" s="64">
        <v>1</v>
      </c>
      <c r="K16" s="64">
        <v>0.44188229998853179</v>
      </c>
      <c r="L16" s="64">
        <v>0.51390195557387697</v>
      </c>
      <c r="M16" s="64">
        <v>0.48467775162882765</v>
      </c>
      <c r="N16" s="64">
        <v>-0.39771285999268874</v>
      </c>
      <c r="O16" s="64">
        <v>0.16654833279272338</v>
      </c>
      <c r="P16" s="64">
        <v>0.21621108531823274</v>
      </c>
      <c r="Q16" s="64">
        <v>-0.45703907153745871</v>
      </c>
      <c r="R16" s="64">
        <v>-0.41789755844623028</v>
      </c>
      <c r="S16" s="64">
        <v>-0.26563849676145024</v>
      </c>
      <c r="T16" s="64">
        <v>-0.28353844441077858</v>
      </c>
      <c r="U16" s="64">
        <v>-0.26417569825224696</v>
      </c>
      <c r="V16" s="64">
        <v>-0.15688804846071791</v>
      </c>
      <c r="W16" s="64">
        <v>-0.28089475030780758</v>
      </c>
      <c r="X16" s="64">
        <v>-7.2473785029928392E-2</v>
      </c>
      <c r="Y16" s="64">
        <v>-0.44511288907188068</v>
      </c>
    </row>
    <row r="17" spans="1:25" x14ac:dyDescent="0.35">
      <c r="A17" t="s">
        <v>1287</v>
      </c>
      <c r="B17" s="64">
        <v>0.73516472941872446</v>
      </c>
      <c r="C17" s="64">
        <v>0.24262202540294237</v>
      </c>
      <c r="D17" s="64">
        <v>0.18633097201282772</v>
      </c>
      <c r="E17" s="64">
        <v>0.41123861834541897</v>
      </c>
      <c r="F17" s="64">
        <v>0.58943144948841486</v>
      </c>
      <c r="G17" s="64">
        <v>-0.2835760450140678</v>
      </c>
      <c r="H17" s="64">
        <v>-7.461232607307639E-3</v>
      </c>
      <c r="I17" s="64">
        <v>-1.1052955586379368E-2</v>
      </c>
      <c r="J17" s="64">
        <v>0.44188229998853179</v>
      </c>
      <c r="K17" s="64">
        <v>1</v>
      </c>
      <c r="L17" s="64">
        <v>0.599639474159117</v>
      </c>
      <c r="M17" s="64">
        <v>0.66452805621477573</v>
      </c>
      <c r="N17" s="64">
        <v>-0.23235719502517926</v>
      </c>
      <c r="O17" s="64">
        <v>0.47333035104443733</v>
      </c>
      <c r="P17" s="64">
        <v>0.48125085680231844</v>
      </c>
      <c r="Q17" s="64">
        <v>-0.30034540721506614</v>
      </c>
      <c r="R17" s="64">
        <v>-0.23343864805130854</v>
      </c>
      <c r="S17" s="64">
        <v>-8.7381205119112654E-3</v>
      </c>
      <c r="T17" s="64">
        <v>-4.0067524055766218E-2</v>
      </c>
      <c r="U17" s="64">
        <v>-1.6049977412286056E-2</v>
      </c>
      <c r="V17" s="64">
        <v>9.6066375355333036E-2</v>
      </c>
      <c r="W17" s="64">
        <v>-0.1724275515341426</v>
      </c>
      <c r="X17" s="64">
        <v>0.15391357009782816</v>
      </c>
      <c r="Y17" s="64">
        <v>-0.2799504138171991</v>
      </c>
    </row>
    <row r="18" spans="1:25" x14ac:dyDescent="0.35">
      <c r="A18" t="s">
        <v>1298</v>
      </c>
      <c r="B18" s="64">
        <v>0.75236132251188792</v>
      </c>
      <c r="C18" s="64">
        <v>0.33620909880670447</v>
      </c>
      <c r="D18" s="64">
        <v>0.16715153502068916</v>
      </c>
      <c r="E18" s="64">
        <v>0.20379443404177161</v>
      </c>
      <c r="F18" s="64">
        <v>0.46322771764020998</v>
      </c>
      <c r="G18" s="64">
        <v>-0.53717854761079187</v>
      </c>
      <c r="H18" s="64">
        <v>-0.27885887038171381</v>
      </c>
      <c r="I18" s="64">
        <v>-0.27488480730920206</v>
      </c>
      <c r="J18" s="64">
        <v>0.51390195557387697</v>
      </c>
      <c r="K18" s="64">
        <v>0.599639474159117</v>
      </c>
      <c r="L18" s="64">
        <v>1</v>
      </c>
      <c r="M18" s="64">
        <v>0.65810146490026411</v>
      </c>
      <c r="N18" s="64">
        <v>-0.472010480943166</v>
      </c>
      <c r="O18" s="64">
        <v>0.27938197007103233</v>
      </c>
      <c r="P18" s="64">
        <v>0.33373803316323458</v>
      </c>
      <c r="Q18" s="64">
        <v>-0.5496626863406866</v>
      </c>
      <c r="R18" s="64">
        <v>-0.49363816748879213</v>
      </c>
      <c r="S18" s="64">
        <v>-0.28343418400551423</v>
      </c>
      <c r="T18" s="64">
        <v>-0.30921401055945441</v>
      </c>
      <c r="U18" s="64">
        <v>-0.28347290591726171</v>
      </c>
      <c r="V18" s="64">
        <v>-0.1453990505970183</v>
      </c>
      <c r="W18" s="64">
        <v>-0.33517734344293204</v>
      </c>
      <c r="X18" s="64">
        <v>-4.3361480269404562E-2</v>
      </c>
      <c r="Y18" s="64">
        <v>-0.532590328270928</v>
      </c>
    </row>
    <row r="19" spans="1:25" x14ac:dyDescent="0.35">
      <c r="A19" t="s">
        <v>1298</v>
      </c>
      <c r="B19" s="64">
        <v>0.8081419962079629</v>
      </c>
      <c r="C19" s="64">
        <v>0.26518318120977508</v>
      </c>
      <c r="D19" s="64">
        <v>0.20523520835815603</v>
      </c>
      <c r="E19" s="64">
        <v>0.45582155445224765</v>
      </c>
      <c r="F19" s="64">
        <v>0.65036767251459404</v>
      </c>
      <c r="G19" s="64">
        <v>-0.30744653699491681</v>
      </c>
      <c r="H19" s="64">
        <v>-3.5028685555436446E-3</v>
      </c>
      <c r="I19" s="64">
        <v>-7.5836610828613612E-3</v>
      </c>
      <c r="J19" s="64">
        <v>0.4846777516288277</v>
      </c>
      <c r="K19" s="64">
        <v>0.66452805621477573</v>
      </c>
      <c r="L19" s="64">
        <v>0.65810146490026411</v>
      </c>
      <c r="M19" s="64">
        <v>1</v>
      </c>
      <c r="N19" s="64">
        <v>-0.25136459592876809</v>
      </c>
      <c r="O19" s="64">
        <v>0.52386826162085731</v>
      </c>
      <c r="P19" s="64">
        <v>0.53177370911869459</v>
      </c>
      <c r="Q19" s="64">
        <v>-0.32596209900958378</v>
      </c>
      <c r="R19" s="64">
        <v>-0.25219793673829421</v>
      </c>
      <c r="S19" s="64">
        <v>-4.8498669627569024E-3</v>
      </c>
      <c r="T19" s="64">
        <v>-3.9398082979449335E-2</v>
      </c>
      <c r="U19" s="64">
        <v>-1.3016526676948843E-2</v>
      </c>
      <c r="V19" s="64">
        <v>0.10982494518135373</v>
      </c>
      <c r="W19" s="64">
        <v>-0.1867940308451998</v>
      </c>
      <c r="X19" s="64">
        <v>0.17267226531526697</v>
      </c>
      <c r="Y19" s="64">
        <v>-0.30347654735417889</v>
      </c>
    </row>
    <row r="20" spans="1:25" x14ac:dyDescent="0.35">
      <c r="A20" t="s">
        <v>1292</v>
      </c>
      <c r="B20" s="64">
        <v>-0.35154004251532067</v>
      </c>
      <c r="C20" s="64">
        <v>-0.38169610694223455</v>
      </c>
      <c r="D20" s="64">
        <v>-1.7964982512237701E-2</v>
      </c>
      <c r="E20" s="64">
        <v>0.459345623729843</v>
      </c>
      <c r="F20" s="64">
        <v>0.14121647651534647</v>
      </c>
      <c r="G20" s="64">
        <v>0.88196794552442215</v>
      </c>
      <c r="H20" s="64">
        <v>0.8232349892613986</v>
      </c>
      <c r="I20" s="64">
        <v>0.80183388682986545</v>
      </c>
      <c r="J20" s="64">
        <v>-0.39771285999268868</v>
      </c>
      <c r="K20" s="64">
        <v>-0.23235719502517924</v>
      </c>
      <c r="L20" s="64">
        <v>-0.472010480943166</v>
      </c>
      <c r="M20" s="64">
        <v>-0.25136459592876803</v>
      </c>
      <c r="N20" s="64">
        <v>1</v>
      </c>
      <c r="O20" s="64">
        <v>0.393258210865227</v>
      </c>
      <c r="P20" s="64">
        <v>0.24969715762036251</v>
      </c>
      <c r="Q20" s="64">
        <v>0.87585293658018226</v>
      </c>
      <c r="R20" s="64">
        <v>0.88147608464067551</v>
      </c>
      <c r="S20" s="64">
        <v>0.83372347005602943</v>
      </c>
      <c r="T20" s="64">
        <v>0.82971836017607514</v>
      </c>
      <c r="U20" s="64">
        <v>0.81472274307344561</v>
      </c>
      <c r="V20" s="64">
        <v>0.69059026753577346</v>
      </c>
      <c r="W20" s="64">
        <v>0.56211039752938663</v>
      </c>
      <c r="X20" s="64">
        <v>0.53346993305052737</v>
      </c>
      <c r="Y20" s="64">
        <v>0.87758286918811679</v>
      </c>
    </row>
    <row r="21" spans="1:25" x14ac:dyDescent="0.35">
      <c r="A21" t="s">
        <v>1279</v>
      </c>
      <c r="B21" s="64">
        <v>0.52163309168357752</v>
      </c>
      <c r="C21" s="64">
        <v>-3.7336537746540124E-2</v>
      </c>
      <c r="D21" s="64">
        <v>0.1882998524984113</v>
      </c>
      <c r="E21" s="64">
        <v>0.8090410125926516</v>
      </c>
      <c r="F21" s="64">
        <v>0.75181890332065571</v>
      </c>
      <c r="G21" s="64">
        <v>0.38729909426268616</v>
      </c>
      <c r="H21" s="64">
        <v>0.64101271454401354</v>
      </c>
      <c r="I21" s="64">
        <v>0.62023522619053839</v>
      </c>
      <c r="J21" s="64">
        <v>0.16654833279272338</v>
      </c>
      <c r="K21" s="64">
        <v>0.47333035104443733</v>
      </c>
      <c r="L21" s="64">
        <v>0.27938197007103233</v>
      </c>
      <c r="M21" s="64">
        <v>0.52386826162085731</v>
      </c>
      <c r="N21" s="64">
        <v>0.393258210865227</v>
      </c>
      <c r="O21" s="64">
        <v>1</v>
      </c>
      <c r="P21" s="64">
        <v>0.71980795221099292</v>
      </c>
      <c r="Q21" s="64">
        <v>0.36425787351151612</v>
      </c>
      <c r="R21" s="64">
        <v>0.44139136080217267</v>
      </c>
      <c r="S21" s="64">
        <v>0.64789537243854067</v>
      </c>
      <c r="T21" s="64">
        <v>0.61069517586398503</v>
      </c>
      <c r="U21" s="64">
        <v>0.62496835962732178</v>
      </c>
      <c r="V21" s="64">
        <v>0.64891444365660145</v>
      </c>
      <c r="W21" s="64">
        <v>0.25586558481591737</v>
      </c>
      <c r="X21" s="64">
        <v>0.58788134456081242</v>
      </c>
      <c r="Y21" s="64">
        <v>0.3877822395421347</v>
      </c>
    </row>
    <row r="22" spans="1:25" x14ac:dyDescent="0.35">
      <c r="A22" t="s">
        <v>1285</v>
      </c>
      <c r="B22" s="64">
        <v>0.54452620449656597</v>
      </c>
      <c r="C22" s="64">
        <v>2.1387335610192314E-2</v>
      </c>
      <c r="D22" s="64">
        <v>0.18040205453431138</v>
      </c>
      <c r="E22" s="64">
        <v>0.69550626672052573</v>
      </c>
      <c r="F22" s="64">
        <v>0.68869260485710559</v>
      </c>
      <c r="G22" s="64">
        <v>0.23472175230550352</v>
      </c>
      <c r="H22" s="64">
        <v>0.48291637426464407</v>
      </c>
      <c r="I22" s="64">
        <v>0.46647957080038172</v>
      </c>
      <c r="J22" s="64">
        <v>0.21621108531823274</v>
      </c>
      <c r="K22" s="64">
        <v>0.48125085680231844</v>
      </c>
      <c r="L22" s="64">
        <v>0.33373803316323453</v>
      </c>
      <c r="M22" s="64">
        <v>0.53177370911869459</v>
      </c>
      <c r="N22" s="64">
        <v>0.24969715762036254</v>
      </c>
      <c r="O22" s="64">
        <v>0.71980795221099292</v>
      </c>
      <c r="P22" s="64">
        <v>1</v>
      </c>
      <c r="Q22" s="64">
        <v>0.2138801582786263</v>
      </c>
      <c r="R22" s="64">
        <v>0.28585244063127763</v>
      </c>
      <c r="S22" s="64">
        <v>0.48785683986527345</v>
      </c>
      <c r="T22" s="64">
        <v>0.45333768308375827</v>
      </c>
      <c r="U22" s="64">
        <v>0.46903496547480988</v>
      </c>
      <c r="V22" s="64">
        <v>0.51005434213896739</v>
      </c>
      <c r="W22" s="64">
        <v>0.15811608905563498</v>
      </c>
      <c r="X22" s="64">
        <v>0.47575580698888814</v>
      </c>
      <c r="Y22" s="64">
        <v>0.23582827007542101</v>
      </c>
    </row>
    <row r="23" spans="1:25" x14ac:dyDescent="0.35">
      <c r="A23" t="s">
        <v>1288</v>
      </c>
      <c r="B23" s="64">
        <v>-0.43716216039508937</v>
      </c>
      <c r="C23" s="64">
        <v>-0.42115744919274317</v>
      </c>
      <c r="D23" s="64">
        <v>-3.6666896285965062E-2</v>
      </c>
      <c r="E23" s="64">
        <v>0.439110931514613</v>
      </c>
      <c r="F23" s="64">
        <v>9.040661311947977E-2</v>
      </c>
      <c r="G23" s="64">
        <v>0.94637192873380271</v>
      </c>
      <c r="H23" s="64">
        <v>0.85867014297118005</v>
      </c>
      <c r="I23" s="64">
        <v>0.8367113839170659</v>
      </c>
      <c r="J23" s="64">
        <v>-0.45703907153745865</v>
      </c>
      <c r="K23" s="64">
        <v>-0.30034540721506608</v>
      </c>
      <c r="L23" s="64">
        <v>-0.5496626863406866</v>
      </c>
      <c r="M23" s="64">
        <v>-0.32596209900958378</v>
      </c>
      <c r="N23" s="64">
        <v>0.87585293658018226</v>
      </c>
      <c r="O23" s="64">
        <v>0.36425787351151612</v>
      </c>
      <c r="P23" s="64">
        <v>0.2138801582786263</v>
      </c>
      <c r="Q23" s="64">
        <v>1</v>
      </c>
      <c r="R23" s="64">
        <v>0.94114903149026941</v>
      </c>
      <c r="S23" s="64">
        <v>0.86971980071969213</v>
      </c>
      <c r="T23" s="64">
        <v>0.86856474086379287</v>
      </c>
      <c r="U23" s="64">
        <v>0.85062434735926062</v>
      </c>
      <c r="V23" s="64">
        <v>0.71046024210288972</v>
      </c>
      <c r="W23" s="64">
        <v>0.60241928483494933</v>
      </c>
      <c r="X23" s="64">
        <v>0.54114293705100236</v>
      </c>
      <c r="Y23" s="64">
        <v>0.94155843048796195</v>
      </c>
    </row>
    <row r="24" spans="1:25" x14ac:dyDescent="0.35">
      <c r="A24" t="s">
        <v>1289</v>
      </c>
      <c r="B24" s="64">
        <v>-0.35871540355144504</v>
      </c>
      <c r="C24" s="64">
        <v>-0.40668466954073762</v>
      </c>
      <c r="D24" s="64">
        <v>-1.3727192937056445E-2</v>
      </c>
      <c r="E24" s="64">
        <v>0.5111834110370016</v>
      </c>
      <c r="F24" s="64">
        <v>0.17148392932480883</v>
      </c>
      <c r="G24" s="64">
        <v>0.94825221356880363</v>
      </c>
      <c r="H24" s="64">
        <v>0.89309602224467788</v>
      </c>
      <c r="I24" s="64">
        <v>0.86976128372652539</v>
      </c>
      <c r="J24" s="64">
        <v>-0.41789755844623022</v>
      </c>
      <c r="K24" s="64">
        <v>-0.23343864805130854</v>
      </c>
      <c r="L24" s="64">
        <v>-0.49363816748879213</v>
      </c>
      <c r="M24" s="64">
        <v>-0.25219793673829421</v>
      </c>
      <c r="N24" s="64">
        <v>0.88147608464067539</v>
      </c>
      <c r="O24" s="64">
        <v>0.44139136080217267</v>
      </c>
      <c r="P24" s="64">
        <v>0.28585244063127763</v>
      </c>
      <c r="Q24" s="64">
        <v>0.94114903149026952</v>
      </c>
      <c r="R24" s="64">
        <v>1</v>
      </c>
      <c r="S24" s="64">
        <v>0.9044367038383454</v>
      </c>
      <c r="T24" s="64">
        <v>0.89912144597212518</v>
      </c>
      <c r="U24" s="64">
        <v>0.88359264851430375</v>
      </c>
      <c r="V24" s="64">
        <v>0.75236163471304929</v>
      </c>
      <c r="W24" s="64">
        <v>0.60463226486476129</v>
      </c>
      <c r="X24" s="64">
        <v>0.58365418946271086</v>
      </c>
      <c r="Y24" s="64">
        <v>0.94363919251334116</v>
      </c>
    </row>
    <row r="25" spans="1:25" x14ac:dyDescent="0.35">
      <c r="A25" t="s">
        <v>1290</v>
      </c>
      <c r="B25" s="64">
        <v>-8.896809949032855E-2</v>
      </c>
      <c r="C25" s="64">
        <v>-0.33173828128663208</v>
      </c>
      <c r="D25" s="64">
        <v>5.841064934049324E-2</v>
      </c>
      <c r="E25" s="64">
        <v>0.69683338362490055</v>
      </c>
      <c r="F25" s="64">
        <v>0.41017522950250235</v>
      </c>
      <c r="G25" s="64">
        <v>0.88378164868488351</v>
      </c>
      <c r="H25" s="64">
        <v>0.93378743779016704</v>
      </c>
      <c r="I25" s="64">
        <v>0.90791026947203224</v>
      </c>
      <c r="J25" s="64">
        <v>-0.26563849676145018</v>
      </c>
      <c r="K25" s="64">
        <v>-8.7381205119112532E-3</v>
      </c>
      <c r="L25" s="64">
        <v>-0.28343418400551418</v>
      </c>
      <c r="M25" s="64">
        <v>-4.8498669627568937E-3</v>
      </c>
      <c r="N25" s="64">
        <v>0.83372347005602931</v>
      </c>
      <c r="O25" s="64">
        <v>0.64789537243854067</v>
      </c>
      <c r="P25" s="64">
        <v>0.48785683986527345</v>
      </c>
      <c r="Q25" s="64">
        <v>0.86971980071969202</v>
      </c>
      <c r="R25" s="64">
        <v>0.9044367038383454</v>
      </c>
      <c r="S25" s="64">
        <v>1</v>
      </c>
      <c r="T25" s="64">
        <v>0.9273671067523036</v>
      </c>
      <c r="U25" s="64">
        <v>0.92046464449471987</v>
      </c>
      <c r="V25" s="64">
        <v>0.82663496232171196</v>
      </c>
      <c r="W25" s="64">
        <v>0.56677946773849031</v>
      </c>
      <c r="X25" s="64">
        <v>0.67229372802340137</v>
      </c>
      <c r="Y25" s="64">
        <v>0.8803219048376778</v>
      </c>
    </row>
    <row r="26" spans="1:25" x14ac:dyDescent="0.35">
      <c r="A26" t="s">
        <v>1297</v>
      </c>
      <c r="B26" s="64">
        <v>-0.12557234548709756</v>
      </c>
      <c r="C26" s="64">
        <v>-0.33797289122613877</v>
      </c>
      <c r="D26" s="64">
        <v>4.756796722006814E-2</v>
      </c>
      <c r="E26" s="64">
        <v>0.66192392406099065</v>
      </c>
      <c r="F26" s="64">
        <v>0.37151837528665915</v>
      </c>
      <c r="G26" s="64">
        <v>0.88147634746764747</v>
      </c>
      <c r="H26" s="64">
        <v>0.91612402610632981</v>
      </c>
      <c r="I26" s="64">
        <v>0.89093433623353013</v>
      </c>
      <c r="J26" s="64">
        <v>-0.28353844441077858</v>
      </c>
      <c r="K26" s="64">
        <v>-4.0067524055766225E-2</v>
      </c>
      <c r="L26" s="64">
        <v>-0.30921401055945452</v>
      </c>
      <c r="M26" s="64">
        <v>-3.9398082979449342E-2</v>
      </c>
      <c r="N26" s="64">
        <v>0.82971836017607514</v>
      </c>
      <c r="O26" s="64">
        <v>0.61069517586398503</v>
      </c>
      <c r="P26" s="64">
        <v>0.45333768308375832</v>
      </c>
      <c r="Q26" s="64">
        <v>0.86856474086379298</v>
      </c>
      <c r="R26" s="64">
        <v>0.89912144597212529</v>
      </c>
      <c r="S26" s="64">
        <v>0.92736710675230372</v>
      </c>
      <c r="T26" s="64">
        <v>1</v>
      </c>
      <c r="U26" s="64">
        <v>0.90350648352651308</v>
      </c>
      <c r="V26" s="64">
        <v>0.80564612137157288</v>
      </c>
      <c r="W26" s="64">
        <v>0.56481089598112166</v>
      </c>
      <c r="X26" s="64">
        <v>0.65127308813866192</v>
      </c>
      <c r="Y26" s="64">
        <v>0.87789719111704267</v>
      </c>
    </row>
    <row r="27" spans="1:25" x14ac:dyDescent="0.35">
      <c r="A27" t="s">
        <v>1291</v>
      </c>
      <c r="B27" s="64">
        <v>-9.5806630277857519E-2</v>
      </c>
      <c r="C27" s="64">
        <v>-0.3260521513040498</v>
      </c>
      <c r="D27" s="64">
        <v>5.4550671574119476E-2</v>
      </c>
      <c r="E27" s="64">
        <v>0.67339577676529561</v>
      </c>
      <c r="F27" s="64">
        <v>0.39204373225723671</v>
      </c>
      <c r="G27" s="64">
        <v>0.86410190598536063</v>
      </c>
      <c r="H27" s="64">
        <v>0.90935127764121204</v>
      </c>
      <c r="I27" s="64">
        <v>0.88419865900727868</v>
      </c>
      <c r="J27" s="64">
        <v>-0.26417569825224696</v>
      </c>
      <c r="K27" s="64">
        <v>-1.6049977412286056E-2</v>
      </c>
      <c r="L27" s="64">
        <v>-0.28347290591726171</v>
      </c>
      <c r="M27" s="64">
        <v>-1.3016526676948846E-2</v>
      </c>
      <c r="N27" s="64">
        <v>0.81472274307344561</v>
      </c>
      <c r="O27" s="64">
        <v>0.62496835962732178</v>
      </c>
      <c r="P27" s="64">
        <v>0.46903496547480988</v>
      </c>
      <c r="Q27" s="64">
        <v>0.85062434735926062</v>
      </c>
      <c r="R27" s="64">
        <v>0.88359264851430375</v>
      </c>
      <c r="S27" s="64">
        <v>0.92046464449471999</v>
      </c>
      <c r="T27" s="64">
        <v>0.90350648352651297</v>
      </c>
      <c r="U27" s="64">
        <v>1</v>
      </c>
      <c r="V27" s="64">
        <v>0.80372136424601859</v>
      </c>
      <c r="W27" s="64">
        <v>0.55404300803226481</v>
      </c>
      <c r="X27" s="64">
        <v>0.65271245598337202</v>
      </c>
      <c r="Y27" s="64">
        <v>0.86069140323038096</v>
      </c>
    </row>
    <row r="28" spans="1:25" x14ac:dyDescent="0.35">
      <c r="A28" t="s">
        <v>1296</v>
      </c>
      <c r="B28" s="64">
        <v>4.8249426254762882E-2</v>
      </c>
      <c r="C28" s="64">
        <v>-0.24900762805111712</v>
      </c>
      <c r="D28" s="64">
        <v>8.3163176413390785E-2</v>
      </c>
      <c r="E28" s="64">
        <v>0.68113326539583885</v>
      </c>
      <c r="F28" s="64">
        <v>0.46056313222445622</v>
      </c>
      <c r="G28" s="64">
        <v>0.72565362828676039</v>
      </c>
      <c r="H28" s="64">
        <v>0.81686871722467391</v>
      </c>
      <c r="I28" s="64">
        <v>0.79357951380615299</v>
      </c>
      <c r="J28" s="64">
        <v>-0.15688804846071794</v>
      </c>
      <c r="K28" s="64">
        <v>9.6066375355333036E-2</v>
      </c>
      <c r="L28" s="64">
        <v>-0.1453990505970183</v>
      </c>
      <c r="M28" s="64">
        <v>0.10982494518135372</v>
      </c>
      <c r="N28" s="64">
        <v>0.69059026753577346</v>
      </c>
      <c r="O28" s="64">
        <v>0.64891444365660145</v>
      </c>
      <c r="P28" s="64">
        <v>0.5100543421389675</v>
      </c>
      <c r="Q28" s="64">
        <v>0.71046024210288972</v>
      </c>
      <c r="R28" s="64">
        <v>0.7523616347130494</v>
      </c>
      <c r="S28" s="64">
        <v>0.82663496232171196</v>
      </c>
      <c r="T28" s="64">
        <v>0.80564612137157277</v>
      </c>
      <c r="U28" s="64">
        <v>0.80372136424601859</v>
      </c>
      <c r="V28" s="64">
        <v>1</v>
      </c>
      <c r="W28" s="64">
        <v>0.4669916011348117</v>
      </c>
      <c r="X28" s="64">
        <v>0.61545961272702521</v>
      </c>
      <c r="Y28" s="64">
        <v>0.7232484117034228</v>
      </c>
    </row>
    <row r="29" spans="1:25" x14ac:dyDescent="0.35">
      <c r="A29" t="s">
        <v>1281</v>
      </c>
      <c r="B29" s="64">
        <v>-0.25656790093743032</v>
      </c>
      <c r="C29" s="64">
        <v>-0.26522005627876205</v>
      </c>
      <c r="D29" s="64">
        <v>-1.6687819050279648E-2</v>
      </c>
      <c r="E29" s="64">
        <v>0.30226898924823625</v>
      </c>
      <c r="F29" s="64">
        <v>8.1795713314187807E-2</v>
      </c>
      <c r="G29" s="64">
        <v>0.6061721924597413</v>
      </c>
      <c r="H29" s="64">
        <v>0.55962115282378533</v>
      </c>
      <c r="I29" s="64">
        <v>0.54516405923818179</v>
      </c>
      <c r="J29" s="64">
        <v>-0.28089475030780753</v>
      </c>
      <c r="K29" s="64">
        <v>-0.17242755153414258</v>
      </c>
      <c r="L29" s="64">
        <v>-0.33517734344293204</v>
      </c>
      <c r="M29" s="64">
        <v>-0.18679403084519977</v>
      </c>
      <c r="N29" s="64">
        <v>0.56211039752938663</v>
      </c>
      <c r="O29" s="64">
        <v>0.25586558481591742</v>
      </c>
      <c r="P29" s="64">
        <v>0.15811608905563498</v>
      </c>
      <c r="Q29" s="64">
        <v>0.60241928483494933</v>
      </c>
      <c r="R29" s="64">
        <v>0.6046322648647614</v>
      </c>
      <c r="S29" s="64">
        <v>0.56677946773849042</v>
      </c>
      <c r="T29" s="64">
        <v>0.56481089598112166</v>
      </c>
      <c r="U29" s="64">
        <v>0.55404300803226481</v>
      </c>
      <c r="V29" s="64">
        <v>0.46699160113481181</v>
      </c>
      <c r="W29" s="64">
        <v>1</v>
      </c>
      <c r="X29" s="64">
        <v>0.35882744179932408</v>
      </c>
      <c r="Y29" s="64">
        <v>0.60310476401574376</v>
      </c>
    </row>
    <row r="30" spans="1:25" x14ac:dyDescent="0.35">
      <c r="A30" t="s">
        <v>1295</v>
      </c>
      <c r="B30" s="64">
        <v>0.13135662986528548</v>
      </c>
      <c r="C30" s="64">
        <v>-0.17246555061869329</v>
      </c>
      <c r="D30" s="64">
        <v>9.1076846776798059E-2</v>
      </c>
      <c r="E30" s="64">
        <v>0.606352552210636</v>
      </c>
      <c r="F30" s="64">
        <v>0.44898520112271006</v>
      </c>
      <c r="G30" s="64">
        <v>0.55562026740378623</v>
      </c>
      <c r="H30" s="64">
        <v>0.66449787615152622</v>
      </c>
      <c r="I30" s="64">
        <v>0.6450764572858293</v>
      </c>
      <c r="J30" s="64">
        <v>-7.2473785029928364E-2</v>
      </c>
      <c r="K30" s="64">
        <v>0.15391357009782816</v>
      </c>
      <c r="L30" s="64">
        <v>-4.3361480269404569E-2</v>
      </c>
      <c r="M30" s="64">
        <v>0.17267226531526694</v>
      </c>
      <c r="N30" s="64">
        <v>0.53346993305052737</v>
      </c>
      <c r="O30" s="64">
        <v>0.58788134456081242</v>
      </c>
      <c r="P30" s="64">
        <v>0.47575580698888814</v>
      </c>
      <c r="Q30" s="64">
        <v>0.54114293705100236</v>
      </c>
      <c r="R30" s="64">
        <v>0.58365418946271086</v>
      </c>
      <c r="S30" s="64">
        <v>0.67229372802340148</v>
      </c>
      <c r="T30" s="64">
        <v>0.65127308813866192</v>
      </c>
      <c r="U30" s="64">
        <v>0.65271245598337202</v>
      </c>
      <c r="V30" s="64">
        <v>0.6154596127270251</v>
      </c>
      <c r="W30" s="64">
        <v>0.35882744179932402</v>
      </c>
      <c r="X30" s="64">
        <v>1</v>
      </c>
      <c r="Y30" s="64">
        <v>0.55411436887116994</v>
      </c>
    </row>
    <row r="31" spans="1:25" x14ac:dyDescent="0.35">
      <c r="A31" t="s">
        <v>1294</v>
      </c>
      <c r="B31" s="64">
        <v>-0.41325236163022666</v>
      </c>
      <c r="C31" s="64">
        <v>-0.41675204100938462</v>
      </c>
      <c r="D31" s="64">
        <v>-2.9673293479197078E-2</v>
      </c>
      <c r="E31" s="64">
        <v>0.46109410172379256</v>
      </c>
      <c r="F31" s="64">
        <v>0.115128746522019</v>
      </c>
      <c r="G31" s="64">
        <v>0.94702651954723216</v>
      </c>
      <c r="H31" s="64">
        <v>0.86918060668190644</v>
      </c>
      <c r="I31" s="64">
        <v>0.84680265133030441</v>
      </c>
      <c r="J31" s="64">
        <v>-0.44511288907188068</v>
      </c>
      <c r="K31" s="64">
        <v>-0.2799504138171991</v>
      </c>
      <c r="L31" s="64">
        <v>-0.53259032827092789</v>
      </c>
      <c r="M31" s="64">
        <v>-0.30347654735417889</v>
      </c>
      <c r="N31" s="64">
        <v>0.8775828691881169</v>
      </c>
      <c r="O31" s="64">
        <v>0.3877822395421347</v>
      </c>
      <c r="P31" s="64">
        <v>0.23582827007542098</v>
      </c>
      <c r="Q31" s="64">
        <v>0.94155843048796195</v>
      </c>
      <c r="R31" s="64">
        <v>0.94363919251334116</v>
      </c>
      <c r="S31" s="64">
        <v>0.8803219048376778</v>
      </c>
      <c r="T31" s="64">
        <v>0.87789719111704267</v>
      </c>
      <c r="U31" s="64">
        <v>0.86069140323038096</v>
      </c>
      <c r="V31" s="64">
        <v>0.7232484117034228</v>
      </c>
      <c r="W31" s="64">
        <v>0.60310476401574376</v>
      </c>
      <c r="X31" s="64">
        <v>0.55411436887117005</v>
      </c>
      <c r="Y31" s="64">
        <v>1</v>
      </c>
    </row>
  </sheetData>
  <conditionalFormatting sqref="B8:Y3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0ED7C-03BE-403D-B438-CDC4EEF76B36}">
  <sheetPr codeName="Sheet2">
    <tabColor theme="1"/>
  </sheetPr>
  <dimension ref="A1:F216"/>
  <sheetViews>
    <sheetView workbookViewId="0">
      <selection activeCell="A2" sqref="A2"/>
    </sheetView>
  </sheetViews>
  <sheetFormatPr defaultRowHeight="14.5" x14ac:dyDescent="0.35"/>
  <cols>
    <col min="1" max="1" width="10.6328125" customWidth="1"/>
    <col min="2" max="2" width="11.36328125" customWidth="1"/>
  </cols>
  <sheetData>
    <row r="1" spans="1:4" x14ac:dyDescent="0.35">
      <c r="A1" t="s">
        <v>1304</v>
      </c>
      <c r="B1" t="s">
        <v>1309</v>
      </c>
      <c r="C1" t="s">
        <v>1310</v>
      </c>
      <c r="D1" t="s">
        <v>1307</v>
      </c>
    </row>
    <row r="2" spans="1:4" x14ac:dyDescent="0.35">
      <c r="A2" s="67">
        <v>37621</v>
      </c>
      <c r="B2">
        <v>0</v>
      </c>
      <c r="C2">
        <v>0</v>
      </c>
      <c r="D2" t="s">
        <v>1311</v>
      </c>
    </row>
    <row r="3" spans="1:4" x14ac:dyDescent="0.35">
      <c r="A3" s="67">
        <v>37652</v>
      </c>
      <c r="B3">
        <v>-3.7179999999999998E-2</v>
      </c>
      <c r="C3">
        <v>-5.142E-2</v>
      </c>
      <c r="D3" t="s">
        <v>1311</v>
      </c>
    </row>
    <row r="4" spans="1:4" x14ac:dyDescent="0.35">
      <c r="A4" s="67">
        <v>37680</v>
      </c>
      <c r="B4">
        <v>-4.5499999999999999E-2</v>
      </c>
      <c r="C4">
        <v>-3.6339999999999997E-2</v>
      </c>
      <c r="D4" t="s">
        <v>1311</v>
      </c>
    </row>
    <row r="5" spans="1:4" x14ac:dyDescent="0.35">
      <c r="A5" s="67">
        <v>37711</v>
      </c>
      <c r="B5">
        <v>-8.2830000000000001E-2</v>
      </c>
      <c r="C5">
        <v>-8.387E-2</v>
      </c>
      <c r="D5" t="s">
        <v>1311</v>
      </c>
    </row>
    <row r="6" spans="1:4" x14ac:dyDescent="0.35">
      <c r="A6" s="67">
        <v>37741</v>
      </c>
      <c r="B6" s="68">
        <v>-8.1999999999999998E-4</v>
      </c>
      <c r="C6">
        <v>1.72E-3</v>
      </c>
      <c r="D6" t="s">
        <v>1311</v>
      </c>
    </row>
    <row r="7" spans="1:4" x14ac:dyDescent="0.35">
      <c r="A7" s="67">
        <v>37772</v>
      </c>
      <c r="B7">
        <v>0.12720000000000001</v>
      </c>
      <c r="C7">
        <v>0.11684</v>
      </c>
      <c r="D7" t="s">
        <v>1311</v>
      </c>
    </row>
    <row r="8" spans="1:4" x14ac:dyDescent="0.35">
      <c r="A8" s="67">
        <v>37802</v>
      </c>
      <c r="B8">
        <v>-3.4099999999999998E-3</v>
      </c>
      <c r="C8">
        <v>-7.0899999999999999E-3</v>
      </c>
      <c r="D8" t="s">
        <v>1311</v>
      </c>
    </row>
    <row r="9" spans="1:4" x14ac:dyDescent="0.35">
      <c r="A9" s="67">
        <v>37833</v>
      </c>
      <c r="B9">
        <v>5.0290000000000001E-2</v>
      </c>
      <c r="C9">
        <v>5.7410000000000003E-2</v>
      </c>
      <c r="D9" t="s">
        <v>1311</v>
      </c>
    </row>
    <row r="10" spans="1:4" x14ac:dyDescent="0.35">
      <c r="A10" s="67">
        <v>37864</v>
      </c>
      <c r="B10">
        <v>3.9510000000000003E-2</v>
      </c>
      <c r="C10">
        <v>2.3820000000000001E-2</v>
      </c>
      <c r="D10" t="s">
        <v>1311</v>
      </c>
    </row>
    <row r="11" spans="1:4" x14ac:dyDescent="0.35">
      <c r="A11" s="67">
        <v>37894</v>
      </c>
      <c r="B11">
        <v>-2.0289999999999999E-2</v>
      </c>
      <c r="C11">
        <v>-2.6159999999999999E-2</v>
      </c>
      <c r="D11" t="s">
        <v>1311</v>
      </c>
    </row>
    <row r="12" spans="1:4" x14ac:dyDescent="0.35">
      <c r="A12" s="67">
        <v>37925</v>
      </c>
      <c r="B12">
        <v>9.0910000000000005E-2</v>
      </c>
      <c r="C12">
        <v>8.412E-2</v>
      </c>
      <c r="D12" t="s">
        <v>1311</v>
      </c>
    </row>
    <row r="13" spans="1:4" x14ac:dyDescent="0.35">
      <c r="A13" s="67">
        <v>37955</v>
      </c>
      <c r="B13">
        <v>1.8069999999999999E-2</v>
      </c>
      <c r="C13">
        <v>2.274E-2</v>
      </c>
      <c r="D13" t="s">
        <v>1311</v>
      </c>
    </row>
    <row r="14" spans="1:4" x14ac:dyDescent="0.35">
      <c r="A14" s="67">
        <v>37986</v>
      </c>
      <c r="B14">
        <v>6.2700000000000006E-2</v>
      </c>
      <c r="C14">
        <v>7.6859999999999998E-2</v>
      </c>
      <c r="D14" t="s">
        <v>1311</v>
      </c>
    </row>
    <row r="15" spans="1:4" x14ac:dyDescent="0.35">
      <c r="A15" s="67">
        <v>38017</v>
      </c>
      <c r="B15">
        <v>3.7830000000000003E-2</v>
      </c>
      <c r="C15">
        <v>3.1969999999999998E-2</v>
      </c>
      <c r="D15" t="s">
        <v>1311</v>
      </c>
    </row>
    <row r="16" spans="1:4" x14ac:dyDescent="0.35">
      <c r="A16" s="67">
        <v>38046</v>
      </c>
      <c r="B16">
        <v>-1.9599999999999999E-3</v>
      </c>
      <c r="C16">
        <v>6.0699999999999999E-3</v>
      </c>
      <c r="D16" t="s">
        <v>1311</v>
      </c>
    </row>
    <row r="17" spans="1:4" x14ac:dyDescent="0.35">
      <c r="A17" s="67">
        <v>38077</v>
      </c>
      <c r="B17">
        <v>3.0799999999999998E-3</v>
      </c>
      <c r="C17">
        <v>-4.2199999999999998E-3</v>
      </c>
      <c r="D17" t="s">
        <v>1311</v>
      </c>
    </row>
    <row r="18" spans="1:4" x14ac:dyDescent="0.35">
      <c r="A18" s="67">
        <v>38107</v>
      </c>
      <c r="B18">
        <v>-1.7250000000000001E-2</v>
      </c>
      <c r="C18">
        <v>-1.193E-2</v>
      </c>
      <c r="D18" t="s">
        <v>1311</v>
      </c>
    </row>
    <row r="19" spans="1:4" x14ac:dyDescent="0.35">
      <c r="A19" s="67">
        <v>38138</v>
      </c>
      <c r="B19">
        <v>5.0299999999999997E-3</v>
      </c>
      <c r="C19" s="68">
        <v>-3.0000000000000001E-5</v>
      </c>
      <c r="D19" t="s">
        <v>1311</v>
      </c>
    </row>
    <row r="20" spans="1:4" x14ac:dyDescent="0.35">
      <c r="A20" s="67">
        <v>38168</v>
      </c>
      <c r="B20">
        <v>-1.468E-2</v>
      </c>
      <c r="C20">
        <v>1.2930000000000001E-2</v>
      </c>
      <c r="D20" t="s">
        <v>1311</v>
      </c>
    </row>
    <row r="21" spans="1:4" x14ac:dyDescent="0.35">
      <c r="A21" s="67">
        <v>38199</v>
      </c>
      <c r="B21">
        <v>1.489E-2</v>
      </c>
      <c r="C21">
        <v>1.9400000000000001E-2</v>
      </c>
      <c r="D21" t="s">
        <v>1311</v>
      </c>
    </row>
    <row r="22" spans="1:4" x14ac:dyDescent="0.35">
      <c r="A22" s="67">
        <v>38230</v>
      </c>
      <c r="B22">
        <v>7.9880000000000007E-2</v>
      </c>
      <c r="C22">
        <v>7.8719999999999998E-2</v>
      </c>
      <c r="D22" t="s">
        <v>1311</v>
      </c>
    </row>
    <row r="23" spans="1:4" x14ac:dyDescent="0.35">
      <c r="A23" s="67">
        <v>38260</v>
      </c>
      <c r="B23">
        <v>6.2969999999999998E-2</v>
      </c>
      <c r="C23">
        <v>7.2450000000000001E-2</v>
      </c>
      <c r="D23" t="s">
        <v>1311</v>
      </c>
    </row>
    <row r="24" spans="1:4" x14ac:dyDescent="0.35">
      <c r="A24" s="67">
        <v>38291</v>
      </c>
      <c r="B24">
        <v>2.0369999999999999E-2</v>
      </c>
      <c r="C24">
        <v>3.78E-2</v>
      </c>
      <c r="D24" t="s">
        <v>1311</v>
      </c>
    </row>
    <row r="25" spans="1:4" x14ac:dyDescent="0.35">
      <c r="A25" s="67">
        <v>38321</v>
      </c>
      <c r="B25">
        <v>8.5300000000000001E-2</v>
      </c>
      <c r="C25">
        <v>0.10298</v>
      </c>
      <c r="D25" t="s">
        <v>1311</v>
      </c>
    </row>
    <row r="26" spans="1:4" x14ac:dyDescent="0.35">
      <c r="A26" s="67">
        <v>38352</v>
      </c>
      <c r="B26">
        <v>2.5659999999999999E-2</v>
      </c>
      <c r="C26">
        <v>4.0910000000000002E-2</v>
      </c>
      <c r="D26" t="s">
        <v>1311</v>
      </c>
    </row>
    <row r="27" spans="1:4" x14ac:dyDescent="0.35">
      <c r="A27" s="67">
        <v>38383</v>
      </c>
      <c r="B27">
        <v>7.5599999999999999E-3</v>
      </c>
      <c r="C27">
        <v>-6.2500000000000003E-3</v>
      </c>
      <c r="D27" t="s">
        <v>1311</v>
      </c>
    </row>
    <row r="28" spans="1:4" x14ac:dyDescent="0.35">
      <c r="A28" s="67">
        <v>38411</v>
      </c>
      <c r="B28">
        <v>4.5359999999999998E-2</v>
      </c>
      <c r="C28">
        <v>2.9420000000000002E-2</v>
      </c>
      <c r="D28" t="s">
        <v>1311</v>
      </c>
    </row>
    <row r="29" spans="1:4" x14ac:dyDescent="0.35">
      <c r="A29" s="67">
        <v>38442</v>
      </c>
      <c r="B29">
        <v>-1.8280000000000001E-2</v>
      </c>
      <c r="C29">
        <v>-1.3010000000000001E-2</v>
      </c>
      <c r="D29" t="s">
        <v>1311</v>
      </c>
    </row>
    <row r="30" spans="1:4" x14ac:dyDescent="0.35">
      <c r="A30" s="67">
        <v>38472</v>
      </c>
      <c r="B30">
        <v>-3.5159999999999997E-2</v>
      </c>
      <c r="C30">
        <v>-3.1329999999999997E-2</v>
      </c>
      <c r="D30" t="s">
        <v>1311</v>
      </c>
    </row>
    <row r="31" spans="1:4" x14ac:dyDescent="0.35">
      <c r="A31" s="67">
        <v>38503</v>
      </c>
      <c r="B31">
        <v>7.9159999999999994E-2</v>
      </c>
      <c r="C31">
        <v>6.547E-2</v>
      </c>
      <c r="D31" t="s">
        <v>1311</v>
      </c>
    </row>
    <row r="32" spans="1:4" x14ac:dyDescent="0.35">
      <c r="A32" s="67">
        <v>38533</v>
      </c>
      <c r="B32">
        <v>3.1879999999999999E-2</v>
      </c>
      <c r="C32">
        <v>3.3910000000000003E-2</v>
      </c>
      <c r="D32" t="s">
        <v>1311</v>
      </c>
    </row>
    <row r="33" spans="1:4" x14ac:dyDescent="0.35">
      <c r="A33" s="67">
        <v>38564</v>
      </c>
      <c r="B33">
        <v>7.8710000000000002E-2</v>
      </c>
      <c r="C33">
        <v>7.2489999999999999E-2</v>
      </c>
      <c r="D33" t="s">
        <v>1311</v>
      </c>
    </row>
    <row r="34" spans="1:4" x14ac:dyDescent="0.35">
      <c r="A34" s="67">
        <v>38595</v>
      </c>
      <c r="B34">
        <v>2.1389999999999999E-2</v>
      </c>
      <c r="C34">
        <v>2.3179999999999999E-2</v>
      </c>
      <c r="D34" t="s">
        <v>1311</v>
      </c>
    </row>
    <row r="35" spans="1:4" x14ac:dyDescent="0.35">
      <c r="A35" s="67">
        <v>38625</v>
      </c>
      <c r="B35">
        <v>8.9219999999999994E-2</v>
      </c>
      <c r="C35">
        <v>7.2730000000000003E-2</v>
      </c>
      <c r="D35" t="s">
        <v>1311</v>
      </c>
    </row>
    <row r="36" spans="1:4" x14ac:dyDescent="0.35">
      <c r="A36" s="67">
        <v>38656</v>
      </c>
      <c r="B36">
        <v>-2.853E-2</v>
      </c>
      <c r="C36">
        <v>-2.2769999999999999E-2</v>
      </c>
      <c r="D36" t="s">
        <v>1311</v>
      </c>
    </row>
    <row r="37" spans="1:4" x14ac:dyDescent="0.35">
      <c r="A37" s="67">
        <v>38686</v>
      </c>
      <c r="B37">
        <v>2.8060000000000002E-2</v>
      </c>
      <c r="C37">
        <v>3.73E-2</v>
      </c>
      <c r="D37" t="s">
        <v>1311</v>
      </c>
    </row>
    <row r="38" spans="1:4" x14ac:dyDescent="0.35">
      <c r="A38" s="67">
        <v>38717</v>
      </c>
      <c r="B38">
        <v>8.8099999999999998E-2</v>
      </c>
      <c r="C38">
        <v>7.986E-2</v>
      </c>
      <c r="D38" t="s">
        <v>1311</v>
      </c>
    </row>
    <row r="39" spans="1:4" x14ac:dyDescent="0.35">
      <c r="A39" s="67">
        <v>38748</v>
      </c>
      <c r="B39">
        <v>9.0670000000000001E-2</v>
      </c>
      <c r="C39">
        <v>9.1109999999999997E-2</v>
      </c>
      <c r="D39" t="s">
        <v>1311</v>
      </c>
    </row>
    <row r="40" spans="1:4" x14ac:dyDescent="0.35">
      <c r="A40" s="67">
        <v>38776</v>
      </c>
      <c r="B40">
        <v>-2.3140000000000001E-2</v>
      </c>
      <c r="C40">
        <v>-9.1599999999999997E-3</v>
      </c>
      <c r="D40" t="s">
        <v>1311</v>
      </c>
    </row>
    <row r="41" spans="1:4" x14ac:dyDescent="0.35">
      <c r="A41" s="67">
        <v>38807</v>
      </c>
      <c r="B41">
        <v>6.9389999999999993E-2</v>
      </c>
      <c r="C41">
        <v>6.3640000000000002E-2</v>
      </c>
      <c r="D41" t="s">
        <v>1311</v>
      </c>
    </row>
    <row r="42" spans="1:4" x14ac:dyDescent="0.35">
      <c r="A42" s="67">
        <v>38837</v>
      </c>
      <c r="B42">
        <v>2.6440000000000002E-2</v>
      </c>
      <c r="C42">
        <v>2.529E-2</v>
      </c>
      <c r="D42" t="s">
        <v>1311</v>
      </c>
    </row>
    <row r="43" spans="1:4" x14ac:dyDescent="0.35">
      <c r="A43" s="67">
        <v>38868</v>
      </c>
      <c r="B43">
        <v>-4.4589999999999998E-2</v>
      </c>
      <c r="C43">
        <v>-6.1010000000000002E-2</v>
      </c>
      <c r="D43" t="s">
        <v>1311</v>
      </c>
    </row>
    <row r="44" spans="1:4" x14ac:dyDescent="0.35">
      <c r="A44" s="67">
        <v>38898</v>
      </c>
      <c r="B44">
        <v>1.5259999999999999E-2</v>
      </c>
      <c r="C44">
        <v>6.6800000000000002E-3</v>
      </c>
      <c r="D44" t="s">
        <v>1311</v>
      </c>
    </row>
    <row r="45" spans="1:4" x14ac:dyDescent="0.35">
      <c r="A45" s="67">
        <v>38929</v>
      </c>
      <c r="B45">
        <v>-8.5699999999999995E-3</v>
      </c>
      <c r="C45">
        <v>-3.2200000000000002E-3</v>
      </c>
      <c r="D45" t="s">
        <v>1311</v>
      </c>
    </row>
    <row r="46" spans="1:4" x14ac:dyDescent="0.35">
      <c r="A46" s="67">
        <v>38960</v>
      </c>
      <c r="B46">
        <v>5.1209999999999999E-2</v>
      </c>
      <c r="C46">
        <v>5.6930000000000001E-2</v>
      </c>
      <c r="D46" t="s">
        <v>1311</v>
      </c>
    </row>
    <row r="47" spans="1:4" x14ac:dyDescent="0.35">
      <c r="A47" s="67">
        <v>38990</v>
      </c>
      <c r="B47">
        <v>2.0910000000000002E-2</v>
      </c>
      <c r="C47">
        <v>1.2579999999999999E-2</v>
      </c>
      <c r="D47" t="s">
        <v>1311</v>
      </c>
    </row>
    <row r="48" spans="1:4" x14ac:dyDescent="0.35">
      <c r="A48" s="67">
        <v>39021</v>
      </c>
      <c r="B48">
        <v>5.4010000000000002E-2</v>
      </c>
      <c r="C48">
        <v>6.2810000000000005E-2</v>
      </c>
      <c r="D48" t="s">
        <v>1311</v>
      </c>
    </row>
    <row r="49" spans="1:4" x14ac:dyDescent="0.35">
      <c r="A49" s="67">
        <v>39051</v>
      </c>
      <c r="B49">
        <v>3.6990000000000002E-2</v>
      </c>
      <c r="C49">
        <v>5.2999999999999999E-2</v>
      </c>
      <c r="D49" t="s">
        <v>1311</v>
      </c>
    </row>
    <row r="50" spans="1:4" x14ac:dyDescent="0.35">
      <c r="A50" s="67">
        <v>39082</v>
      </c>
      <c r="B50">
        <v>5.5660000000000001E-2</v>
      </c>
      <c r="C50">
        <v>5.9819999999999998E-2</v>
      </c>
      <c r="D50" t="s">
        <v>1311</v>
      </c>
    </row>
    <row r="51" spans="1:4" x14ac:dyDescent="0.35">
      <c r="A51" s="67">
        <v>39113</v>
      </c>
      <c r="B51">
        <v>3.1609999999999999E-2</v>
      </c>
      <c r="C51">
        <v>4.9689999999999998E-2</v>
      </c>
      <c r="D51" t="s">
        <v>1311</v>
      </c>
    </row>
    <row r="52" spans="1:4" x14ac:dyDescent="0.35">
      <c r="A52" s="67">
        <v>39141</v>
      </c>
      <c r="B52">
        <v>1.34E-2</v>
      </c>
      <c r="C52">
        <v>-1.09E-3</v>
      </c>
      <c r="D52" t="s">
        <v>1311</v>
      </c>
    </row>
    <row r="53" spans="1:4" x14ac:dyDescent="0.35">
      <c r="A53" s="67">
        <v>39172</v>
      </c>
      <c r="B53">
        <v>5.8970000000000002E-2</v>
      </c>
      <c r="C53">
        <v>6.1960000000000001E-2</v>
      </c>
      <c r="D53" t="s">
        <v>1311</v>
      </c>
    </row>
    <row r="54" spans="1:4" x14ac:dyDescent="0.35">
      <c r="A54" s="67">
        <v>39202</v>
      </c>
      <c r="B54">
        <v>4.6600000000000003E-2</v>
      </c>
      <c r="C54">
        <v>6.0150000000000002E-2</v>
      </c>
      <c r="D54" t="s">
        <v>1311</v>
      </c>
    </row>
    <row r="55" spans="1:4" x14ac:dyDescent="0.35">
      <c r="A55" s="67">
        <v>39233</v>
      </c>
      <c r="B55">
        <v>-1.8799999999999999E-3</v>
      </c>
      <c r="C55">
        <v>-2.2300000000000002E-3</v>
      </c>
      <c r="D55" t="s">
        <v>1311</v>
      </c>
    </row>
    <row r="56" spans="1:4" x14ac:dyDescent="0.35">
      <c r="A56" s="67">
        <v>39263</v>
      </c>
      <c r="B56">
        <v>-1.7579999999999998E-2</v>
      </c>
      <c r="C56">
        <v>-8.7600000000000004E-3</v>
      </c>
      <c r="D56" t="s">
        <v>1311</v>
      </c>
    </row>
    <row r="57" spans="1:4" x14ac:dyDescent="0.35">
      <c r="A57" s="67">
        <v>39294</v>
      </c>
      <c r="B57">
        <v>4.5500000000000002E-3</v>
      </c>
      <c r="C57">
        <v>9.0399999999999994E-3</v>
      </c>
      <c r="D57" t="s">
        <v>1311</v>
      </c>
    </row>
    <row r="58" spans="1:4" x14ac:dyDescent="0.35">
      <c r="A58" s="67">
        <v>39325</v>
      </c>
      <c r="B58">
        <v>8.1099999999999992E-3</v>
      </c>
      <c r="C58">
        <v>9.1800000000000007E-3</v>
      </c>
      <c r="D58" t="s">
        <v>1311</v>
      </c>
    </row>
    <row r="59" spans="1:4" x14ac:dyDescent="0.35">
      <c r="A59" s="67">
        <v>39355</v>
      </c>
      <c r="B59">
        <v>3.014E-2</v>
      </c>
      <c r="C59">
        <v>2.1940000000000001E-2</v>
      </c>
      <c r="D59" t="s">
        <v>1311</v>
      </c>
    </row>
    <row r="60" spans="1:4" x14ac:dyDescent="0.35">
      <c r="A60" s="67">
        <v>39386</v>
      </c>
      <c r="B60">
        <v>6.8080000000000002E-2</v>
      </c>
      <c r="C60">
        <v>6.676E-2</v>
      </c>
      <c r="D60" t="s">
        <v>1311</v>
      </c>
    </row>
    <row r="61" spans="1:4" x14ac:dyDescent="0.35">
      <c r="A61" s="67">
        <v>39416</v>
      </c>
      <c r="B61">
        <v>-3.3140000000000003E-2</v>
      </c>
      <c r="C61">
        <v>-3.6940000000000001E-2</v>
      </c>
      <c r="D61" t="s">
        <v>1311</v>
      </c>
    </row>
    <row r="62" spans="1:4" x14ac:dyDescent="0.35">
      <c r="A62" s="67">
        <v>39447</v>
      </c>
      <c r="B62">
        <v>-3.5439999999999999E-2</v>
      </c>
      <c r="C62">
        <v>-2.5479999999999999E-2</v>
      </c>
      <c r="D62" t="s">
        <v>1311</v>
      </c>
    </row>
    <row r="63" spans="1:4" x14ac:dyDescent="0.35">
      <c r="A63" s="67">
        <v>39478</v>
      </c>
      <c r="B63">
        <v>-7.0069999999999993E-2</v>
      </c>
      <c r="C63">
        <v>-7.868E-2</v>
      </c>
      <c r="D63" t="s">
        <v>1311</v>
      </c>
    </row>
    <row r="64" spans="1:4" x14ac:dyDescent="0.35">
      <c r="A64" s="67">
        <v>39507</v>
      </c>
      <c r="B64">
        <v>0.10936999999999999</v>
      </c>
      <c r="C64">
        <v>0.11335000000000001</v>
      </c>
      <c r="D64" t="s">
        <v>1311</v>
      </c>
    </row>
    <row r="65" spans="1:4" x14ac:dyDescent="0.35">
      <c r="A65" s="67">
        <v>39538</v>
      </c>
      <c r="B65">
        <v>-3.4049999999999997E-2</v>
      </c>
      <c r="C65">
        <v>-3.056E-2</v>
      </c>
      <c r="D65" t="s">
        <v>1311</v>
      </c>
    </row>
    <row r="66" spans="1:4" x14ac:dyDescent="0.35">
      <c r="A66" s="67">
        <v>39568</v>
      </c>
      <c r="B66">
        <v>3.9239999999999997E-2</v>
      </c>
      <c r="C66">
        <v>4.1599999999999998E-2</v>
      </c>
      <c r="D66" t="s">
        <v>1311</v>
      </c>
    </row>
    <row r="67" spans="1:4" x14ac:dyDescent="0.35">
      <c r="A67" s="67">
        <v>39599</v>
      </c>
      <c r="B67">
        <v>2.8080000000000001E-2</v>
      </c>
      <c r="C67">
        <v>9.0600000000000003E-3</v>
      </c>
      <c r="D67" t="s">
        <v>1311</v>
      </c>
    </row>
    <row r="68" spans="1:4" x14ac:dyDescent="0.35">
      <c r="A68" s="67">
        <v>39629</v>
      </c>
      <c r="B68">
        <v>-6.5579999999999999E-2</v>
      </c>
      <c r="C68">
        <v>-7.3389999999999997E-2</v>
      </c>
      <c r="D68" t="s">
        <v>1311</v>
      </c>
    </row>
    <row r="69" spans="1:4" x14ac:dyDescent="0.35">
      <c r="A69" s="67">
        <v>39660</v>
      </c>
      <c r="B69">
        <v>-5.049E-2</v>
      </c>
      <c r="C69">
        <v>-1.5180000000000001E-2</v>
      </c>
      <c r="D69" t="s">
        <v>1311</v>
      </c>
    </row>
    <row r="70" spans="1:4" x14ac:dyDescent="0.35">
      <c r="A70" s="67">
        <v>39691</v>
      </c>
      <c r="B70">
        <v>1.257E-2</v>
      </c>
      <c r="C70">
        <v>2.0879999999999999E-2</v>
      </c>
      <c r="D70" t="s">
        <v>1311</v>
      </c>
    </row>
    <row r="71" spans="1:4" x14ac:dyDescent="0.35">
      <c r="A71" s="67">
        <v>39721</v>
      </c>
      <c r="B71">
        <v>-0.10494000000000001</v>
      </c>
      <c r="C71">
        <v>-9.6579999999999999E-2</v>
      </c>
      <c r="D71" t="s">
        <v>1311</v>
      </c>
    </row>
    <row r="72" spans="1:4" x14ac:dyDescent="0.35">
      <c r="A72" s="67">
        <v>39752</v>
      </c>
      <c r="B72">
        <v>-0.11919</v>
      </c>
      <c r="C72">
        <v>-6.0429999999999998E-2</v>
      </c>
      <c r="D72" t="s">
        <v>1311</v>
      </c>
    </row>
    <row r="73" spans="1:4" x14ac:dyDescent="0.35">
      <c r="A73" s="67">
        <v>39782</v>
      </c>
      <c r="B73">
        <v>8.6700000000000006E-3</v>
      </c>
      <c r="C73">
        <v>-2.818E-2</v>
      </c>
      <c r="D73" t="s">
        <v>1311</v>
      </c>
    </row>
    <row r="74" spans="1:4" x14ac:dyDescent="0.35">
      <c r="A74" s="67">
        <v>39813</v>
      </c>
      <c r="B74">
        <v>2.9790000000000001E-2</v>
      </c>
      <c r="C74">
        <v>2.743E-2</v>
      </c>
      <c r="D74" t="s">
        <v>1311</v>
      </c>
    </row>
    <row r="75" spans="1:4" x14ac:dyDescent="0.35">
      <c r="A75" s="67">
        <v>39844</v>
      </c>
      <c r="B75">
        <v>-4.7230000000000001E-2</v>
      </c>
      <c r="C75">
        <v>-5.713E-2</v>
      </c>
      <c r="D75" t="s">
        <v>1311</v>
      </c>
    </row>
    <row r="76" spans="1:4" x14ac:dyDescent="0.35">
      <c r="A76" s="67">
        <v>39872</v>
      </c>
      <c r="B76">
        <v>-9.4649999999999998E-2</v>
      </c>
      <c r="C76">
        <v>-9.2630000000000004E-2</v>
      </c>
      <c r="D76" t="s">
        <v>1311</v>
      </c>
    </row>
    <row r="77" spans="1:4" x14ac:dyDescent="0.35">
      <c r="A77" s="67">
        <v>39903</v>
      </c>
      <c r="B77">
        <v>0.10604</v>
      </c>
      <c r="C77">
        <v>9.2789999999999997E-2</v>
      </c>
      <c r="D77" t="s">
        <v>1311</v>
      </c>
    </row>
    <row r="78" spans="1:4" x14ac:dyDescent="0.35">
      <c r="A78" s="67">
        <v>39933</v>
      </c>
      <c r="B78">
        <v>2.3709999999999998E-2</v>
      </c>
      <c r="C78">
        <v>4.3679999999999997E-2</v>
      </c>
      <c r="D78" t="s">
        <v>1311</v>
      </c>
    </row>
    <row r="79" spans="1:4" x14ac:dyDescent="0.35">
      <c r="A79" s="67">
        <v>39964</v>
      </c>
      <c r="B79">
        <v>8.6379999999999998E-2</v>
      </c>
      <c r="C79">
        <v>6.1699999999999998E-2</v>
      </c>
      <c r="D79" t="s">
        <v>1311</v>
      </c>
    </row>
    <row r="80" spans="1:4" x14ac:dyDescent="0.35">
      <c r="A80" s="67">
        <v>39994</v>
      </c>
      <c r="B80">
        <v>-1.336E-2</v>
      </c>
      <c r="C80">
        <v>3.8800000000000002E-3</v>
      </c>
      <c r="D80" t="s">
        <v>1311</v>
      </c>
    </row>
    <row r="81" spans="1:4" x14ac:dyDescent="0.35">
      <c r="A81" s="67">
        <v>40025</v>
      </c>
      <c r="B81">
        <v>8.9889999999999998E-2</v>
      </c>
      <c r="C81">
        <v>9.7500000000000003E-2</v>
      </c>
      <c r="D81" t="s">
        <v>1311</v>
      </c>
    </row>
    <row r="82" spans="1:4" x14ac:dyDescent="0.35">
      <c r="A82" s="67">
        <v>40056</v>
      </c>
      <c r="B82">
        <v>4.0910000000000002E-2</v>
      </c>
      <c r="C82">
        <v>4.9119999999999997E-2</v>
      </c>
      <c r="D82" t="s">
        <v>1311</v>
      </c>
    </row>
    <row r="83" spans="1:4" x14ac:dyDescent="0.35">
      <c r="A83" s="67">
        <v>40086</v>
      </c>
      <c r="B83">
        <v>3.8999999999999998E-3</v>
      </c>
      <c r="C83">
        <v>1.3339999999999999E-2</v>
      </c>
      <c r="D83" t="s">
        <v>1311</v>
      </c>
    </row>
    <row r="84" spans="1:4" x14ac:dyDescent="0.35">
      <c r="A84" s="67">
        <v>40117</v>
      </c>
      <c r="B84">
        <v>4.4400000000000002E-2</v>
      </c>
      <c r="C84">
        <v>3.3459999999999997E-2</v>
      </c>
      <c r="D84" t="s">
        <v>1311</v>
      </c>
    </row>
    <row r="85" spans="1:4" x14ac:dyDescent="0.35">
      <c r="A85" s="67">
        <v>40147</v>
      </c>
      <c r="B85">
        <v>4.5500000000000002E-3</v>
      </c>
      <c r="C85">
        <v>-2.052E-2</v>
      </c>
      <c r="D85" t="s">
        <v>1311</v>
      </c>
    </row>
    <row r="86" spans="1:4" x14ac:dyDescent="0.35">
      <c r="A86" s="67">
        <v>40178</v>
      </c>
      <c r="B86">
        <v>3.8580000000000003E-2</v>
      </c>
      <c r="C86">
        <v>3.6909999999999998E-2</v>
      </c>
      <c r="D86" t="s">
        <v>1311</v>
      </c>
    </row>
    <row r="87" spans="1:4" x14ac:dyDescent="0.35">
      <c r="A87" s="67">
        <v>40209</v>
      </c>
      <c r="B87">
        <v>-2.6190000000000001E-2</v>
      </c>
      <c r="C87">
        <v>-2.2290000000000001E-2</v>
      </c>
      <c r="D87" t="s">
        <v>1311</v>
      </c>
    </row>
    <row r="88" spans="1:4" x14ac:dyDescent="0.35">
      <c r="A88" s="67">
        <v>40237</v>
      </c>
      <c r="B88">
        <v>1.005E-2</v>
      </c>
      <c r="C88">
        <v>2.777E-2</v>
      </c>
      <c r="D88" t="s">
        <v>1311</v>
      </c>
    </row>
    <row r="89" spans="1:4" x14ac:dyDescent="0.35">
      <c r="A89" s="67">
        <v>40268</v>
      </c>
      <c r="B89">
        <v>6.9150000000000003E-2</v>
      </c>
      <c r="C89">
        <v>5.7349999999999998E-2</v>
      </c>
      <c r="D89" t="s">
        <v>1311</v>
      </c>
    </row>
    <row r="90" spans="1:4" x14ac:dyDescent="0.35">
      <c r="A90" s="67">
        <v>40298</v>
      </c>
      <c r="B90">
        <v>5.79E-3</v>
      </c>
      <c r="C90">
        <v>2.1099999999999999E-3</v>
      </c>
      <c r="D90" t="s">
        <v>1311</v>
      </c>
    </row>
    <row r="91" spans="1:4" x14ac:dyDescent="0.35">
      <c r="A91" s="67">
        <v>40329</v>
      </c>
      <c r="B91">
        <v>-4.4359999999999997E-2</v>
      </c>
      <c r="C91">
        <v>-2.5489999999999999E-2</v>
      </c>
      <c r="D91" t="s">
        <v>1311</v>
      </c>
    </row>
    <row r="92" spans="1:4" x14ac:dyDescent="0.35">
      <c r="A92" s="67">
        <v>40359</v>
      </c>
      <c r="B92">
        <v>-3.2800000000000003E-2</v>
      </c>
      <c r="C92">
        <v>-2.2069999999999999E-2</v>
      </c>
      <c r="D92" t="s">
        <v>1311</v>
      </c>
    </row>
    <row r="93" spans="1:4" x14ac:dyDescent="0.35">
      <c r="A93" s="67">
        <v>40390</v>
      </c>
      <c r="B93">
        <v>8.3769999999999997E-2</v>
      </c>
      <c r="C93">
        <v>8.6709999999999995E-2</v>
      </c>
      <c r="D93" t="s">
        <v>1311</v>
      </c>
    </row>
    <row r="94" spans="1:4" x14ac:dyDescent="0.35">
      <c r="A94" s="67">
        <v>40421</v>
      </c>
      <c r="B94">
        <v>-3.0159999999999999E-2</v>
      </c>
      <c r="C94">
        <v>-2.068E-2</v>
      </c>
      <c r="D94" t="s">
        <v>1311</v>
      </c>
    </row>
    <row r="95" spans="1:4" x14ac:dyDescent="0.35">
      <c r="A95" s="67">
        <v>40451</v>
      </c>
      <c r="B95">
        <v>8.7730000000000002E-2</v>
      </c>
      <c r="C95">
        <v>9.8809999999999995E-2</v>
      </c>
      <c r="D95" t="s">
        <v>1311</v>
      </c>
    </row>
    <row r="96" spans="1:4" x14ac:dyDescent="0.35">
      <c r="A96" s="67">
        <v>40482</v>
      </c>
      <c r="B96">
        <v>2.3539999999999998E-2</v>
      </c>
      <c r="C96">
        <v>2.1669999999999998E-2</v>
      </c>
      <c r="D96" t="s">
        <v>1311</v>
      </c>
    </row>
    <row r="97" spans="1:4" x14ac:dyDescent="0.35">
      <c r="A97" s="67">
        <v>40512</v>
      </c>
      <c r="B97">
        <v>-7.3499999999999998E-3</v>
      </c>
      <c r="C97">
        <v>-1.5810000000000001E-2</v>
      </c>
      <c r="D97" t="s">
        <v>1311</v>
      </c>
    </row>
    <row r="98" spans="1:4" x14ac:dyDescent="0.35">
      <c r="A98" s="67">
        <v>40543</v>
      </c>
      <c r="B98">
        <v>6.4240000000000005E-2</v>
      </c>
      <c r="C98">
        <v>5.6430000000000001E-2</v>
      </c>
      <c r="D98" t="s">
        <v>1311</v>
      </c>
    </row>
    <row r="99" spans="1:4" x14ac:dyDescent="0.35">
      <c r="A99" s="67">
        <v>40574</v>
      </c>
      <c r="B99">
        <v>-3.286E-2</v>
      </c>
      <c r="C99">
        <v>-4.1419999999999998E-2</v>
      </c>
      <c r="D99" t="s">
        <v>1311</v>
      </c>
    </row>
    <row r="100" spans="1:4" x14ac:dyDescent="0.35">
      <c r="A100" s="67">
        <v>40602</v>
      </c>
      <c r="B100">
        <v>2.0060000000000001E-2</v>
      </c>
      <c r="C100">
        <v>2.317E-2</v>
      </c>
      <c r="D100" t="s">
        <v>1311</v>
      </c>
    </row>
    <row r="101" spans="1:4" x14ac:dyDescent="0.35">
      <c r="A101" s="67">
        <v>40633</v>
      </c>
      <c r="B101">
        <v>1.7659999999999999E-2</v>
      </c>
      <c r="C101">
        <v>3.3799999999999997E-2</v>
      </c>
      <c r="D101" t="s">
        <v>1311</v>
      </c>
    </row>
    <row r="102" spans="1:4" x14ac:dyDescent="0.35">
      <c r="A102" s="67">
        <v>40663</v>
      </c>
      <c r="B102">
        <v>2.5930000000000002E-2</v>
      </c>
      <c r="C102">
        <v>3.9030000000000002E-2</v>
      </c>
      <c r="D102" t="s">
        <v>1311</v>
      </c>
    </row>
    <row r="103" spans="1:4" x14ac:dyDescent="0.35">
      <c r="A103" s="67">
        <v>40694</v>
      </c>
      <c r="B103">
        <v>-7.9500000000000005E-3</v>
      </c>
      <c r="C103">
        <v>-1.0109999999999999E-2</v>
      </c>
      <c r="D103" t="s">
        <v>1311</v>
      </c>
    </row>
    <row r="104" spans="1:4" x14ac:dyDescent="0.35">
      <c r="A104" s="67">
        <v>40724</v>
      </c>
      <c r="B104">
        <v>-1.529E-2</v>
      </c>
      <c r="C104">
        <v>4.2700000000000004E-3</v>
      </c>
      <c r="D104" t="s">
        <v>1311</v>
      </c>
    </row>
    <row r="105" spans="1:4" x14ac:dyDescent="0.35">
      <c r="A105" s="67">
        <v>40755</v>
      </c>
      <c r="B105">
        <v>-1.4749999999999999E-2</v>
      </c>
      <c r="C105">
        <v>-4.6899999999999997E-3</v>
      </c>
      <c r="D105" t="s">
        <v>1311</v>
      </c>
    </row>
    <row r="106" spans="1:4" x14ac:dyDescent="0.35">
      <c r="A106" s="67">
        <v>40786</v>
      </c>
      <c r="B106">
        <v>4.8500000000000001E-3</v>
      </c>
      <c r="C106">
        <v>1.4080000000000001E-2</v>
      </c>
      <c r="D106" t="s">
        <v>1311</v>
      </c>
    </row>
    <row r="107" spans="1:4" x14ac:dyDescent="0.35">
      <c r="A107" s="67">
        <v>40816</v>
      </c>
      <c r="B107">
        <v>-3.3160000000000002E-2</v>
      </c>
      <c r="C107">
        <v>-4.3569999999999998E-2</v>
      </c>
      <c r="D107" t="s">
        <v>1311</v>
      </c>
    </row>
    <row r="108" spans="1:4" x14ac:dyDescent="0.35">
      <c r="A108" s="67">
        <v>40847</v>
      </c>
      <c r="B108">
        <v>7.6600000000000001E-2</v>
      </c>
      <c r="C108">
        <v>7.6679999999999998E-2</v>
      </c>
      <c r="D108" t="s">
        <v>1311</v>
      </c>
    </row>
    <row r="109" spans="1:4" x14ac:dyDescent="0.35">
      <c r="A109" s="67">
        <v>40877</v>
      </c>
      <c r="B109">
        <v>1.9550000000000001E-2</v>
      </c>
      <c r="C109">
        <v>2.316E-2</v>
      </c>
      <c r="D109" t="s">
        <v>1311</v>
      </c>
    </row>
    <row r="110" spans="1:4" x14ac:dyDescent="0.35">
      <c r="A110" s="67">
        <v>40908</v>
      </c>
      <c r="B110">
        <v>-1.375E-2</v>
      </c>
      <c r="C110">
        <v>-5.0400000000000002E-3</v>
      </c>
      <c r="D110" t="s">
        <v>1311</v>
      </c>
    </row>
    <row r="111" spans="1:4" x14ac:dyDescent="0.35">
      <c r="A111" s="67">
        <v>40939</v>
      </c>
      <c r="B111">
        <v>4.5280000000000001E-2</v>
      </c>
      <c r="C111">
        <v>4.9509999999999998E-2</v>
      </c>
      <c r="D111" t="s">
        <v>1311</v>
      </c>
    </row>
    <row r="112" spans="1:4" x14ac:dyDescent="0.35">
      <c r="A112" s="67">
        <v>40968</v>
      </c>
      <c r="B112">
        <v>2.8060000000000002E-2</v>
      </c>
      <c r="C112">
        <v>4.0660000000000002E-2</v>
      </c>
      <c r="D112" t="s">
        <v>1311</v>
      </c>
    </row>
    <row r="113" spans="1:4" x14ac:dyDescent="0.35">
      <c r="A113" s="67">
        <v>40999</v>
      </c>
      <c r="B113" s="68">
        <v>2.3000000000000001E-4</v>
      </c>
      <c r="C113">
        <v>1.465E-2</v>
      </c>
      <c r="D113" t="s">
        <v>1311</v>
      </c>
    </row>
    <row r="114" spans="1:4" x14ac:dyDescent="0.35">
      <c r="A114" s="67">
        <v>41029</v>
      </c>
      <c r="B114">
        <v>2.7210000000000002E-2</v>
      </c>
      <c r="C114">
        <v>2.1340000000000001E-2</v>
      </c>
      <c r="D114" t="s">
        <v>1311</v>
      </c>
    </row>
    <row r="115" spans="1:4" x14ac:dyDescent="0.35">
      <c r="A115" s="67">
        <v>41060</v>
      </c>
      <c r="B115">
        <v>-3.1119999999999998E-2</v>
      </c>
      <c r="C115">
        <v>-2.649E-2</v>
      </c>
      <c r="D115" t="s">
        <v>1311</v>
      </c>
    </row>
    <row r="116" spans="1:4" x14ac:dyDescent="0.35">
      <c r="A116" s="67">
        <v>41090</v>
      </c>
      <c r="B116">
        <v>2.2159999999999999E-2</v>
      </c>
      <c r="C116">
        <v>3.1230000000000001E-2</v>
      </c>
      <c r="D116" t="s">
        <v>1311</v>
      </c>
    </row>
    <row r="117" spans="1:4" x14ac:dyDescent="0.35">
      <c r="A117" s="67">
        <v>41121</v>
      </c>
      <c r="B117">
        <v>3.1919999999999997E-2</v>
      </c>
      <c r="C117">
        <v>3.703E-2</v>
      </c>
      <c r="D117" t="s">
        <v>1311</v>
      </c>
    </row>
    <row r="118" spans="1:4" x14ac:dyDescent="0.35">
      <c r="A118" s="67">
        <v>41152</v>
      </c>
      <c r="B118">
        <v>2.7089999999999999E-2</v>
      </c>
      <c r="C118">
        <v>3.8260000000000002E-2</v>
      </c>
      <c r="D118" t="s">
        <v>1311</v>
      </c>
    </row>
    <row r="119" spans="1:4" x14ac:dyDescent="0.35">
      <c r="A119" s="67">
        <v>41182</v>
      </c>
      <c r="B119">
        <v>1.1979999999999999E-2</v>
      </c>
      <c r="C119">
        <v>9.5899999999999996E-3</v>
      </c>
      <c r="D119" t="s">
        <v>1311</v>
      </c>
    </row>
    <row r="120" spans="1:4" x14ac:dyDescent="0.35">
      <c r="A120" s="67">
        <v>41213</v>
      </c>
      <c r="B120">
        <v>3.286E-2</v>
      </c>
      <c r="C120">
        <v>3.9750000000000001E-2</v>
      </c>
      <c r="D120" t="s">
        <v>1311</v>
      </c>
    </row>
    <row r="121" spans="1:4" x14ac:dyDescent="0.35">
      <c r="A121" s="67">
        <v>41243</v>
      </c>
      <c r="B121">
        <v>2.138E-2</v>
      </c>
      <c r="C121">
        <v>3.3910000000000003E-2</v>
      </c>
      <c r="D121" t="s">
        <v>1311</v>
      </c>
    </row>
    <row r="122" spans="1:4" x14ac:dyDescent="0.35">
      <c r="A122" s="67">
        <v>41274</v>
      </c>
      <c r="B122">
        <v>4.3319999999999997E-2</v>
      </c>
      <c r="C122">
        <v>4.4089999999999997E-2</v>
      </c>
      <c r="D122" t="s">
        <v>1311</v>
      </c>
    </row>
    <row r="123" spans="1:4" x14ac:dyDescent="0.35">
      <c r="A123" s="67">
        <v>41305</v>
      </c>
      <c r="B123">
        <v>1.507E-2</v>
      </c>
      <c r="C123">
        <v>2.7359999999999999E-2</v>
      </c>
      <c r="D123" t="s">
        <v>1311</v>
      </c>
    </row>
    <row r="124" spans="1:4" x14ac:dyDescent="0.35">
      <c r="A124" s="67">
        <v>41333</v>
      </c>
      <c r="B124">
        <v>-1.11E-2</v>
      </c>
      <c r="C124">
        <v>1.7600000000000001E-3</v>
      </c>
      <c r="D124" t="s">
        <v>1311</v>
      </c>
    </row>
    <row r="125" spans="1:4" x14ac:dyDescent="0.35">
      <c r="A125" s="67">
        <v>41364</v>
      </c>
      <c r="B125">
        <v>1.221E-2</v>
      </c>
      <c r="C125">
        <v>2.1510000000000001E-2</v>
      </c>
      <c r="D125" t="s">
        <v>1311</v>
      </c>
    </row>
    <row r="126" spans="1:4" x14ac:dyDescent="0.35">
      <c r="A126" s="67">
        <v>41394</v>
      </c>
      <c r="B126">
        <v>-1.677E-2</v>
      </c>
      <c r="C126">
        <v>-2.0999999999999999E-3</v>
      </c>
      <c r="D126" t="s">
        <v>1311</v>
      </c>
    </row>
    <row r="127" spans="1:4" x14ac:dyDescent="0.35">
      <c r="A127" s="67">
        <v>41425</v>
      </c>
      <c r="B127">
        <v>6.701E-2</v>
      </c>
      <c r="C127">
        <v>6.0409999999999998E-2</v>
      </c>
      <c r="D127" t="s">
        <v>1311</v>
      </c>
    </row>
    <row r="128" spans="1:4" x14ac:dyDescent="0.35">
      <c r="A128" s="67">
        <v>41455</v>
      </c>
      <c r="B128">
        <v>-3.9940000000000003E-2</v>
      </c>
      <c r="C128">
        <v>-4.2110000000000002E-2</v>
      </c>
      <c r="D128" t="s">
        <v>1311</v>
      </c>
    </row>
    <row r="129" spans="1:4" x14ac:dyDescent="0.35">
      <c r="A129" s="67">
        <v>41486</v>
      </c>
      <c r="B129">
        <v>3.261E-2</v>
      </c>
      <c r="C129">
        <v>3.5310000000000001E-2</v>
      </c>
      <c r="D129" t="s">
        <v>1311</v>
      </c>
    </row>
    <row r="130" spans="1:4" x14ac:dyDescent="0.35">
      <c r="A130" s="67">
        <v>41517</v>
      </c>
      <c r="B130">
        <v>2.0320000000000001E-2</v>
      </c>
      <c r="C130">
        <v>5.1999999999999998E-3</v>
      </c>
      <c r="D130" t="s">
        <v>1311</v>
      </c>
    </row>
    <row r="131" spans="1:4" x14ac:dyDescent="0.35">
      <c r="A131" s="67">
        <v>41547</v>
      </c>
      <c r="B131">
        <v>5.57E-2</v>
      </c>
      <c r="C131">
        <v>5.4120000000000001E-2</v>
      </c>
      <c r="D131" t="s">
        <v>1311</v>
      </c>
    </row>
    <row r="132" spans="1:4" x14ac:dyDescent="0.35">
      <c r="A132" s="67">
        <v>41578</v>
      </c>
      <c r="B132">
        <v>4.1349999999999998E-2</v>
      </c>
      <c r="C132">
        <v>5.0659999999999997E-2</v>
      </c>
      <c r="D132" t="s">
        <v>1311</v>
      </c>
    </row>
    <row r="133" spans="1:4" x14ac:dyDescent="0.35">
      <c r="A133" s="67">
        <v>41608</v>
      </c>
      <c r="B133">
        <v>-1.6039999999999999E-2</v>
      </c>
      <c r="C133">
        <v>-1.4760000000000001E-2</v>
      </c>
      <c r="D133" t="s">
        <v>1311</v>
      </c>
    </row>
    <row r="134" spans="1:4" x14ac:dyDescent="0.35">
      <c r="A134" s="67">
        <v>41639</v>
      </c>
      <c r="B134">
        <v>3.4970000000000001E-2</v>
      </c>
      <c r="C134">
        <v>4.1090000000000002E-2</v>
      </c>
      <c r="D134" t="s">
        <v>1311</v>
      </c>
    </row>
    <row r="135" spans="1:4" x14ac:dyDescent="0.35">
      <c r="A135" s="67">
        <v>41670</v>
      </c>
      <c r="B135">
        <v>-3.3369999999999997E-2</v>
      </c>
      <c r="C135">
        <v>-5.8119999999999998E-2</v>
      </c>
      <c r="D135" t="s">
        <v>1311</v>
      </c>
    </row>
    <row r="136" spans="1:4" x14ac:dyDescent="0.35">
      <c r="A136" s="67">
        <v>41698</v>
      </c>
      <c r="B136">
        <v>4.9020000000000001E-2</v>
      </c>
      <c r="C136">
        <v>5.4300000000000001E-2</v>
      </c>
      <c r="D136" t="s">
        <v>1311</v>
      </c>
    </row>
    <row r="137" spans="1:4" x14ac:dyDescent="0.35">
      <c r="A137" s="67">
        <v>41729</v>
      </c>
      <c r="B137">
        <v>3.3480000000000003E-2</v>
      </c>
      <c r="C137">
        <v>4.632E-2</v>
      </c>
      <c r="D137" t="s">
        <v>1311</v>
      </c>
    </row>
    <row r="138" spans="1:4" x14ac:dyDescent="0.35">
      <c r="A138" s="67">
        <v>41759</v>
      </c>
      <c r="B138">
        <v>1.6289999999999999E-2</v>
      </c>
      <c r="C138">
        <v>5.6899999999999997E-3</v>
      </c>
      <c r="D138" t="s">
        <v>1311</v>
      </c>
    </row>
    <row r="139" spans="1:4" x14ac:dyDescent="0.35">
      <c r="A139" s="67">
        <v>41790</v>
      </c>
      <c r="B139">
        <v>2.1999999999999999E-2</v>
      </c>
      <c r="C139">
        <v>2.6610000000000002E-2</v>
      </c>
      <c r="D139" t="s">
        <v>1311</v>
      </c>
    </row>
    <row r="140" spans="1:4" x14ac:dyDescent="0.35">
      <c r="A140" s="67">
        <v>41820</v>
      </c>
      <c r="B140">
        <v>2.7230000000000001E-2</v>
      </c>
      <c r="C140">
        <v>3.1309999999999998E-2</v>
      </c>
      <c r="D140" t="s">
        <v>1311</v>
      </c>
    </row>
    <row r="141" spans="1:4" x14ac:dyDescent="0.35">
      <c r="A141" s="67">
        <v>41851</v>
      </c>
      <c r="B141">
        <v>1.3639999999999999E-2</v>
      </c>
      <c r="C141">
        <v>1.529E-2</v>
      </c>
      <c r="D141" t="s">
        <v>1311</v>
      </c>
    </row>
    <row r="142" spans="1:4" x14ac:dyDescent="0.35">
      <c r="A142" s="67">
        <v>41882</v>
      </c>
      <c r="B142">
        <v>6.0499999999999998E-3</v>
      </c>
      <c r="C142">
        <v>1.159E-2</v>
      </c>
      <c r="D142" t="s">
        <v>1311</v>
      </c>
    </row>
    <row r="143" spans="1:4" x14ac:dyDescent="0.35">
      <c r="A143" s="67">
        <v>41912</v>
      </c>
      <c r="B143">
        <v>-2.4250000000000001E-2</v>
      </c>
      <c r="C143">
        <v>-2.316E-2</v>
      </c>
      <c r="D143" t="s">
        <v>1311</v>
      </c>
    </row>
    <row r="144" spans="1:4" x14ac:dyDescent="0.35">
      <c r="A144" s="67">
        <v>41943</v>
      </c>
      <c r="B144">
        <v>2.8250000000000001E-2</v>
      </c>
      <c r="C144">
        <v>4.8779999999999997E-2</v>
      </c>
      <c r="D144" t="s">
        <v>1311</v>
      </c>
    </row>
    <row r="145" spans="1:4" x14ac:dyDescent="0.35">
      <c r="A145" s="67">
        <v>41973</v>
      </c>
      <c r="B145">
        <v>6.1700000000000001E-3</v>
      </c>
      <c r="C145">
        <v>1.278E-2</v>
      </c>
      <c r="D145" t="s">
        <v>1311</v>
      </c>
    </row>
    <row r="146" spans="1:4" x14ac:dyDescent="0.35">
      <c r="A146" s="67">
        <v>42004</v>
      </c>
      <c r="B146">
        <v>2.7599999999999999E-3</v>
      </c>
      <c r="C146" s="68">
        <v>-3.0000000000000001E-5</v>
      </c>
      <c r="D146" t="s">
        <v>1311</v>
      </c>
    </row>
    <row r="147" spans="1:4" x14ac:dyDescent="0.35">
      <c r="A147" s="67">
        <v>42035</v>
      </c>
      <c r="B147">
        <v>3.9629999999999999E-2</v>
      </c>
      <c r="C147">
        <v>6.1350000000000002E-2</v>
      </c>
      <c r="D147" t="s">
        <v>1311</v>
      </c>
    </row>
    <row r="148" spans="1:4" x14ac:dyDescent="0.35">
      <c r="A148" s="67">
        <v>42063</v>
      </c>
      <c r="B148">
        <v>2.5680000000000001E-2</v>
      </c>
      <c r="C148">
        <v>3.458E-2</v>
      </c>
      <c r="D148" t="s">
        <v>1311</v>
      </c>
    </row>
    <row r="149" spans="1:4" x14ac:dyDescent="0.35">
      <c r="A149" s="67">
        <v>42094</v>
      </c>
      <c r="B149" s="68">
        <v>7.6999999999999996E-4</v>
      </c>
      <c r="C149">
        <v>-5.5900000000000004E-3</v>
      </c>
      <c r="D149" t="s">
        <v>1311</v>
      </c>
    </row>
    <row r="150" spans="1:4" x14ac:dyDescent="0.35">
      <c r="A150" s="67">
        <v>42124</v>
      </c>
      <c r="B150">
        <v>4.4060000000000002E-2</v>
      </c>
      <c r="C150">
        <v>4.6269999999999999E-2</v>
      </c>
      <c r="D150" t="s">
        <v>1311</v>
      </c>
    </row>
    <row r="151" spans="1:4" x14ac:dyDescent="0.35">
      <c r="A151" s="67">
        <v>42155</v>
      </c>
      <c r="B151">
        <v>-4.863E-2</v>
      </c>
      <c r="C151">
        <v>-4.5569999999999999E-2</v>
      </c>
      <c r="D151" t="s">
        <v>1311</v>
      </c>
    </row>
    <row r="152" spans="1:4" x14ac:dyDescent="0.35">
      <c r="A152" s="67">
        <v>42185</v>
      </c>
      <c r="B152">
        <v>5.1500000000000001E-3</v>
      </c>
      <c r="C152">
        <v>2.5000000000000001E-3</v>
      </c>
      <c r="D152" t="s">
        <v>1311</v>
      </c>
    </row>
    <row r="153" spans="1:4" x14ac:dyDescent="0.35">
      <c r="A153" s="67">
        <v>42216</v>
      </c>
      <c r="B153" s="68">
        <v>6.4000000000000005E-4</v>
      </c>
      <c r="C153">
        <v>2.0330000000000001E-2</v>
      </c>
      <c r="D153" t="s">
        <v>1311</v>
      </c>
    </row>
    <row r="154" spans="1:4" x14ac:dyDescent="0.35">
      <c r="A154" s="67">
        <v>42247</v>
      </c>
      <c r="B154">
        <v>-3.1119999999999998E-2</v>
      </c>
      <c r="C154">
        <v>-3.2039999999999999E-2</v>
      </c>
      <c r="D154" t="s">
        <v>1311</v>
      </c>
    </row>
    <row r="155" spans="1:4" x14ac:dyDescent="0.35">
      <c r="A155" s="67">
        <v>42277</v>
      </c>
      <c r="B155">
        <v>-1.069E-2</v>
      </c>
      <c r="C155">
        <v>-6.8500000000000002E-3</v>
      </c>
      <c r="D155" t="s">
        <v>1311</v>
      </c>
    </row>
    <row r="156" spans="1:4" x14ac:dyDescent="0.35">
      <c r="A156" s="67">
        <v>42308</v>
      </c>
      <c r="B156">
        <v>6.8970000000000004E-2</v>
      </c>
      <c r="C156">
        <v>8.2419999999999993E-2</v>
      </c>
      <c r="D156" t="s">
        <v>1311</v>
      </c>
    </row>
    <row r="157" spans="1:4" x14ac:dyDescent="0.35">
      <c r="A157" s="67">
        <v>42338</v>
      </c>
      <c r="B157">
        <v>-3.083E-2</v>
      </c>
      <c r="C157">
        <v>-1.8610000000000002E-2</v>
      </c>
      <c r="D157" t="s">
        <v>1311</v>
      </c>
    </row>
    <row r="158" spans="1:4" x14ac:dyDescent="0.35">
      <c r="A158" s="67">
        <v>42369</v>
      </c>
      <c r="B158">
        <v>-2.9190000000000001E-2</v>
      </c>
      <c r="C158">
        <v>-4.018E-2</v>
      </c>
      <c r="D158" t="s">
        <v>1311</v>
      </c>
    </row>
    <row r="159" spans="1:4" x14ac:dyDescent="0.35">
      <c r="A159" s="67">
        <v>42400</v>
      </c>
      <c r="B159">
        <v>-1.9879999999999998E-2</v>
      </c>
      <c r="C159">
        <v>-1.4630000000000001E-2</v>
      </c>
      <c r="D159" t="s">
        <v>1311</v>
      </c>
    </row>
    <row r="160" spans="1:4" x14ac:dyDescent="0.35">
      <c r="A160" s="67">
        <v>42429</v>
      </c>
      <c r="B160">
        <v>5.47E-3</v>
      </c>
      <c r="C160">
        <v>-9.2499999999999995E-3</v>
      </c>
      <c r="D160" t="s">
        <v>1311</v>
      </c>
    </row>
    <row r="161" spans="1:4" x14ac:dyDescent="0.35">
      <c r="A161" s="67">
        <v>42460</v>
      </c>
      <c r="B161">
        <v>8.1739999999999993E-2</v>
      </c>
      <c r="C161">
        <v>7.0680000000000007E-2</v>
      </c>
      <c r="D161" t="s">
        <v>1311</v>
      </c>
    </row>
    <row r="162" spans="1:4" x14ac:dyDescent="0.35">
      <c r="A162" s="67">
        <v>42490</v>
      </c>
      <c r="B162">
        <v>1.6898409E-2</v>
      </c>
      <c r="C162">
        <v>1.9775000000000001E-2</v>
      </c>
      <c r="D162" t="s">
        <v>1312</v>
      </c>
    </row>
    <row r="163" spans="1:4" x14ac:dyDescent="0.35">
      <c r="A163" s="67">
        <v>42521</v>
      </c>
      <c r="B163">
        <v>2.731149E-3</v>
      </c>
      <c r="C163">
        <v>6.875E-3</v>
      </c>
      <c r="D163" t="s">
        <v>1312</v>
      </c>
    </row>
    <row r="164" spans="1:4" x14ac:dyDescent="0.35">
      <c r="A164" s="67">
        <v>42551</v>
      </c>
      <c r="B164">
        <v>-1.1701728999999999E-2</v>
      </c>
      <c r="C164">
        <v>-1.4725E-2</v>
      </c>
      <c r="D164" t="s">
        <v>1312</v>
      </c>
    </row>
    <row r="165" spans="1:4" x14ac:dyDescent="0.35">
      <c r="A165" s="67">
        <v>42582</v>
      </c>
      <c r="B165">
        <v>2.2779464999999999E-2</v>
      </c>
      <c r="C165">
        <v>1.9675000000000002E-2</v>
      </c>
      <c r="D165" t="s">
        <v>1312</v>
      </c>
    </row>
    <row r="166" spans="1:4" x14ac:dyDescent="0.35">
      <c r="A166" s="67">
        <v>42613</v>
      </c>
      <c r="B166">
        <v>-1.5955033E-2</v>
      </c>
      <c r="C166">
        <v>-2.0424999999999999E-2</v>
      </c>
      <c r="D166" t="s">
        <v>1312</v>
      </c>
    </row>
    <row r="167" spans="1:4" x14ac:dyDescent="0.35">
      <c r="A167" s="67">
        <v>42643</v>
      </c>
      <c r="B167">
        <v>-8.1764869999999996E-3</v>
      </c>
      <c r="C167">
        <v>-3.6250000000000002E-3</v>
      </c>
      <c r="D167" t="s">
        <v>1312</v>
      </c>
    </row>
    <row r="168" spans="1:4" x14ac:dyDescent="0.35">
      <c r="A168" s="67">
        <v>42674</v>
      </c>
      <c r="B168">
        <v>-2.5924116000000001E-2</v>
      </c>
      <c r="C168">
        <v>-3.4325000000000001E-2</v>
      </c>
      <c r="D168" t="s">
        <v>1312</v>
      </c>
    </row>
    <row r="169" spans="1:4" x14ac:dyDescent="0.35">
      <c r="A169" s="67">
        <v>42704</v>
      </c>
      <c r="B169">
        <v>-1.6466135999999999E-2</v>
      </c>
      <c r="C169">
        <v>-9.2250000000000006E-3</v>
      </c>
      <c r="D169" t="s">
        <v>1312</v>
      </c>
    </row>
    <row r="170" spans="1:4" x14ac:dyDescent="0.35">
      <c r="A170" s="67">
        <v>42735</v>
      </c>
      <c r="B170">
        <v>2.3572982999999999E-2</v>
      </c>
      <c r="C170">
        <v>3.5575000000000002E-2</v>
      </c>
      <c r="D170" t="s">
        <v>1312</v>
      </c>
    </row>
    <row r="171" spans="1:4" x14ac:dyDescent="0.35">
      <c r="A171" s="67">
        <v>42766</v>
      </c>
      <c r="B171">
        <v>2.2876832999999999E-2</v>
      </c>
      <c r="C171">
        <v>1.8374999999999999E-2</v>
      </c>
      <c r="D171" t="s">
        <v>1312</v>
      </c>
    </row>
    <row r="172" spans="1:4" x14ac:dyDescent="0.35">
      <c r="A172" s="67">
        <v>42794</v>
      </c>
      <c r="B172">
        <v>-1.4623608999999999E-2</v>
      </c>
      <c r="C172">
        <v>-9.025E-3</v>
      </c>
      <c r="D172" t="s">
        <v>1312</v>
      </c>
    </row>
    <row r="173" spans="1:4" x14ac:dyDescent="0.35">
      <c r="A173" s="67">
        <v>42825</v>
      </c>
      <c r="B173">
        <v>1.5470312999999999E-2</v>
      </c>
      <c r="C173">
        <v>8.175E-3</v>
      </c>
      <c r="D173" t="s">
        <v>1312</v>
      </c>
    </row>
    <row r="174" spans="1:4" x14ac:dyDescent="0.35">
      <c r="A174" s="67">
        <v>42855</v>
      </c>
      <c r="B174">
        <v>3.5248297999999997E-2</v>
      </c>
      <c r="C174">
        <v>2.2922999999999999E-2</v>
      </c>
      <c r="D174" t="s">
        <v>1312</v>
      </c>
    </row>
    <row r="175" spans="1:4" x14ac:dyDescent="0.35">
      <c r="A175" s="67">
        <v>42886</v>
      </c>
      <c r="B175">
        <v>-7.7726160000000004E-3</v>
      </c>
      <c r="C175">
        <v>-1.01937E-2</v>
      </c>
      <c r="D175" t="s">
        <v>1312</v>
      </c>
    </row>
    <row r="176" spans="1:4" x14ac:dyDescent="0.35">
      <c r="A176" s="67">
        <v>42916</v>
      </c>
      <c r="B176">
        <v>-3.581376E-2</v>
      </c>
      <c r="C176">
        <v>-3.9193800000000001E-2</v>
      </c>
      <c r="D176" t="s">
        <v>1312</v>
      </c>
    </row>
    <row r="177" spans="1:4" x14ac:dyDescent="0.35">
      <c r="A177" s="67">
        <v>42947</v>
      </c>
      <c r="B177">
        <v>5.2995797999999997E-2</v>
      </c>
      <c r="C177">
        <v>5.28111E-2</v>
      </c>
      <c r="D177" t="s">
        <v>1312</v>
      </c>
    </row>
    <row r="178" spans="1:4" x14ac:dyDescent="0.35">
      <c r="A178" s="67">
        <v>42978</v>
      </c>
      <c r="B178">
        <v>2.6037712000000001E-2</v>
      </c>
      <c r="C178">
        <v>2.6294399999999999E-2</v>
      </c>
      <c r="D178" t="s">
        <v>1312</v>
      </c>
    </row>
    <row r="179" spans="1:4" x14ac:dyDescent="0.35">
      <c r="A179" s="67">
        <v>43008</v>
      </c>
      <c r="B179">
        <v>-1.9142055000000002E-2</v>
      </c>
      <c r="C179">
        <v>-2.5158881000000001E-2</v>
      </c>
      <c r="D179" t="s">
        <v>1312</v>
      </c>
    </row>
    <row r="180" spans="1:4" x14ac:dyDescent="0.35">
      <c r="A180" s="67">
        <v>43039</v>
      </c>
      <c r="B180">
        <v>4.8811423999999999E-2</v>
      </c>
      <c r="C180">
        <v>4.1462499999999999E-2</v>
      </c>
      <c r="D180" t="s">
        <v>1312</v>
      </c>
    </row>
    <row r="181" spans="1:4" x14ac:dyDescent="0.35">
      <c r="A181" s="67">
        <v>43069</v>
      </c>
      <c r="B181">
        <v>2.46E-2</v>
      </c>
      <c r="C181">
        <v>3.7925800000000003E-2</v>
      </c>
      <c r="D181" t="s">
        <v>1312</v>
      </c>
    </row>
    <row r="182" spans="1:4" x14ac:dyDescent="0.35">
      <c r="A182" s="67">
        <v>43100</v>
      </c>
      <c r="B182">
        <v>9.0900000000000009E-3</v>
      </c>
      <c r="C182">
        <v>7.2319700000000001E-2</v>
      </c>
      <c r="D182" t="s">
        <v>1312</v>
      </c>
    </row>
    <row r="183" spans="1:4" x14ac:dyDescent="0.35">
      <c r="A183" s="67">
        <v>43131</v>
      </c>
      <c r="B183">
        <v>-4.4000000000000003E-3</v>
      </c>
      <c r="C183">
        <v>2.71548E-2</v>
      </c>
      <c r="D183" t="s">
        <v>1312</v>
      </c>
    </row>
    <row r="184" spans="1:4" x14ac:dyDescent="0.35">
      <c r="A184" s="67">
        <v>43159</v>
      </c>
      <c r="B184">
        <v>-7.9000000000000008E-3</v>
      </c>
      <c r="C184">
        <v>6.1695999999999999E-3</v>
      </c>
      <c r="D184" t="s">
        <v>1312</v>
      </c>
    </row>
    <row r="185" spans="1:4" x14ac:dyDescent="0.35">
      <c r="A185" s="67">
        <v>43190</v>
      </c>
      <c r="B185">
        <v>-3.9010000000000003E-2</v>
      </c>
      <c r="C185">
        <v>-3.4216799999999999E-2</v>
      </c>
      <c r="D185" t="s">
        <v>1312</v>
      </c>
    </row>
    <row r="186" spans="1:4" x14ac:dyDescent="0.35">
      <c r="A186" s="67">
        <v>43220</v>
      </c>
      <c r="B186">
        <v>4.0969999999999999E-2</v>
      </c>
      <c r="C186">
        <v>3.9768267000000003E-2</v>
      </c>
      <c r="D186" t="s">
        <v>1312</v>
      </c>
    </row>
    <row r="187" spans="1:4" x14ac:dyDescent="0.35">
      <c r="A187" s="67">
        <v>43251</v>
      </c>
      <c r="B187">
        <v>-5.3159999999999999E-2</v>
      </c>
      <c r="C187">
        <v>-5.2960332999999998E-2</v>
      </c>
      <c r="D187" t="s">
        <v>1312</v>
      </c>
    </row>
    <row r="188" spans="1:4" x14ac:dyDescent="0.35">
      <c r="A188" s="67">
        <v>43281</v>
      </c>
      <c r="B188">
        <v>6.5599999999999999E-3</v>
      </c>
      <c r="C188">
        <v>-1.4610633E-2</v>
      </c>
      <c r="D188" t="s">
        <v>1312</v>
      </c>
    </row>
    <row r="189" spans="1:4" x14ac:dyDescent="0.35">
      <c r="A189" s="67">
        <v>43312</v>
      </c>
      <c r="B189">
        <v>1.447E-2</v>
      </c>
      <c r="C189">
        <v>1.1837767000000001E-2</v>
      </c>
      <c r="D189" t="s">
        <v>1312</v>
      </c>
    </row>
    <row r="190" spans="1:4" x14ac:dyDescent="0.35">
      <c r="A190" s="67">
        <v>43343</v>
      </c>
      <c r="B190">
        <v>1.225E-2</v>
      </c>
      <c r="C190">
        <v>1.9894067000000001E-2</v>
      </c>
      <c r="D190" t="s">
        <v>1312</v>
      </c>
    </row>
    <row r="191" spans="1:4" x14ac:dyDescent="0.35">
      <c r="A191" s="67">
        <v>43373</v>
      </c>
      <c r="B191">
        <v>-4.2290000000000001E-2</v>
      </c>
      <c r="C191">
        <v>-2.9668533E-2</v>
      </c>
      <c r="D191" t="s">
        <v>1312</v>
      </c>
    </row>
    <row r="192" spans="1:4" x14ac:dyDescent="0.35">
      <c r="A192" s="67">
        <v>43404</v>
      </c>
      <c r="B192">
        <v>-4.6089999999999999E-2</v>
      </c>
      <c r="C192">
        <v>-1.5283433000000001E-2</v>
      </c>
      <c r="D192" t="s">
        <v>1312</v>
      </c>
    </row>
    <row r="193" spans="1:4" x14ac:dyDescent="0.35">
      <c r="A193" s="67">
        <v>43434</v>
      </c>
      <c r="B193">
        <v>-1.6899999999999998E-2</v>
      </c>
      <c r="C193">
        <v>-1.6072632999999999E-2</v>
      </c>
      <c r="D193" t="s">
        <v>1312</v>
      </c>
    </row>
    <row r="194" spans="1:4" x14ac:dyDescent="0.35">
      <c r="A194" s="67">
        <v>43465</v>
      </c>
      <c r="B194">
        <v>2.5870000000000001E-2</v>
      </c>
      <c r="C194">
        <v>3.8415866999999999E-2</v>
      </c>
      <c r="D194" t="s">
        <v>1312</v>
      </c>
    </row>
    <row r="195" spans="1:4" x14ac:dyDescent="0.35">
      <c r="A195" s="67">
        <v>43496</v>
      </c>
      <c r="B195">
        <v>2.7720000000000002E-2</v>
      </c>
      <c r="C195">
        <v>4.2288266999999997E-2</v>
      </c>
      <c r="D195" t="s">
        <v>1312</v>
      </c>
    </row>
    <row r="196" spans="1:4" x14ac:dyDescent="0.35">
      <c r="A196" s="67">
        <v>43524</v>
      </c>
      <c r="B196">
        <v>1.2319999999999999E-2</v>
      </c>
      <c r="C196">
        <v>6.4525670000000002E-3</v>
      </c>
      <c r="D196" t="s">
        <v>1312</v>
      </c>
    </row>
    <row r="197" spans="1:4" x14ac:dyDescent="0.35">
      <c r="A197" s="67">
        <v>43555</v>
      </c>
      <c r="B197">
        <v>-1.7899999999999999E-3</v>
      </c>
      <c r="C197">
        <v>-1.7251032999999999E-2</v>
      </c>
      <c r="D197" t="s">
        <v>1312</v>
      </c>
    </row>
    <row r="198" spans="1:4" x14ac:dyDescent="0.35">
      <c r="A198" s="67">
        <v>43585</v>
      </c>
      <c r="B198">
        <v>5.0029999999999998E-2</v>
      </c>
      <c r="C198">
        <v>5.5551467E-2</v>
      </c>
      <c r="D198" t="s">
        <v>1312</v>
      </c>
    </row>
    <row r="199" spans="1:4" x14ac:dyDescent="0.35">
      <c r="A199" s="67">
        <v>43616</v>
      </c>
      <c r="B199">
        <v>-4.7509999999999997E-2</v>
      </c>
      <c r="C199">
        <v>-3.2984033000000003E-2</v>
      </c>
      <c r="D199" t="s">
        <v>1312</v>
      </c>
    </row>
    <row r="200" spans="1:4" x14ac:dyDescent="0.35">
      <c r="A200" s="67">
        <v>43646</v>
      </c>
      <c r="B200">
        <v>2.8840000000000001E-2</v>
      </c>
      <c r="C200">
        <v>3.4575067000000001E-2</v>
      </c>
      <c r="D200" t="s">
        <v>1312</v>
      </c>
    </row>
    <row r="201" spans="1:4" x14ac:dyDescent="0.35">
      <c r="A201" s="67">
        <v>43677</v>
      </c>
      <c r="B201">
        <v>-3.1260000000000003E-2</v>
      </c>
      <c r="C201">
        <v>-4.1477132999999999E-2</v>
      </c>
      <c r="D201" t="s">
        <v>1312</v>
      </c>
    </row>
    <row r="202" spans="1:4" x14ac:dyDescent="0.35">
      <c r="A202" s="67">
        <v>43708</v>
      </c>
      <c r="B202">
        <v>-2.699E-2</v>
      </c>
      <c r="C202">
        <v>-4.8357425000000002E-2</v>
      </c>
      <c r="D202" t="s">
        <v>1312</v>
      </c>
    </row>
    <row r="203" spans="1:4" x14ac:dyDescent="0.35">
      <c r="A203" s="67">
        <v>43738</v>
      </c>
      <c r="B203">
        <v>6.7200000000000003E-3</v>
      </c>
      <c r="C203">
        <v>8.0133670000000004E-3</v>
      </c>
      <c r="D203" t="s">
        <v>1312</v>
      </c>
    </row>
    <row r="204" spans="1:4" x14ac:dyDescent="0.35">
      <c r="A204" s="67">
        <v>43769</v>
      </c>
      <c r="B204">
        <v>3.6400000000000002E-2</v>
      </c>
      <c r="C204">
        <v>3.5579167000000002E-2</v>
      </c>
      <c r="D204" t="s">
        <v>1312</v>
      </c>
    </row>
    <row r="205" spans="1:4" x14ac:dyDescent="0.35">
      <c r="A205" s="67">
        <v>43799</v>
      </c>
      <c r="B205">
        <v>-1.193E-2</v>
      </c>
      <c r="C205">
        <v>-6.120833E-3</v>
      </c>
      <c r="D205" t="s">
        <v>1312</v>
      </c>
    </row>
    <row r="206" spans="1:4" x14ac:dyDescent="0.35">
      <c r="A206" s="67">
        <v>43830</v>
      </c>
      <c r="B206">
        <v>3.09E-2</v>
      </c>
      <c r="C206">
        <v>2.7979166999999999E-2</v>
      </c>
      <c r="D206" t="s">
        <v>1312</v>
      </c>
    </row>
    <row r="207" spans="1:4" x14ac:dyDescent="0.35">
      <c r="A207" s="67">
        <v>43861</v>
      </c>
      <c r="B207">
        <v>-2.5690000000000001E-2</v>
      </c>
      <c r="C207">
        <v>-2.5325E-2</v>
      </c>
      <c r="D207" t="s">
        <v>1312</v>
      </c>
    </row>
    <row r="208" spans="1:4" x14ac:dyDescent="0.35">
      <c r="A208" s="67">
        <v>43890</v>
      </c>
      <c r="B208">
        <v>-9.5469999999999999E-2</v>
      </c>
      <c r="C208">
        <v>-8.4425E-2</v>
      </c>
      <c r="D208" t="s">
        <v>1312</v>
      </c>
    </row>
    <row r="209" spans="1:6" x14ac:dyDescent="0.35">
      <c r="A209" s="67">
        <v>43921</v>
      </c>
      <c r="B209">
        <v>-0.16685</v>
      </c>
      <c r="C209">
        <v>-0.23202500000000001</v>
      </c>
      <c r="D209" t="s">
        <v>1312</v>
      </c>
    </row>
    <row r="210" spans="1:6" x14ac:dyDescent="0.35">
      <c r="A210" s="67">
        <v>43951</v>
      </c>
      <c r="B210">
        <v>0.14177000000000001</v>
      </c>
      <c r="C210">
        <v>0.179175</v>
      </c>
      <c r="D210" t="s">
        <v>1312</v>
      </c>
    </row>
    <row r="211" spans="1:6" x14ac:dyDescent="0.35">
      <c r="A211" s="67">
        <v>43982</v>
      </c>
      <c r="B211">
        <v>-4.1399999999999996E-3</v>
      </c>
      <c r="C211" s="68">
        <v>-8.25E-4</v>
      </c>
      <c r="D211" t="s">
        <v>1312</v>
      </c>
    </row>
    <row r="212" spans="1:6" x14ac:dyDescent="0.35">
      <c r="A212" s="67">
        <v>44012</v>
      </c>
      <c r="B212">
        <v>6.9809999999999997E-2</v>
      </c>
      <c r="C212">
        <v>7.6422881206714394E-2</v>
      </c>
      <c r="D212" t="s">
        <v>1312</v>
      </c>
    </row>
    <row r="213" spans="1:6" x14ac:dyDescent="0.35">
      <c r="A213" s="67">
        <v>44043</v>
      </c>
      <c r="B213">
        <v>3.007E-2</v>
      </c>
      <c r="C213">
        <v>6.3097736198996293E-2</v>
      </c>
      <c r="D213" t="s">
        <v>1312</v>
      </c>
      <c r="F213">
        <v>97.4</v>
      </c>
    </row>
    <row r="214" spans="1:6" x14ac:dyDescent="0.35">
      <c r="A214" s="67">
        <v>44074</v>
      </c>
      <c r="B214">
        <v>-8.8000000000000005E-3</v>
      </c>
      <c r="C214">
        <f>F214/F213-1</f>
        <v>-1.9199178644763948E-2</v>
      </c>
      <c r="D214" t="s">
        <v>1318</v>
      </c>
      <c r="F214">
        <v>95.53</v>
      </c>
    </row>
    <row r="215" spans="1:6" x14ac:dyDescent="0.35">
      <c r="A215" s="67">
        <v>44104</v>
      </c>
      <c r="B215">
        <v>-1.0700000000000001E-2</v>
      </c>
      <c r="C215">
        <f t="shared" ref="C215:C216" si="0">F215/F214-1</f>
        <v>-2.6274468753271329E-2</v>
      </c>
      <c r="D215" t="s">
        <v>1318</v>
      </c>
      <c r="F215">
        <v>93.02</v>
      </c>
    </row>
    <row r="216" spans="1:6" x14ac:dyDescent="0.35">
      <c r="A216" s="67">
        <v>44135</v>
      </c>
      <c r="B216">
        <v>-4.24E-2</v>
      </c>
      <c r="C216">
        <f t="shared" si="0"/>
        <v>-1.3222962803698057E-2</v>
      </c>
      <c r="D216" t="s">
        <v>1318</v>
      </c>
      <c r="F216">
        <v>91.79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6A81B-0F5B-462F-8376-5312AE424E69}">
  <sheetPr codeName="Sheet3">
    <tabColor theme="1"/>
  </sheetPr>
  <dimension ref="A1:G48"/>
  <sheetViews>
    <sheetView workbookViewId="0">
      <selection activeCell="A2" sqref="A2"/>
    </sheetView>
  </sheetViews>
  <sheetFormatPr defaultRowHeight="14.5" x14ac:dyDescent="0.35"/>
  <cols>
    <col min="2" max="2" width="11.90625" customWidth="1"/>
    <col min="3" max="3" width="12" customWidth="1"/>
  </cols>
  <sheetData>
    <row r="1" spans="1:4" x14ac:dyDescent="0.35">
      <c r="A1" t="s">
        <v>1304</v>
      </c>
      <c r="B1" t="s">
        <v>1305</v>
      </c>
      <c r="C1" t="s">
        <v>1306</v>
      </c>
      <c r="D1" t="s">
        <v>1307</v>
      </c>
    </row>
    <row r="2" spans="1:4" x14ac:dyDescent="0.35">
      <c r="A2" s="66">
        <v>42705</v>
      </c>
      <c r="B2">
        <v>1.9779999999999999E-2</v>
      </c>
      <c r="C2">
        <v>1.1270000000000001E-2</v>
      </c>
      <c r="D2" t="s">
        <v>1308</v>
      </c>
    </row>
    <row r="3" spans="1:4" x14ac:dyDescent="0.35">
      <c r="A3" s="66">
        <v>42736</v>
      </c>
      <c r="B3">
        <v>2.5669999999999998E-2</v>
      </c>
      <c r="C3">
        <v>2.7609999999999999E-2</v>
      </c>
      <c r="D3" t="s">
        <v>1308</v>
      </c>
    </row>
    <row r="4" spans="1:4" x14ac:dyDescent="0.35">
      <c r="A4" s="66">
        <v>42767</v>
      </c>
      <c r="B4">
        <v>-1.494E-2</v>
      </c>
      <c r="C4">
        <v>-8.0199999999999994E-3</v>
      </c>
      <c r="D4" t="s">
        <v>1308</v>
      </c>
    </row>
    <row r="5" spans="1:4" x14ac:dyDescent="0.35">
      <c r="A5" s="66">
        <v>42795</v>
      </c>
      <c r="B5">
        <v>2.2409999999999999E-2</v>
      </c>
      <c r="C5">
        <v>2.971E-2</v>
      </c>
      <c r="D5" t="s">
        <v>1308</v>
      </c>
    </row>
    <row r="6" spans="1:4" x14ac:dyDescent="0.35">
      <c r="A6" s="66">
        <v>42826</v>
      </c>
      <c r="B6">
        <v>4.0570000000000002E-2</v>
      </c>
      <c r="C6">
        <v>3.1739999999999997E-2</v>
      </c>
      <c r="D6" t="s">
        <v>1308</v>
      </c>
    </row>
    <row r="7" spans="1:4" x14ac:dyDescent="0.35">
      <c r="A7" s="66">
        <v>42856</v>
      </c>
      <c r="B7">
        <v>-6.7000000000000002E-4</v>
      </c>
      <c r="C7">
        <v>1.8500000000000001E-3</v>
      </c>
      <c r="D7" t="s">
        <v>1308</v>
      </c>
    </row>
    <row r="8" spans="1:4" x14ac:dyDescent="0.35">
      <c r="A8" s="66">
        <v>42887</v>
      </c>
      <c r="B8">
        <v>-3.832E-2</v>
      </c>
      <c r="C8">
        <v>-3.397E-2</v>
      </c>
      <c r="D8" t="s">
        <v>1308</v>
      </c>
    </row>
    <row r="9" spans="1:4" x14ac:dyDescent="0.35">
      <c r="A9" s="66">
        <v>42917</v>
      </c>
      <c r="B9">
        <v>6.3439999999999996E-2</v>
      </c>
      <c r="C9">
        <v>6.046E-2</v>
      </c>
      <c r="D9" t="s">
        <v>1308</v>
      </c>
    </row>
    <row r="10" spans="1:4" x14ac:dyDescent="0.35">
      <c r="A10" s="66">
        <v>42948</v>
      </c>
      <c r="B10">
        <v>2.418E-2</v>
      </c>
      <c r="C10">
        <v>1.8669999999999999E-2</v>
      </c>
      <c r="D10" t="s">
        <v>1308</v>
      </c>
    </row>
    <row r="11" spans="1:4" x14ac:dyDescent="0.35">
      <c r="A11" s="66">
        <v>42979</v>
      </c>
      <c r="B11">
        <v>-1.6039999999999999E-2</v>
      </c>
      <c r="C11">
        <v>-1.3729999999999999E-2</v>
      </c>
      <c r="D11" t="s">
        <v>1308</v>
      </c>
    </row>
    <row r="12" spans="1:4" x14ac:dyDescent="0.35">
      <c r="A12" s="66">
        <v>43009</v>
      </c>
      <c r="B12">
        <v>4.8809999999999999E-2</v>
      </c>
      <c r="C12">
        <v>5.0299999999999997E-2</v>
      </c>
      <c r="D12" t="s">
        <v>1308</v>
      </c>
    </row>
    <row r="13" spans="1:4" x14ac:dyDescent="0.35">
      <c r="A13" s="66">
        <v>43040</v>
      </c>
      <c r="B13">
        <v>2.46E-2</v>
      </c>
      <c r="C13">
        <v>2.366E-2</v>
      </c>
      <c r="D13" t="s">
        <v>1308</v>
      </c>
    </row>
    <row r="14" spans="1:4" x14ac:dyDescent="0.35">
      <c r="A14" s="66">
        <v>43070</v>
      </c>
      <c r="B14">
        <v>9.0900000000000009E-3</v>
      </c>
      <c r="C14">
        <v>1.3350000000000001E-2</v>
      </c>
      <c r="D14" t="s">
        <v>1308</v>
      </c>
    </row>
    <row r="15" spans="1:4" x14ac:dyDescent="0.35">
      <c r="A15" s="66">
        <v>43101</v>
      </c>
      <c r="B15">
        <v>-4.4000000000000003E-3</v>
      </c>
      <c r="C15">
        <v>-1.97E-3</v>
      </c>
      <c r="D15" t="s">
        <v>1308</v>
      </c>
    </row>
    <row r="16" spans="1:4" x14ac:dyDescent="0.35">
      <c r="A16" s="66">
        <v>43132</v>
      </c>
      <c r="B16">
        <v>-7.9000000000000008E-3</v>
      </c>
      <c r="C16">
        <v>4.8999999999999998E-4</v>
      </c>
      <c r="D16" t="s">
        <v>1308</v>
      </c>
    </row>
    <row r="17" spans="1:4" x14ac:dyDescent="0.35">
      <c r="A17" s="66">
        <v>43160</v>
      </c>
      <c r="B17">
        <v>-3.9010000000000003E-2</v>
      </c>
      <c r="C17">
        <v>-3.7179999999999998E-2</v>
      </c>
      <c r="D17" t="s">
        <v>1308</v>
      </c>
    </row>
    <row r="18" spans="1:4" x14ac:dyDescent="0.35">
      <c r="A18" s="66">
        <v>43191</v>
      </c>
      <c r="B18">
        <v>4.0570000000000002E-2</v>
      </c>
      <c r="C18">
        <v>3.8600000000000002E-2</v>
      </c>
      <c r="D18" t="s">
        <v>1308</v>
      </c>
    </row>
    <row r="19" spans="1:4" x14ac:dyDescent="0.35">
      <c r="A19" s="66">
        <v>43221</v>
      </c>
      <c r="B19">
        <v>-5.3159999999999999E-2</v>
      </c>
      <c r="C19">
        <v>-5.0900000000000001E-2</v>
      </c>
      <c r="D19" t="s">
        <v>1308</v>
      </c>
    </row>
    <row r="20" spans="1:4" x14ac:dyDescent="0.35">
      <c r="A20" s="66">
        <v>43252</v>
      </c>
      <c r="B20">
        <v>6.5599999999999999E-3</v>
      </c>
      <c r="C20">
        <v>9.0200000000000002E-3</v>
      </c>
      <c r="D20" t="s">
        <v>1308</v>
      </c>
    </row>
    <row r="21" spans="1:4" x14ac:dyDescent="0.35">
      <c r="A21" s="66">
        <v>43282</v>
      </c>
      <c r="B21">
        <v>1.447E-2</v>
      </c>
      <c r="C21">
        <v>1.8849999999999999E-2</v>
      </c>
      <c r="D21" t="s">
        <v>1308</v>
      </c>
    </row>
    <row r="22" spans="1:4" x14ac:dyDescent="0.35">
      <c r="A22" s="66">
        <v>43313</v>
      </c>
      <c r="B22">
        <v>1.225E-2</v>
      </c>
      <c r="C22">
        <v>6.3600000000000002E-3</v>
      </c>
      <c r="D22" t="s">
        <v>1308</v>
      </c>
    </row>
    <row r="23" spans="1:4" x14ac:dyDescent="0.35">
      <c r="A23" s="66">
        <v>43344</v>
      </c>
      <c r="B23">
        <v>-4.2290000000000001E-2</v>
      </c>
      <c r="C23">
        <v>-4.19E-2</v>
      </c>
      <c r="D23" t="s">
        <v>1308</v>
      </c>
    </row>
    <row r="24" spans="1:4" x14ac:dyDescent="0.35">
      <c r="A24" s="66">
        <v>43374</v>
      </c>
      <c r="B24">
        <v>-4.6089999999999999E-2</v>
      </c>
      <c r="C24">
        <v>-4.6300000000000001E-2</v>
      </c>
      <c r="D24" t="s">
        <v>1308</v>
      </c>
    </row>
    <row r="25" spans="1:4" x14ac:dyDescent="0.35">
      <c r="A25" s="66">
        <v>43405</v>
      </c>
      <c r="B25">
        <v>-1.6899999999999998E-2</v>
      </c>
      <c r="C25">
        <v>-1.8720000000000001E-2</v>
      </c>
      <c r="D25" t="s">
        <v>1308</v>
      </c>
    </row>
    <row r="26" spans="1:4" x14ac:dyDescent="0.35">
      <c r="A26" s="66">
        <v>43435</v>
      </c>
      <c r="B26">
        <v>2.5870000000000001E-2</v>
      </c>
      <c r="C26">
        <v>2.9270000000000001E-2</v>
      </c>
      <c r="D26" t="s">
        <v>1308</v>
      </c>
    </row>
    <row r="27" spans="1:4" x14ac:dyDescent="0.35">
      <c r="A27" s="66">
        <v>43466</v>
      </c>
      <c r="B27">
        <v>2.7720000000000002E-2</v>
      </c>
      <c r="C27">
        <v>3.0859999999999999E-2</v>
      </c>
      <c r="D27" t="s">
        <v>1308</v>
      </c>
    </row>
    <row r="28" spans="1:4" x14ac:dyDescent="0.35">
      <c r="A28" s="66">
        <v>43497</v>
      </c>
      <c r="B28">
        <v>1.2319999999999999E-2</v>
      </c>
      <c r="C28">
        <v>1.5480000000000001E-2</v>
      </c>
      <c r="D28" t="s">
        <v>1308</v>
      </c>
    </row>
    <row r="29" spans="1:4" x14ac:dyDescent="0.35">
      <c r="A29" s="66">
        <v>43525</v>
      </c>
      <c r="B29">
        <v>-1.7899999999999999E-3</v>
      </c>
      <c r="C29">
        <v>1.72E-3</v>
      </c>
      <c r="D29" t="s">
        <v>1308</v>
      </c>
    </row>
    <row r="30" spans="1:4" x14ac:dyDescent="0.35">
      <c r="A30" s="66">
        <v>43556</v>
      </c>
      <c r="B30">
        <v>5.0029999999999998E-2</v>
      </c>
      <c r="C30">
        <v>5.0520000000000002E-2</v>
      </c>
      <c r="D30" t="s">
        <v>1308</v>
      </c>
    </row>
    <row r="31" spans="1:4" x14ac:dyDescent="0.35">
      <c r="A31" s="66">
        <v>43586</v>
      </c>
      <c r="B31">
        <v>-4.7509999999999997E-2</v>
      </c>
      <c r="C31">
        <v>-4.2999999999999997E-2</v>
      </c>
      <c r="D31" t="s">
        <v>1308</v>
      </c>
    </row>
    <row r="32" spans="1:4" x14ac:dyDescent="0.35">
      <c r="A32" s="66">
        <v>43617</v>
      </c>
      <c r="B32">
        <v>2.8840000000000001E-2</v>
      </c>
      <c r="C32">
        <v>3.5790000000000002E-2</v>
      </c>
      <c r="D32" t="s">
        <v>1308</v>
      </c>
    </row>
    <row r="33" spans="1:7" x14ac:dyDescent="0.35">
      <c r="A33" s="66">
        <v>43647</v>
      </c>
      <c r="B33">
        <v>-3.1260000000000003E-2</v>
      </c>
      <c r="C33">
        <v>-3.5340000000000003E-2</v>
      </c>
      <c r="D33" t="s">
        <v>1308</v>
      </c>
    </row>
    <row r="34" spans="1:7" x14ac:dyDescent="0.35">
      <c r="A34" s="66">
        <v>43678</v>
      </c>
      <c r="B34">
        <v>-2.699E-2</v>
      </c>
      <c r="C34">
        <v>-2.6540000000000001E-2</v>
      </c>
      <c r="D34" t="s">
        <v>1308</v>
      </c>
    </row>
    <row r="35" spans="1:7" x14ac:dyDescent="0.35">
      <c r="A35" s="66">
        <v>43709</v>
      </c>
      <c r="B35">
        <v>6.7200000000000003E-3</v>
      </c>
      <c r="C35">
        <v>4.4400000000000004E-3</v>
      </c>
      <c r="D35" t="s">
        <v>1308</v>
      </c>
    </row>
    <row r="36" spans="1:7" x14ac:dyDescent="0.35">
      <c r="A36" s="66">
        <v>43739</v>
      </c>
      <c r="B36">
        <v>3.6400000000000002E-2</v>
      </c>
      <c r="C36">
        <v>3.8780000000000002E-2</v>
      </c>
      <c r="D36" t="s">
        <v>1308</v>
      </c>
    </row>
    <row r="37" spans="1:7" x14ac:dyDescent="0.35">
      <c r="A37" s="66">
        <v>43770</v>
      </c>
      <c r="B37">
        <v>-1.47E-2</v>
      </c>
      <c r="C37">
        <v>-7.43E-3</v>
      </c>
      <c r="D37" t="s">
        <v>1308</v>
      </c>
    </row>
    <row r="38" spans="1:7" x14ac:dyDescent="0.35">
      <c r="A38" s="66">
        <v>43800</v>
      </c>
      <c r="B38">
        <v>3.09E-2</v>
      </c>
      <c r="C38">
        <v>2.8330000000000001E-2</v>
      </c>
      <c r="D38" t="s">
        <v>1308</v>
      </c>
    </row>
    <row r="39" spans="1:7" x14ac:dyDescent="0.35">
      <c r="A39" s="66">
        <v>43831</v>
      </c>
      <c r="B39">
        <v>-2.5690000000000001E-2</v>
      </c>
      <c r="C39">
        <v>-2.8559999999999999E-2</v>
      </c>
      <c r="D39" t="s">
        <v>1308</v>
      </c>
    </row>
    <row r="40" spans="1:7" x14ac:dyDescent="0.35">
      <c r="A40" s="66">
        <v>43862</v>
      </c>
      <c r="B40">
        <v>-9.5469999999999999E-2</v>
      </c>
      <c r="C40">
        <v>-9.529E-2</v>
      </c>
      <c r="D40" t="s">
        <v>1308</v>
      </c>
    </row>
    <row r="41" spans="1:7" x14ac:dyDescent="0.35">
      <c r="A41" s="66">
        <v>43891</v>
      </c>
      <c r="B41">
        <v>-0.16685</v>
      </c>
      <c r="C41">
        <v>-0.11865000000000001</v>
      </c>
      <c r="D41" t="s">
        <v>1308</v>
      </c>
    </row>
    <row r="42" spans="1:7" x14ac:dyDescent="0.35">
      <c r="A42" s="66">
        <v>43922</v>
      </c>
      <c r="B42">
        <v>0.14177000000000001</v>
      </c>
      <c r="C42">
        <v>0.12656999999999999</v>
      </c>
      <c r="D42" t="s">
        <v>1308</v>
      </c>
    </row>
    <row r="43" spans="1:7" x14ac:dyDescent="0.35">
      <c r="A43" s="66">
        <v>43952</v>
      </c>
      <c r="B43">
        <v>-4.1399999999999996E-3</v>
      </c>
      <c r="C43">
        <v>2.8900000000000002E-3</v>
      </c>
      <c r="D43" t="s">
        <v>1308</v>
      </c>
    </row>
    <row r="44" spans="1:7" x14ac:dyDescent="0.35">
      <c r="A44" s="66">
        <v>43983</v>
      </c>
      <c r="B44">
        <v>6.9809999999999997E-2</v>
      </c>
      <c r="C44">
        <v>5.2330000000000002E-2</v>
      </c>
      <c r="D44" t="s">
        <v>1308</v>
      </c>
    </row>
    <row r="45" spans="1:7" x14ac:dyDescent="0.35">
      <c r="A45" s="66">
        <v>44013</v>
      </c>
      <c r="B45">
        <v>3.007E-2</v>
      </c>
      <c r="C45">
        <v>2.5239999999999999E-2</v>
      </c>
      <c r="D45" t="s">
        <v>1308</v>
      </c>
    </row>
    <row r="46" spans="1:7" x14ac:dyDescent="0.35">
      <c r="A46" s="66">
        <v>44044</v>
      </c>
      <c r="B46">
        <f>F46/100</f>
        <v>-8.8000000000000005E-3</v>
      </c>
      <c r="C46">
        <f>G46/100</f>
        <v>-8.6E-3</v>
      </c>
      <c r="D46" t="s">
        <v>1317</v>
      </c>
      <c r="F46">
        <v>-0.88</v>
      </c>
      <c r="G46">
        <v>-0.86</v>
      </c>
    </row>
    <row r="47" spans="1:7" x14ac:dyDescent="0.35">
      <c r="A47" s="66">
        <v>44075</v>
      </c>
      <c r="B47">
        <f t="shared" ref="B47:B48" si="0">F47/100</f>
        <v>-1.0700000000000001E-2</v>
      </c>
      <c r="C47">
        <f t="shared" ref="C47:C48" si="1">G47/100</f>
        <v>-1.4999999999999999E-2</v>
      </c>
      <c r="D47" t="s">
        <v>1317</v>
      </c>
      <c r="F47">
        <v>-1.07</v>
      </c>
      <c r="G47">
        <v>-1.5</v>
      </c>
    </row>
    <row r="48" spans="1:7" x14ac:dyDescent="0.35">
      <c r="A48" s="66">
        <v>44105</v>
      </c>
      <c r="B48">
        <f t="shared" si="0"/>
        <v>-4.24E-2</v>
      </c>
      <c r="C48">
        <f t="shared" si="1"/>
        <v>-3.5499999999999997E-2</v>
      </c>
      <c r="D48" t="s">
        <v>1317</v>
      </c>
      <c r="F48">
        <v>-4.24</v>
      </c>
      <c r="G48">
        <v>-3.55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5C31-5619-4272-AAA5-B194D41D9DCB}">
  <sheetPr codeName="Sheet4">
    <tabColor theme="1"/>
  </sheetPr>
  <dimension ref="A1:B104"/>
  <sheetViews>
    <sheetView topLeftCell="A22" workbookViewId="0">
      <selection activeCell="B58" sqref="B58"/>
    </sheetView>
  </sheetViews>
  <sheetFormatPr defaultRowHeight="14.5" x14ac:dyDescent="0.35"/>
  <cols>
    <col min="1" max="1" width="12.54296875" customWidth="1"/>
    <col min="2" max="2" width="11.453125" customWidth="1"/>
  </cols>
  <sheetData>
    <row r="1" spans="1:2" x14ac:dyDescent="0.35">
      <c r="A1" s="69" t="s">
        <v>1315</v>
      </c>
      <c r="B1" s="70" t="s">
        <v>1316</v>
      </c>
    </row>
    <row r="2" spans="1:2" x14ac:dyDescent="0.35">
      <c r="A2" s="71">
        <v>40877</v>
      </c>
      <c r="B2" s="72">
        <v>2.1185861399361672E-2</v>
      </c>
    </row>
    <row r="3" spans="1:2" x14ac:dyDescent="0.35">
      <c r="A3" s="71">
        <v>40908</v>
      </c>
      <c r="B3" s="72">
        <v>-1.2195599902039703E-2</v>
      </c>
    </row>
    <row r="4" spans="1:2" x14ac:dyDescent="0.35">
      <c r="A4" s="71">
        <v>40939</v>
      </c>
      <c r="B4" s="72">
        <v>4.2104427616948041E-2</v>
      </c>
    </row>
    <row r="5" spans="1:2" x14ac:dyDescent="0.35">
      <c r="A5" s="71">
        <v>40968</v>
      </c>
      <c r="B5" s="72">
        <v>2.4953730641470551E-2</v>
      </c>
    </row>
    <row r="6" spans="1:2" x14ac:dyDescent="0.35">
      <c r="A6" s="71">
        <v>40999</v>
      </c>
      <c r="B6" s="72">
        <v>-4.1299886812036137E-3</v>
      </c>
    </row>
    <row r="7" spans="1:2" x14ac:dyDescent="0.35">
      <c r="A7" s="71">
        <v>41029</v>
      </c>
      <c r="B7" s="72">
        <v>2.4416477669861457E-2</v>
      </c>
    </row>
    <row r="8" spans="1:2" x14ac:dyDescent="0.35">
      <c r="A8" s="71">
        <v>41060</v>
      </c>
      <c r="B8" s="72">
        <v>-2.6568566003122834E-2</v>
      </c>
    </row>
    <row r="9" spans="1:2" x14ac:dyDescent="0.35">
      <c r="A9" s="71">
        <v>41090</v>
      </c>
      <c r="B9" s="72">
        <v>1.6020994148610291E-2</v>
      </c>
    </row>
    <row r="10" spans="1:2" x14ac:dyDescent="0.35">
      <c r="A10" s="71">
        <v>41121</v>
      </c>
      <c r="B10" s="72">
        <v>2.9375719982796096E-2</v>
      </c>
    </row>
    <row r="11" spans="1:2" x14ac:dyDescent="0.35">
      <c r="A11" s="71">
        <v>41152</v>
      </c>
      <c r="B11" s="72">
        <v>2.797957084801515E-2</v>
      </c>
    </row>
    <row r="12" spans="1:2" x14ac:dyDescent="0.35">
      <c r="A12" s="71">
        <v>41182</v>
      </c>
      <c r="B12" s="72">
        <v>1.4113012912491351E-2</v>
      </c>
    </row>
    <row r="13" spans="1:2" x14ac:dyDescent="0.35">
      <c r="A13" s="71">
        <v>41213</v>
      </c>
      <c r="B13" s="72">
        <v>3.9816504989482651E-2</v>
      </c>
    </row>
    <row r="14" spans="1:2" x14ac:dyDescent="0.35">
      <c r="A14" s="71">
        <v>41243</v>
      </c>
      <c r="B14" s="72">
        <v>1.610749321494722E-2</v>
      </c>
    </row>
    <row r="15" spans="1:2" x14ac:dyDescent="0.35">
      <c r="A15" s="71">
        <v>41274</v>
      </c>
      <c r="B15" s="72">
        <v>2.7793945276330046E-2</v>
      </c>
    </row>
    <row r="16" spans="1:2" x14ac:dyDescent="0.35">
      <c r="A16" s="71">
        <v>41305</v>
      </c>
      <c r="B16" s="72">
        <v>3.0433099906870938E-2</v>
      </c>
    </row>
    <row r="17" spans="1:2" x14ac:dyDescent="0.35">
      <c r="A17" s="71">
        <v>41333</v>
      </c>
      <c r="B17" s="72">
        <v>-1.173371186550155E-2</v>
      </c>
    </row>
    <row r="18" spans="1:2" x14ac:dyDescent="0.35">
      <c r="A18" s="71">
        <v>41364</v>
      </c>
      <c r="B18" s="72">
        <v>2.6844015097659317E-2</v>
      </c>
    </row>
    <row r="19" spans="1:2" x14ac:dyDescent="0.35">
      <c r="A19" s="71">
        <v>41394</v>
      </c>
      <c r="B19" s="72">
        <v>-1.9008245947879879E-2</v>
      </c>
    </row>
    <row r="20" spans="1:2" x14ac:dyDescent="0.35">
      <c r="A20" s="71">
        <v>41425</v>
      </c>
      <c r="B20" s="72">
        <v>7.5630054374860436E-2</v>
      </c>
    </row>
    <row r="21" spans="1:2" x14ac:dyDescent="0.35">
      <c r="A21" s="71">
        <v>41455</v>
      </c>
      <c r="B21" s="72">
        <v>-5.0282710545935701E-2</v>
      </c>
    </row>
    <row r="22" spans="1:2" x14ac:dyDescent="0.35">
      <c r="A22" s="71">
        <v>41486</v>
      </c>
      <c r="B22" s="72">
        <v>4.0571461367769249E-2</v>
      </c>
    </row>
    <row r="23" spans="1:2" x14ac:dyDescent="0.35">
      <c r="A23" s="71">
        <v>41517</v>
      </c>
      <c r="B23" s="72">
        <v>2.7408812578873731E-2</v>
      </c>
    </row>
    <row r="24" spans="1:2" x14ac:dyDescent="0.35">
      <c r="A24" s="71">
        <v>41547</v>
      </c>
      <c r="B24" s="72">
        <v>5.3016712239427964E-2</v>
      </c>
    </row>
    <row r="25" spans="1:2" x14ac:dyDescent="0.35">
      <c r="A25" s="71">
        <v>41578</v>
      </c>
      <c r="B25" s="72">
        <v>4.4392030047024397E-2</v>
      </c>
    </row>
    <row r="26" spans="1:2" x14ac:dyDescent="0.35">
      <c r="A26" s="71">
        <v>41608</v>
      </c>
      <c r="B26" s="72">
        <v>-1.7984921374076798E-2</v>
      </c>
    </row>
    <row r="27" spans="1:2" x14ac:dyDescent="0.35">
      <c r="A27" s="71">
        <v>41639</v>
      </c>
      <c r="B27" s="72">
        <v>2.9828354705403744E-2</v>
      </c>
    </row>
    <row r="28" spans="1:2" x14ac:dyDescent="0.35">
      <c r="A28" s="71">
        <v>41670</v>
      </c>
      <c r="B28" s="72">
        <v>-2.7951102231170984E-2</v>
      </c>
    </row>
    <row r="29" spans="1:2" x14ac:dyDescent="0.35">
      <c r="A29" s="71">
        <v>41698</v>
      </c>
      <c r="B29" s="72">
        <v>5.4810030664839839E-2</v>
      </c>
    </row>
    <row r="30" spans="1:2" x14ac:dyDescent="0.35">
      <c r="A30" s="71">
        <v>41729</v>
      </c>
      <c r="B30" s="72">
        <v>3.4285363124393509E-2</v>
      </c>
    </row>
    <row r="31" spans="1:2" x14ac:dyDescent="0.35">
      <c r="A31" s="71">
        <v>41759</v>
      </c>
      <c r="B31" s="72">
        <v>2.0034969857753066E-2</v>
      </c>
    </row>
    <row r="32" spans="1:2" x14ac:dyDescent="0.35">
      <c r="A32" s="71">
        <v>41790</v>
      </c>
      <c r="B32" s="72">
        <v>2.0863060889309816E-2</v>
      </c>
    </row>
    <row r="33" spans="1:2" x14ac:dyDescent="0.35">
      <c r="A33" s="71">
        <v>41820</v>
      </c>
      <c r="B33" s="72">
        <v>2.4316157955808791E-2</v>
      </c>
    </row>
    <row r="34" spans="1:2" x14ac:dyDescent="0.35">
      <c r="A34" s="71">
        <v>41851</v>
      </c>
      <c r="B34" s="72">
        <v>9.6319416225636081E-3</v>
      </c>
    </row>
    <row r="35" spans="1:2" x14ac:dyDescent="0.35">
      <c r="A35" s="71">
        <v>41882</v>
      </c>
      <c r="B35" s="72">
        <v>6.5407711243618211E-3</v>
      </c>
    </row>
    <row r="36" spans="1:2" x14ac:dyDescent="0.35">
      <c r="A36" s="71">
        <v>41912</v>
      </c>
      <c r="B36" s="72">
        <v>-2.0595664497462057E-2</v>
      </c>
    </row>
    <row r="37" spans="1:2" x14ac:dyDescent="0.35">
      <c r="A37" s="71">
        <v>41943</v>
      </c>
      <c r="B37" s="72">
        <v>2.2765731035158155E-2</v>
      </c>
    </row>
    <row r="38" spans="1:2" x14ac:dyDescent="0.35">
      <c r="A38" s="71">
        <v>41973</v>
      </c>
      <c r="B38" s="72">
        <v>1.4089030849623695E-2</v>
      </c>
    </row>
    <row r="39" spans="1:2" x14ac:dyDescent="0.35">
      <c r="A39" s="71">
        <v>42004</v>
      </c>
      <c r="B39" s="72">
        <v>2.7527617532585543E-3</v>
      </c>
    </row>
    <row r="40" spans="1:2" x14ac:dyDescent="0.35">
      <c r="A40" s="71">
        <v>42035</v>
      </c>
      <c r="B40" s="72">
        <v>4.0598367335379422E-2</v>
      </c>
    </row>
    <row r="41" spans="1:2" x14ac:dyDescent="0.35">
      <c r="A41" s="71">
        <v>42063</v>
      </c>
      <c r="B41" s="72">
        <v>2.7755068221208712E-2</v>
      </c>
    </row>
    <row r="42" spans="1:2" x14ac:dyDescent="0.35">
      <c r="A42" s="71">
        <v>42094</v>
      </c>
      <c r="B42" s="72">
        <v>9.5686190861930531E-3</v>
      </c>
    </row>
    <row r="43" spans="1:2" x14ac:dyDescent="0.35">
      <c r="A43" s="71">
        <v>42124</v>
      </c>
      <c r="B43" s="72">
        <v>4.4602042471222E-2</v>
      </c>
    </row>
    <row r="44" spans="1:2" x14ac:dyDescent="0.35">
      <c r="A44" s="71">
        <v>42155</v>
      </c>
      <c r="B44" s="72">
        <v>-4.0133258375770378E-2</v>
      </c>
    </row>
    <row r="45" spans="1:2" x14ac:dyDescent="0.35">
      <c r="A45" s="71">
        <v>42185</v>
      </c>
      <c r="B45" s="72">
        <v>9.0866214324898664E-4</v>
      </c>
    </row>
    <row r="46" spans="1:2" x14ac:dyDescent="0.35">
      <c r="A46" s="71">
        <v>42216</v>
      </c>
      <c r="B46" s="72">
        <v>4.7698453940690985E-3</v>
      </c>
    </row>
    <row r="47" spans="1:2" x14ac:dyDescent="0.35">
      <c r="A47" s="71">
        <v>42247</v>
      </c>
      <c r="B47" s="72">
        <v>-2.4912917400048369E-2</v>
      </c>
    </row>
    <row r="48" spans="1:2" x14ac:dyDescent="0.35">
      <c r="A48" s="71">
        <v>42277</v>
      </c>
      <c r="B48" s="72">
        <v>-2.3212630750686102E-2</v>
      </c>
    </row>
    <row r="49" spans="1:2" x14ac:dyDescent="0.35">
      <c r="A49" s="71">
        <v>42308</v>
      </c>
      <c r="B49" s="72">
        <v>8.0379572781207109E-2</v>
      </c>
    </row>
    <row r="50" spans="1:2" x14ac:dyDescent="0.35">
      <c r="A50" s="71">
        <v>42338</v>
      </c>
      <c r="B50" s="72">
        <v>-3.0148844514306376E-2</v>
      </c>
    </row>
    <row r="51" spans="1:2" x14ac:dyDescent="0.35">
      <c r="A51" s="71">
        <v>42369</v>
      </c>
      <c r="B51" s="72">
        <v>-2.7745346358306971E-2</v>
      </c>
    </row>
    <row r="52" spans="1:2" x14ac:dyDescent="0.35">
      <c r="A52" s="71">
        <v>42400</v>
      </c>
      <c r="B52" s="72">
        <v>-1.4680071140935865E-2</v>
      </c>
    </row>
    <row r="53" spans="1:2" x14ac:dyDescent="0.35">
      <c r="A53" s="71">
        <v>42429</v>
      </c>
      <c r="B53" s="72">
        <v>1.6243458901127175E-2</v>
      </c>
    </row>
    <row r="54" spans="1:2" x14ac:dyDescent="0.35">
      <c r="A54" s="71">
        <v>42460</v>
      </c>
      <c r="B54" s="72">
        <v>8.3950907419836657E-2</v>
      </c>
    </row>
    <row r="55" spans="1:2" x14ac:dyDescent="0.35">
      <c r="A55" s="71">
        <v>42490</v>
      </c>
      <c r="B55" s="72">
        <v>2.3629081421873095E-2</v>
      </c>
    </row>
    <row r="56" spans="1:2" x14ac:dyDescent="0.35">
      <c r="A56" s="71">
        <v>42521</v>
      </c>
      <c r="B56" s="72">
        <v>-8.9340498551612937E-3</v>
      </c>
    </row>
    <row r="57" spans="1:2" x14ac:dyDescent="0.35">
      <c r="A57" s="71">
        <v>42551</v>
      </c>
      <c r="B57" s="72">
        <v>-1.0251360858452577E-2</v>
      </c>
    </row>
    <row r="58" spans="1:2" x14ac:dyDescent="0.35">
      <c r="A58" s="71">
        <v>42582</v>
      </c>
      <c r="B58" s="72">
        <v>2.9151714502813522E-2</v>
      </c>
    </row>
    <row r="59" spans="1:2" x14ac:dyDescent="0.35">
      <c r="A59" s="71">
        <v>42613</v>
      </c>
      <c r="B59" s="72">
        <v>-1.6643471235665237E-2</v>
      </c>
    </row>
    <row r="60" spans="1:2" x14ac:dyDescent="0.35">
      <c r="A60" s="71">
        <v>42643</v>
      </c>
      <c r="B60" s="72">
        <v>-8.2933689230755246E-4</v>
      </c>
    </row>
    <row r="61" spans="1:2" x14ac:dyDescent="0.35">
      <c r="A61" s="71">
        <v>42674</v>
      </c>
      <c r="B61" s="72">
        <v>-3.0801583662247958E-2</v>
      </c>
    </row>
    <row r="62" spans="1:2" x14ac:dyDescent="0.35">
      <c r="A62" s="71">
        <v>42704</v>
      </c>
      <c r="B62" s="72">
        <v>-2.6376183551462071E-3</v>
      </c>
    </row>
    <row r="63" spans="1:2" x14ac:dyDescent="0.35">
      <c r="A63" s="71">
        <v>42735</v>
      </c>
      <c r="B63" s="72">
        <v>2.0642019963488741E-2</v>
      </c>
    </row>
    <row r="64" spans="1:2" x14ac:dyDescent="0.35">
      <c r="A64" s="71">
        <v>42766</v>
      </c>
      <c r="B64" s="72">
        <v>2.6837554464989956E-2</v>
      </c>
    </row>
    <row r="65" spans="1:2" x14ac:dyDescent="0.35">
      <c r="A65" s="71">
        <v>42794</v>
      </c>
      <c r="B65" s="72">
        <v>-1.3336332720871293E-2</v>
      </c>
    </row>
    <row r="66" spans="1:2" x14ac:dyDescent="0.35">
      <c r="A66" s="71">
        <v>42825</v>
      </c>
      <c r="B66" s="72">
        <v>9.3165666583465059E-3</v>
      </c>
    </row>
    <row r="67" spans="1:2" x14ac:dyDescent="0.35">
      <c r="A67" s="71">
        <v>42855</v>
      </c>
      <c r="B67" s="72">
        <v>2.8846643498709149E-2</v>
      </c>
    </row>
    <row r="68" spans="1:2" x14ac:dyDescent="0.35">
      <c r="A68" s="71">
        <v>42886</v>
      </c>
      <c r="B68" s="72">
        <v>-1.7570499429132573E-2</v>
      </c>
    </row>
    <row r="69" spans="1:2" x14ac:dyDescent="0.35">
      <c r="A69" s="71">
        <v>42916</v>
      </c>
      <c r="B69" s="72">
        <v>-3.6697496286835267E-2</v>
      </c>
    </row>
    <row r="70" spans="1:2" x14ac:dyDescent="0.35">
      <c r="A70" s="71">
        <v>42947</v>
      </c>
      <c r="B70" s="72">
        <v>4.9306847026734955E-2</v>
      </c>
    </row>
    <row r="71" spans="1:2" x14ac:dyDescent="0.35">
      <c r="A71" s="71">
        <v>42978</v>
      </c>
      <c r="B71" s="72">
        <v>2.2827377885883904E-2</v>
      </c>
    </row>
    <row r="72" spans="1:2" x14ac:dyDescent="0.35">
      <c r="A72" s="71">
        <v>43008</v>
      </c>
      <c r="B72" s="72">
        <v>-1.7353323806275824E-2</v>
      </c>
    </row>
    <row r="73" spans="1:2" x14ac:dyDescent="0.35">
      <c r="A73" s="71">
        <v>43039</v>
      </c>
      <c r="B73" s="72">
        <v>5.5189073181826392E-2</v>
      </c>
    </row>
    <row r="74" spans="1:2" x14ac:dyDescent="0.35">
      <c r="A74" s="71">
        <v>43069</v>
      </c>
      <c r="B74" s="72">
        <v>2.4184605403384161E-2</v>
      </c>
    </row>
    <row r="75" spans="1:2" x14ac:dyDescent="0.35">
      <c r="A75" s="71">
        <v>43100</v>
      </c>
      <c r="B75" s="72">
        <v>-1.7822786628232598E-3</v>
      </c>
    </row>
    <row r="76" spans="1:2" x14ac:dyDescent="0.35">
      <c r="A76" s="71">
        <v>43131</v>
      </c>
      <c r="B76" s="72">
        <v>5.9548041009954405E-3</v>
      </c>
    </row>
    <row r="77" spans="1:2" x14ac:dyDescent="0.35">
      <c r="A77" s="71">
        <v>43159</v>
      </c>
      <c r="B77" s="72">
        <v>-6.6698725934863862E-3</v>
      </c>
    </row>
    <row r="78" spans="1:2" x14ac:dyDescent="0.35">
      <c r="A78" s="71">
        <v>43190</v>
      </c>
      <c r="B78" s="72">
        <v>-4.3857785167970238E-2</v>
      </c>
    </row>
    <row r="79" spans="1:2" x14ac:dyDescent="0.35">
      <c r="A79" s="71">
        <v>43220</v>
      </c>
      <c r="B79" s="72">
        <v>3.9603479416615323E-2</v>
      </c>
    </row>
    <row r="80" spans="1:2" x14ac:dyDescent="0.35">
      <c r="A80" s="71">
        <v>43251</v>
      </c>
      <c r="B80" s="72">
        <v>-4.4459122513689567E-2</v>
      </c>
    </row>
    <row r="81" spans="1:2" x14ac:dyDescent="0.35">
      <c r="A81" s="71">
        <v>43281</v>
      </c>
      <c r="B81" s="72">
        <v>1.6576613772769346E-2</v>
      </c>
    </row>
    <row r="82" spans="1:2" x14ac:dyDescent="0.35">
      <c r="A82" s="71">
        <v>43312</v>
      </c>
      <c r="B82" s="72">
        <v>1.0549923909684199E-2</v>
      </c>
    </row>
    <row r="83" spans="1:2" x14ac:dyDescent="0.35">
      <c r="A83" s="71">
        <v>43343</v>
      </c>
      <c r="B83" s="72">
        <v>1.9759849392941963E-2</v>
      </c>
    </row>
    <row r="84" spans="1:2" x14ac:dyDescent="0.35">
      <c r="A84" s="71">
        <v>43373</v>
      </c>
      <c r="B84" s="72">
        <v>-3.7297506343708209E-2</v>
      </c>
    </row>
    <row r="85" spans="1:2" x14ac:dyDescent="0.35">
      <c r="A85" s="71">
        <v>43404</v>
      </c>
      <c r="B85" s="72">
        <v>-5.1554063713300964E-2</v>
      </c>
    </row>
    <row r="86" spans="1:2" x14ac:dyDescent="0.35">
      <c r="A86" s="71">
        <v>43434</v>
      </c>
      <c r="B86" s="72">
        <v>-2.2096028398891861E-2</v>
      </c>
    </row>
    <row r="87" spans="1:2" x14ac:dyDescent="0.35">
      <c r="A87" s="71">
        <v>43465</v>
      </c>
      <c r="B87" s="72">
        <v>2.4807852491584837E-2</v>
      </c>
    </row>
    <row r="88" spans="1:2" x14ac:dyDescent="0.35">
      <c r="A88" s="71">
        <v>43496</v>
      </c>
      <c r="B88" s="72">
        <v>2.4237314223686159E-2</v>
      </c>
    </row>
    <row r="89" spans="1:2" x14ac:dyDescent="0.35">
      <c r="A89" s="71">
        <v>43524</v>
      </c>
      <c r="B89" s="72">
        <v>2.1920606690863591E-2</v>
      </c>
    </row>
    <row r="90" spans="1:2" x14ac:dyDescent="0.35">
      <c r="A90" s="71">
        <v>43555</v>
      </c>
      <c r="B90" s="72">
        <v>7.5905597346385273E-3</v>
      </c>
    </row>
    <row r="91" spans="1:2" x14ac:dyDescent="0.35">
      <c r="A91" s="71">
        <v>43585</v>
      </c>
      <c r="B91" s="72">
        <v>4.2887083576107411E-2</v>
      </c>
    </row>
    <row r="92" spans="1:2" x14ac:dyDescent="0.35">
      <c r="A92" s="71">
        <v>43616</v>
      </c>
      <c r="B92" s="72">
        <v>-6.5781607482697305E-2</v>
      </c>
    </row>
    <row r="93" spans="1:2" x14ac:dyDescent="0.35">
      <c r="A93" s="71">
        <v>43646</v>
      </c>
      <c r="B93" s="72">
        <v>2.8204233659947082E-2</v>
      </c>
    </row>
    <row r="94" spans="1:2" x14ac:dyDescent="0.35">
      <c r="A94" s="71">
        <v>43677</v>
      </c>
      <c r="B94" s="72">
        <v>-2.6156396234108779E-2</v>
      </c>
    </row>
    <row r="95" spans="1:2" x14ac:dyDescent="0.35">
      <c r="A95" s="71">
        <v>43708</v>
      </c>
      <c r="B95" s="72">
        <v>-1.8875392675537651E-2</v>
      </c>
    </row>
    <row r="96" spans="1:2" x14ac:dyDescent="0.35">
      <c r="A96" s="71">
        <v>43738</v>
      </c>
      <c r="B96" s="72">
        <v>1.1112634309785385E-2</v>
      </c>
    </row>
    <row r="97" spans="1:2" x14ac:dyDescent="0.35">
      <c r="A97" s="71">
        <v>43769</v>
      </c>
      <c r="B97" s="72">
        <v>2.9103540404656451E-2</v>
      </c>
    </row>
    <row r="98" spans="1:2" x14ac:dyDescent="0.35">
      <c r="A98" s="71">
        <v>43799</v>
      </c>
      <c r="B98" s="72">
        <v>-7.387340585861631E-3</v>
      </c>
    </row>
    <row r="99" spans="1:2" x14ac:dyDescent="0.35">
      <c r="A99" s="71">
        <v>43830</v>
      </c>
      <c r="B99" s="72">
        <v>4.4244723171370647E-2</v>
      </c>
    </row>
    <row r="100" spans="1:2" x14ac:dyDescent="0.35">
      <c r="A100" s="71">
        <v>43861</v>
      </c>
      <c r="B100" s="72">
        <v>-1.9810075452635571E-2</v>
      </c>
    </row>
    <row r="101" spans="1:2" x14ac:dyDescent="0.35">
      <c r="A101" s="71">
        <v>43890</v>
      </c>
      <c r="B101" s="72">
        <v>-9.365222938119433E-2</v>
      </c>
    </row>
    <row r="102" spans="1:2" x14ac:dyDescent="0.35">
      <c r="A102" s="71">
        <v>43921</v>
      </c>
      <c r="B102" s="72">
        <v>-0.1880463356846501</v>
      </c>
    </row>
    <row r="103" spans="1:2" x14ac:dyDescent="0.35">
      <c r="A103" s="71">
        <v>43951</v>
      </c>
      <c r="B103" s="72">
        <v>0.161943574499815</v>
      </c>
    </row>
    <row r="104" spans="1:2" x14ac:dyDescent="0.35">
      <c r="A104" s="71">
        <v>43982</v>
      </c>
      <c r="B104" s="72">
        <v>-5.6262958454220795E-3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A3B92-A5A9-4CF7-ACEC-C8C7A93E9A33}">
  <sheetPr codeName="Sheet8">
    <tabColor theme="1"/>
  </sheetPr>
  <dimension ref="A1:G44"/>
  <sheetViews>
    <sheetView workbookViewId="0">
      <selection activeCell="G37" sqref="G37"/>
    </sheetView>
  </sheetViews>
  <sheetFormatPr defaultRowHeight="14.5" x14ac:dyDescent="0.35"/>
  <cols>
    <col min="1" max="1" width="11.08984375" customWidth="1"/>
  </cols>
  <sheetData>
    <row r="1" spans="1:6" x14ac:dyDescent="0.35">
      <c r="A1" s="67">
        <v>42735</v>
      </c>
      <c r="B1">
        <v>2.3572982999999999E-2</v>
      </c>
      <c r="C1">
        <v>3.5575000000000002E-2</v>
      </c>
      <c r="E1">
        <f>1+C1</f>
        <v>1.0355749999999999</v>
      </c>
      <c r="F1">
        <f>E1</f>
        <v>1.0355749999999999</v>
      </c>
    </row>
    <row r="2" spans="1:6" x14ac:dyDescent="0.35">
      <c r="A2" s="67">
        <v>42766</v>
      </c>
      <c r="B2">
        <v>2.2876832999999999E-2</v>
      </c>
      <c r="C2">
        <v>1.8374999999999999E-2</v>
      </c>
      <c r="E2">
        <f t="shared" ref="E2:E44" si="0">1+C2</f>
        <v>1.018375</v>
      </c>
      <c r="F2">
        <f>F1*E2</f>
        <v>1.054603690625</v>
      </c>
    </row>
    <row r="3" spans="1:6" x14ac:dyDescent="0.35">
      <c r="A3" s="67">
        <v>42794</v>
      </c>
      <c r="B3">
        <v>-1.4623608999999999E-2</v>
      </c>
      <c r="C3">
        <v>-9.025E-3</v>
      </c>
      <c r="E3">
        <f t="shared" si="0"/>
        <v>0.99097500000000005</v>
      </c>
      <c r="F3">
        <f t="shared" ref="F3:F44" si="1">F2*E3</f>
        <v>1.0450858923171094</v>
      </c>
    </row>
    <row r="4" spans="1:6" x14ac:dyDescent="0.35">
      <c r="A4" s="67">
        <v>42825</v>
      </c>
      <c r="B4">
        <v>1.5470312999999999E-2</v>
      </c>
      <c r="C4">
        <v>8.175E-3</v>
      </c>
      <c r="E4">
        <f t="shared" si="0"/>
        <v>1.008175</v>
      </c>
      <c r="F4">
        <f t="shared" si="1"/>
        <v>1.0536294694868018</v>
      </c>
    </row>
    <row r="5" spans="1:6" x14ac:dyDescent="0.35">
      <c r="A5" s="67">
        <v>42855</v>
      </c>
      <c r="B5">
        <v>3.5248297999999997E-2</v>
      </c>
      <c r="C5">
        <v>2.2922999999999999E-2</v>
      </c>
      <c r="E5">
        <f t="shared" si="0"/>
        <v>1.022923</v>
      </c>
      <c r="F5">
        <f t="shared" si="1"/>
        <v>1.0777818178158478</v>
      </c>
    </row>
    <row r="6" spans="1:6" x14ac:dyDescent="0.35">
      <c r="A6" s="67">
        <v>42886</v>
      </c>
      <c r="B6">
        <v>-7.7726160000000004E-3</v>
      </c>
      <c r="C6">
        <v>-1.01937E-2</v>
      </c>
      <c r="E6">
        <f t="shared" si="0"/>
        <v>0.98980630000000003</v>
      </c>
      <c r="F6">
        <f t="shared" si="1"/>
        <v>1.0667952332995785</v>
      </c>
    </row>
    <row r="7" spans="1:6" x14ac:dyDescent="0.35">
      <c r="A7" s="67">
        <v>42916</v>
      </c>
      <c r="B7">
        <v>-3.581376E-2</v>
      </c>
      <c r="C7">
        <v>-3.9193800000000001E-2</v>
      </c>
      <c r="E7">
        <f t="shared" si="0"/>
        <v>0.96080619999999994</v>
      </c>
      <c r="F7">
        <f t="shared" si="1"/>
        <v>1.0249834742846815</v>
      </c>
    </row>
    <row r="8" spans="1:6" x14ac:dyDescent="0.35">
      <c r="A8" s="67">
        <v>42947</v>
      </c>
      <c r="B8">
        <v>5.2995797999999997E-2</v>
      </c>
      <c r="C8">
        <v>5.28111E-2</v>
      </c>
      <c r="E8">
        <f t="shared" si="0"/>
        <v>1.0528111</v>
      </c>
      <c r="F8">
        <f t="shared" si="1"/>
        <v>1.0791139790434772</v>
      </c>
    </row>
    <row r="9" spans="1:6" x14ac:dyDescent="0.35">
      <c r="A9" s="67">
        <v>42978</v>
      </c>
      <c r="B9">
        <v>2.6037712000000001E-2</v>
      </c>
      <c r="C9">
        <v>2.6294399999999999E-2</v>
      </c>
      <c r="E9">
        <f t="shared" si="0"/>
        <v>1.0262944000000001</v>
      </c>
      <c r="F9">
        <f t="shared" si="1"/>
        <v>1.1074886336540379</v>
      </c>
    </row>
    <row r="10" spans="1:6" x14ac:dyDescent="0.35">
      <c r="A10" s="67">
        <v>43008</v>
      </c>
      <c r="B10">
        <v>-1.9142055000000002E-2</v>
      </c>
      <c r="C10">
        <v>-2.5158881000000001E-2</v>
      </c>
      <c r="E10">
        <f t="shared" si="0"/>
        <v>0.97484111900000003</v>
      </c>
      <c r="F10">
        <f t="shared" si="1"/>
        <v>1.0796254589110834</v>
      </c>
    </row>
    <row r="11" spans="1:6" x14ac:dyDescent="0.35">
      <c r="A11" s="67">
        <v>43039</v>
      </c>
      <c r="B11">
        <v>4.8811423999999999E-2</v>
      </c>
      <c r="C11">
        <v>4.1462499999999999E-2</v>
      </c>
      <c r="E11">
        <f t="shared" si="0"/>
        <v>1.0414625</v>
      </c>
      <c r="F11">
        <f t="shared" si="1"/>
        <v>1.1243894295011843</v>
      </c>
    </row>
    <row r="12" spans="1:6" x14ac:dyDescent="0.35">
      <c r="A12" s="67">
        <v>43069</v>
      </c>
      <c r="B12">
        <v>2.46E-2</v>
      </c>
      <c r="C12">
        <v>3.7925800000000003E-2</v>
      </c>
      <c r="E12">
        <f t="shared" si="0"/>
        <v>1.0379258</v>
      </c>
      <c r="F12">
        <f t="shared" si="1"/>
        <v>1.1670327981265602</v>
      </c>
    </row>
    <row r="13" spans="1:6" x14ac:dyDescent="0.35">
      <c r="A13" s="67">
        <v>43100</v>
      </c>
      <c r="B13">
        <v>9.0900000000000009E-3</v>
      </c>
      <c r="C13">
        <v>7.2319700000000001E-2</v>
      </c>
      <c r="E13">
        <f t="shared" si="0"/>
        <v>1.0723197</v>
      </c>
      <c r="F13">
        <f t="shared" si="1"/>
        <v>1.2514322599772336</v>
      </c>
    </row>
    <row r="14" spans="1:6" x14ac:dyDescent="0.35">
      <c r="A14" s="67">
        <v>43131</v>
      </c>
      <c r="B14">
        <v>-4.4000000000000003E-3</v>
      </c>
      <c r="C14">
        <v>2.71548E-2</v>
      </c>
      <c r="E14">
        <f t="shared" si="0"/>
        <v>1.0271547999999999</v>
      </c>
      <c r="F14">
        <f t="shared" si="1"/>
        <v>1.2854146527104633</v>
      </c>
    </row>
    <row r="15" spans="1:6" x14ac:dyDescent="0.35">
      <c r="A15" s="67">
        <v>43159</v>
      </c>
      <c r="B15">
        <v>-7.9000000000000008E-3</v>
      </c>
      <c r="C15">
        <v>6.1695999999999999E-3</v>
      </c>
      <c r="E15">
        <f t="shared" si="0"/>
        <v>1.0061696</v>
      </c>
      <c r="F15">
        <f t="shared" si="1"/>
        <v>1.2933451469518258</v>
      </c>
    </row>
    <row r="16" spans="1:6" x14ac:dyDescent="0.35">
      <c r="A16" s="67">
        <v>43190</v>
      </c>
      <c r="B16">
        <v>-3.9010000000000003E-2</v>
      </c>
      <c r="C16">
        <v>-3.4216799999999999E-2</v>
      </c>
      <c r="E16">
        <f t="shared" si="0"/>
        <v>0.96578319999999995</v>
      </c>
      <c r="F16">
        <f t="shared" si="1"/>
        <v>1.2490910147276044</v>
      </c>
    </row>
    <row r="17" spans="1:6" x14ac:dyDescent="0.35">
      <c r="A17" s="67">
        <v>43220</v>
      </c>
      <c r="B17">
        <v>4.0969999999999999E-2</v>
      </c>
      <c r="C17">
        <v>3.9768267000000003E-2</v>
      </c>
      <c r="E17">
        <f t="shared" si="0"/>
        <v>1.0397682669999999</v>
      </c>
      <c r="F17">
        <f t="shared" si="1"/>
        <v>1.2987651997085927</v>
      </c>
    </row>
    <row r="18" spans="1:6" x14ac:dyDescent="0.35">
      <c r="A18" s="67">
        <v>43251</v>
      </c>
      <c r="B18">
        <v>-5.3159999999999999E-2</v>
      </c>
      <c r="C18">
        <v>-5.2960332999999998E-2</v>
      </c>
      <c r="E18">
        <f t="shared" si="0"/>
        <v>0.94703966699999997</v>
      </c>
      <c r="F18">
        <f t="shared" si="1"/>
        <v>1.2299821622432141</v>
      </c>
    </row>
    <row r="19" spans="1:6" x14ac:dyDescent="0.35">
      <c r="A19" s="67">
        <v>43281</v>
      </c>
      <c r="B19">
        <v>6.5599999999999999E-3</v>
      </c>
      <c r="C19">
        <v>-1.4610633E-2</v>
      </c>
      <c r="E19">
        <f t="shared" si="0"/>
        <v>0.98538936700000002</v>
      </c>
      <c r="F19">
        <f t="shared" si="1"/>
        <v>1.212011344274132</v>
      </c>
    </row>
    <row r="20" spans="1:6" x14ac:dyDescent="0.35">
      <c r="A20" s="67">
        <v>43312</v>
      </c>
      <c r="B20">
        <v>1.447E-2</v>
      </c>
      <c r="C20">
        <v>1.1837767000000001E-2</v>
      </c>
      <c r="E20">
        <f t="shared" si="0"/>
        <v>1.0118377670000001</v>
      </c>
      <c r="F20">
        <f t="shared" si="1"/>
        <v>1.2263588521690061</v>
      </c>
    </row>
    <row r="21" spans="1:6" x14ac:dyDescent="0.35">
      <c r="A21" s="67">
        <v>43343</v>
      </c>
      <c r="B21">
        <v>1.225E-2</v>
      </c>
      <c r="C21">
        <v>1.9894067000000001E-2</v>
      </c>
      <c r="E21">
        <f t="shared" si="0"/>
        <v>1.0198940670000001</v>
      </c>
      <c r="F21">
        <f t="shared" si="1"/>
        <v>1.2507561173400994</v>
      </c>
    </row>
    <row r="22" spans="1:6" x14ac:dyDescent="0.35">
      <c r="A22" s="67">
        <v>43373</v>
      </c>
      <c r="B22">
        <v>-4.2290000000000001E-2</v>
      </c>
      <c r="C22">
        <v>-2.9668533E-2</v>
      </c>
      <c r="E22">
        <f t="shared" si="0"/>
        <v>0.97033146699999995</v>
      </c>
      <c r="F22">
        <f t="shared" si="1"/>
        <v>1.2136480181978426</v>
      </c>
    </row>
    <row r="23" spans="1:6" x14ac:dyDescent="0.35">
      <c r="A23" s="67">
        <v>43404</v>
      </c>
      <c r="B23">
        <v>-4.6089999999999999E-2</v>
      </c>
      <c r="C23">
        <v>-1.5283433000000001E-2</v>
      </c>
      <c r="E23">
        <f t="shared" si="0"/>
        <v>0.98471656699999999</v>
      </c>
      <c r="F23">
        <f t="shared" si="1"/>
        <v>1.1950993100261331</v>
      </c>
    </row>
    <row r="24" spans="1:6" x14ac:dyDescent="0.35">
      <c r="A24" s="67">
        <v>43434</v>
      </c>
      <c r="B24">
        <v>-1.6899999999999998E-2</v>
      </c>
      <c r="C24">
        <v>-1.6072632999999999E-2</v>
      </c>
      <c r="E24">
        <f t="shared" si="0"/>
        <v>0.98392736700000005</v>
      </c>
      <c r="F24">
        <f t="shared" si="1"/>
        <v>1.1758909174175298</v>
      </c>
    </row>
    <row r="25" spans="1:6" x14ac:dyDescent="0.35">
      <c r="A25" s="67">
        <v>43465</v>
      </c>
      <c r="B25">
        <v>2.5870000000000001E-2</v>
      </c>
      <c r="C25">
        <v>3.8415866999999999E-2</v>
      </c>
      <c r="E25">
        <f t="shared" si="0"/>
        <v>1.0384158670000001</v>
      </c>
      <c r="F25">
        <f t="shared" si="1"/>
        <v>1.2210637865075498</v>
      </c>
    </row>
    <row r="26" spans="1:6" x14ac:dyDescent="0.35">
      <c r="A26" s="67">
        <v>43496</v>
      </c>
      <c r="B26">
        <v>2.7720000000000002E-2</v>
      </c>
      <c r="C26">
        <v>4.2288266999999997E-2</v>
      </c>
      <c r="E26">
        <f t="shared" si="0"/>
        <v>1.042288267</v>
      </c>
      <c r="F26">
        <f t="shared" si="1"/>
        <v>1.272700457935412</v>
      </c>
    </row>
    <row r="27" spans="1:6" x14ac:dyDescent="0.35">
      <c r="A27" s="67">
        <v>43524</v>
      </c>
      <c r="B27">
        <v>1.2319999999999999E-2</v>
      </c>
      <c r="C27">
        <v>6.4525670000000002E-3</v>
      </c>
      <c r="E27">
        <f t="shared" si="0"/>
        <v>1.006452567</v>
      </c>
      <c r="F27">
        <f t="shared" si="1"/>
        <v>1.2809126429111708</v>
      </c>
    </row>
    <row r="28" spans="1:6" x14ac:dyDescent="0.35">
      <c r="A28" s="67">
        <v>43555</v>
      </c>
      <c r="B28">
        <v>-1.7899999999999999E-3</v>
      </c>
      <c r="C28">
        <v>-1.7251032999999999E-2</v>
      </c>
      <c r="E28">
        <f t="shared" si="0"/>
        <v>0.98274896700000003</v>
      </c>
      <c r="F28">
        <f t="shared" si="1"/>
        <v>1.258815576638193</v>
      </c>
    </row>
    <row r="29" spans="1:6" x14ac:dyDescent="0.35">
      <c r="A29" s="67">
        <v>43585</v>
      </c>
      <c r="B29">
        <v>5.0029999999999998E-2</v>
      </c>
      <c r="C29">
        <v>5.5551467E-2</v>
      </c>
      <c r="E29">
        <f t="shared" si="0"/>
        <v>1.0555514669999999</v>
      </c>
      <c r="F29">
        <f t="shared" si="1"/>
        <v>1.3287446286028954</v>
      </c>
    </row>
    <row r="30" spans="1:6" x14ac:dyDescent="0.35">
      <c r="A30" s="67">
        <v>43616</v>
      </c>
      <c r="B30">
        <v>-4.7509999999999997E-2</v>
      </c>
      <c r="C30">
        <v>-3.2984033000000003E-2</v>
      </c>
      <c r="E30">
        <f t="shared" si="0"/>
        <v>0.96701596700000003</v>
      </c>
      <c r="F30">
        <f t="shared" si="1"/>
        <v>1.2849172719244848</v>
      </c>
    </row>
    <row r="31" spans="1:6" x14ac:dyDescent="0.35">
      <c r="A31" s="67">
        <v>43646</v>
      </c>
      <c r="B31">
        <v>2.8840000000000001E-2</v>
      </c>
      <c r="C31">
        <v>3.4575067000000001E-2</v>
      </c>
      <c r="E31">
        <f t="shared" si="0"/>
        <v>1.034575067</v>
      </c>
      <c r="F31">
        <f t="shared" si="1"/>
        <v>1.3293433726907311</v>
      </c>
    </row>
    <row r="32" spans="1:6" x14ac:dyDescent="0.35">
      <c r="A32" s="67">
        <v>43677</v>
      </c>
      <c r="B32">
        <v>-3.1260000000000003E-2</v>
      </c>
      <c r="C32">
        <v>-4.1477132999999999E-2</v>
      </c>
      <c r="E32">
        <f t="shared" si="0"/>
        <v>0.958522867</v>
      </c>
      <c r="F32">
        <f t="shared" si="1"/>
        <v>1.2742060208189692</v>
      </c>
    </row>
    <row r="33" spans="1:7" x14ac:dyDescent="0.35">
      <c r="A33" s="67">
        <v>43708</v>
      </c>
      <c r="B33">
        <v>-2.699E-2</v>
      </c>
      <c r="C33">
        <v>-4.8357425000000002E-2</v>
      </c>
      <c r="E33">
        <f t="shared" si="0"/>
        <v>0.95164257500000005</v>
      </c>
      <c r="F33">
        <f t="shared" si="1"/>
        <v>1.2125886987326675</v>
      </c>
    </row>
    <row r="34" spans="1:7" x14ac:dyDescent="0.35">
      <c r="A34" s="67">
        <v>43738</v>
      </c>
      <c r="B34">
        <v>6.7200000000000003E-3</v>
      </c>
      <c r="C34">
        <v>8.0133670000000004E-3</v>
      </c>
      <c r="E34">
        <f t="shared" si="0"/>
        <v>1.008013367</v>
      </c>
      <c r="F34">
        <f t="shared" si="1"/>
        <v>1.2223056169956648</v>
      </c>
    </row>
    <row r="35" spans="1:7" x14ac:dyDescent="0.35">
      <c r="A35" s="67">
        <v>43769</v>
      </c>
      <c r="B35">
        <v>3.6400000000000002E-2</v>
      </c>
      <c r="C35">
        <v>3.5579167000000002E-2</v>
      </c>
      <c r="E35">
        <f t="shared" si="0"/>
        <v>1.0355791670000001</v>
      </c>
      <c r="F35">
        <f t="shared" si="1"/>
        <v>1.2657942326677916</v>
      </c>
    </row>
    <row r="36" spans="1:7" x14ac:dyDescent="0.35">
      <c r="A36" s="67">
        <v>43799</v>
      </c>
      <c r="B36">
        <v>-1.193E-2</v>
      </c>
      <c r="C36">
        <v>-6.120833E-3</v>
      </c>
      <c r="E36">
        <f t="shared" si="0"/>
        <v>0.99387916700000001</v>
      </c>
      <c r="F36">
        <f t="shared" si="1"/>
        <v>1.2580465175572688</v>
      </c>
    </row>
    <row r="37" spans="1:7" x14ac:dyDescent="0.35">
      <c r="A37" s="67">
        <v>43830</v>
      </c>
      <c r="B37">
        <v>3.09E-2</v>
      </c>
      <c r="C37">
        <v>2.7979166999999999E-2</v>
      </c>
      <c r="E37">
        <f t="shared" si="0"/>
        <v>1.027979167</v>
      </c>
      <c r="F37">
        <f t="shared" si="1"/>
        <v>1.2932456111657722</v>
      </c>
      <c r="G37">
        <f>F37/F25-1</f>
        <v>5.9113885331637528E-2</v>
      </c>
    </row>
    <row r="38" spans="1:7" x14ac:dyDescent="0.35">
      <c r="A38" s="67">
        <v>43861</v>
      </c>
      <c r="B38">
        <v>-2.5690000000000001E-2</v>
      </c>
      <c r="C38">
        <v>-2.5325E-2</v>
      </c>
      <c r="E38">
        <f t="shared" si="0"/>
        <v>0.97467499999999996</v>
      </c>
      <c r="F38">
        <f t="shared" si="1"/>
        <v>1.2604941660629989</v>
      </c>
    </row>
    <row r="39" spans="1:7" x14ac:dyDescent="0.35">
      <c r="A39" s="67">
        <v>43890</v>
      </c>
      <c r="B39">
        <v>-9.5469999999999999E-2</v>
      </c>
      <c r="C39">
        <v>-8.4425E-2</v>
      </c>
      <c r="E39">
        <f t="shared" si="0"/>
        <v>0.91557500000000003</v>
      </c>
      <c r="F39">
        <f t="shared" si="1"/>
        <v>1.1540769460931302</v>
      </c>
    </row>
    <row r="40" spans="1:7" x14ac:dyDescent="0.35">
      <c r="A40" s="67">
        <v>43921</v>
      </c>
      <c r="B40">
        <v>-0.16685</v>
      </c>
      <c r="C40">
        <v>-0.23202500000000001</v>
      </c>
      <c r="E40">
        <f t="shared" si="0"/>
        <v>0.76797499999999996</v>
      </c>
      <c r="F40">
        <f t="shared" si="1"/>
        <v>0.88630224267587154</v>
      </c>
    </row>
    <row r="41" spans="1:7" x14ac:dyDescent="0.35">
      <c r="A41" s="67">
        <v>43951</v>
      </c>
      <c r="B41">
        <v>0.14177000000000001</v>
      </c>
      <c r="C41">
        <v>0.179175</v>
      </c>
      <c r="E41">
        <f t="shared" si="0"/>
        <v>1.1791750000000001</v>
      </c>
      <c r="F41">
        <f t="shared" si="1"/>
        <v>1.0451054470073209</v>
      </c>
    </row>
    <row r="42" spans="1:7" x14ac:dyDescent="0.35">
      <c r="A42" s="67">
        <v>43982</v>
      </c>
      <c r="B42">
        <v>-4.1399999999999996E-3</v>
      </c>
      <c r="C42" s="68">
        <v>-8.25E-4</v>
      </c>
      <c r="E42">
        <f t="shared" si="0"/>
        <v>0.99917500000000004</v>
      </c>
      <c r="F42">
        <f t="shared" si="1"/>
        <v>1.04424323501354</v>
      </c>
    </row>
    <row r="43" spans="1:7" x14ac:dyDescent="0.35">
      <c r="A43" s="67">
        <v>44012</v>
      </c>
      <c r="B43">
        <v>6.9809999999999997E-2</v>
      </c>
      <c r="C43">
        <v>7.6422881206714394E-2</v>
      </c>
      <c r="E43">
        <f t="shared" si="0"/>
        <v>1.0764228812067145</v>
      </c>
      <c r="F43">
        <f t="shared" si="1"/>
        <v>1.1240473117138949</v>
      </c>
    </row>
    <row r="44" spans="1:7" x14ac:dyDescent="0.35">
      <c r="A44" s="67">
        <v>44043</v>
      </c>
      <c r="B44">
        <v>3.007E-2</v>
      </c>
      <c r="C44">
        <v>6.3097736198996293E-2</v>
      </c>
      <c r="E44">
        <f t="shared" si="0"/>
        <v>1.0630977361989964</v>
      </c>
      <c r="F44">
        <f t="shared" si="1"/>
        <v>1.1949721524636094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theme="1"/>
  </sheetPr>
  <dimension ref="A1:JW251"/>
  <sheetViews>
    <sheetView zoomScale="80" zoomScaleNormal="80" workbookViewId="0">
      <pane xSplit="3" ySplit="4" topLeftCell="D5" activePane="bottomRight" state="frozen"/>
      <selection activeCell="D36" sqref="D36"/>
      <selection pane="topRight" activeCell="D36" sqref="D36"/>
      <selection pane="bottomLeft" activeCell="D36" sqref="D36"/>
      <selection pane="bottomRight" activeCell="D36" sqref="D36"/>
    </sheetView>
  </sheetViews>
  <sheetFormatPr defaultColWidth="9.08984375" defaultRowHeight="13" x14ac:dyDescent="0.3"/>
  <cols>
    <col min="1" max="1" width="32.453125" style="4" customWidth="1"/>
    <col min="2" max="2" width="12.36328125" style="5" customWidth="1"/>
    <col min="3" max="3" width="1.54296875" style="5" customWidth="1"/>
    <col min="4" max="4" width="12.90625" style="56" customWidth="1"/>
    <col min="5" max="5" width="11.90625" style="5" customWidth="1"/>
    <col min="6" max="178" width="11.54296875" style="5" customWidth="1"/>
    <col min="179" max="16384" width="9.08984375" style="5"/>
  </cols>
  <sheetData>
    <row r="1" spans="1:5" s="2" customFormat="1" ht="54.75" customHeight="1" x14ac:dyDescent="0.3">
      <c r="A1" s="1" t="s">
        <v>92</v>
      </c>
      <c r="D1" s="54"/>
      <c r="E1" s="2" t="str">
        <f>_xll.BDP(E2,"NAME")</f>
        <v>MSCI USA</v>
      </c>
    </row>
    <row r="2" spans="1:5" s="3" customFormat="1" ht="29.25" customHeight="1" x14ac:dyDescent="0.3">
      <c r="A2" s="1" t="s">
        <v>4</v>
      </c>
      <c r="D2" s="55"/>
      <c r="E2" s="3" t="s">
        <v>1272</v>
      </c>
    </row>
    <row r="3" spans="1:5" s="3" customFormat="1" ht="24" customHeight="1" x14ac:dyDescent="0.3">
      <c r="A3" s="1" t="s">
        <v>7</v>
      </c>
      <c r="D3" s="55"/>
      <c r="E3" s="3" t="s">
        <v>8</v>
      </c>
    </row>
    <row r="4" spans="1:5" s="3" customFormat="1" ht="15.75" customHeight="1" x14ac:dyDescent="0.3">
      <c r="A4" s="1" t="s">
        <v>151</v>
      </c>
      <c r="D4" s="55"/>
    </row>
    <row r="5" spans="1:5" x14ac:dyDescent="0.3">
      <c r="A5" s="4" t="s">
        <v>0</v>
      </c>
      <c r="B5" s="10">
        <v>36526</v>
      </c>
      <c r="D5" s="56">
        <v>36556</v>
      </c>
      <c r="E5" s="5">
        <v>1367.1</v>
      </c>
    </row>
    <row r="6" spans="1:5" x14ac:dyDescent="0.3">
      <c r="A6" s="4" t="s">
        <v>1</v>
      </c>
      <c r="B6" s="5">
        <v>19</v>
      </c>
      <c r="D6" s="56">
        <v>36585</v>
      </c>
      <c r="E6" s="5">
        <v>1333.28</v>
      </c>
    </row>
    <row r="7" spans="1:5" x14ac:dyDescent="0.3">
      <c r="A7" s="4" t="s">
        <v>2</v>
      </c>
      <c r="B7" s="10">
        <f ca="1">EOMONTH(TODAY(),-1)</f>
        <v>44377</v>
      </c>
      <c r="D7" s="56">
        <v>36616</v>
      </c>
      <c r="E7" s="5">
        <v>1465.05</v>
      </c>
    </row>
    <row r="8" spans="1:5" x14ac:dyDescent="0.3">
      <c r="A8" s="4" t="s">
        <v>3</v>
      </c>
      <c r="B8" s="5" t="s">
        <v>152</v>
      </c>
      <c r="D8" s="56">
        <v>36644</v>
      </c>
      <c r="E8" s="5">
        <v>1416.34</v>
      </c>
    </row>
    <row r="9" spans="1:5" x14ac:dyDescent="0.3">
      <c r="D9" s="56">
        <v>36677</v>
      </c>
      <c r="E9" s="5">
        <v>1377.57</v>
      </c>
    </row>
    <row r="10" spans="1:5" x14ac:dyDescent="0.3">
      <c r="D10" s="56">
        <v>36707</v>
      </c>
      <c r="E10" s="5">
        <v>1409.31</v>
      </c>
    </row>
    <row r="11" spans="1:5" x14ac:dyDescent="0.3">
      <c r="D11" s="56">
        <v>36738</v>
      </c>
      <c r="E11" s="5">
        <v>1382.78</v>
      </c>
    </row>
    <row r="12" spans="1:5" x14ac:dyDescent="0.3">
      <c r="D12" s="56">
        <v>36769</v>
      </c>
      <c r="E12" s="5">
        <v>1453.34</v>
      </c>
    </row>
    <row r="13" spans="1:5" x14ac:dyDescent="0.3">
      <c r="D13" s="56">
        <v>36798</v>
      </c>
      <c r="E13" s="5">
        <v>1373.02</v>
      </c>
    </row>
    <row r="14" spans="1:5" ht="14.5" x14ac:dyDescent="0.35">
      <c r="A14"/>
      <c r="D14" s="56">
        <v>36830</v>
      </c>
      <c r="E14" s="5">
        <v>1361.95</v>
      </c>
    </row>
    <row r="15" spans="1:5" ht="14.5" x14ac:dyDescent="0.35">
      <c r="A15"/>
      <c r="D15" s="56">
        <v>36860</v>
      </c>
      <c r="E15" s="5">
        <v>1253.0999999999999</v>
      </c>
    </row>
    <row r="16" spans="1:5" ht="14.5" x14ac:dyDescent="0.35">
      <c r="A16"/>
      <c r="D16" s="56">
        <v>36889</v>
      </c>
      <c r="E16" s="5">
        <v>1249.8599999999999</v>
      </c>
    </row>
    <row r="17" spans="1:283" ht="14.5" x14ac:dyDescent="0.35">
      <c r="A17"/>
      <c r="D17" s="56">
        <v>36922</v>
      </c>
      <c r="E17" s="5">
        <v>1294.4000000000001</v>
      </c>
    </row>
    <row r="18" spans="1:283" ht="14.5" x14ac:dyDescent="0.35">
      <c r="A18"/>
      <c r="D18" s="56">
        <v>36950</v>
      </c>
      <c r="E18" s="5">
        <v>1177.2</v>
      </c>
    </row>
    <row r="19" spans="1:283" ht="14.5" x14ac:dyDescent="0.35">
      <c r="A19"/>
      <c r="D19" s="56">
        <v>36980</v>
      </c>
      <c r="E19" s="5">
        <v>1101.0999999999999</v>
      </c>
    </row>
    <row r="20" spans="1:283" ht="14.5" x14ac:dyDescent="0.35">
      <c r="A20"/>
      <c r="D20" s="56">
        <v>37011</v>
      </c>
      <c r="E20" s="5">
        <v>1185.82</v>
      </c>
    </row>
    <row r="21" spans="1:283" ht="14.5" x14ac:dyDescent="0.35">
      <c r="A21"/>
      <c r="D21" s="56">
        <v>37042</v>
      </c>
      <c r="E21" s="5">
        <v>1191.1600000000001</v>
      </c>
    </row>
    <row r="22" spans="1:283" ht="14.5" x14ac:dyDescent="0.35">
      <c r="A22"/>
      <c r="D22" s="56">
        <v>37071</v>
      </c>
      <c r="E22" s="5">
        <v>1163.1400000000001</v>
      </c>
    </row>
    <row r="23" spans="1:283" ht="14.5" x14ac:dyDescent="0.35">
      <c r="A23"/>
      <c r="D23" s="56">
        <v>37103</v>
      </c>
      <c r="E23" s="5">
        <v>1151.1300000000001</v>
      </c>
    </row>
    <row r="24" spans="1:283" ht="14.5" x14ac:dyDescent="0.35">
      <c r="A24"/>
      <c r="D24" s="56">
        <v>37134</v>
      </c>
      <c r="E24" s="5">
        <v>1073</v>
      </c>
    </row>
    <row r="25" spans="1:283" ht="14.5" x14ac:dyDescent="0.35">
      <c r="A25"/>
      <c r="D25" s="56">
        <v>37162</v>
      </c>
      <c r="E25" s="5">
        <v>989.92</v>
      </c>
    </row>
    <row r="26" spans="1:283" ht="14.5" x14ac:dyDescent="0.35">
      <c r="A26"/>
      <c r="D26" s="56">
        <v>37195</v>
      </c>
      <c r="E26" s="5">
        <v>1003.34</v>
      </c>
    </row>
    <row r="27" spans="1:283" ht="14.5" x14ac:dyDescent="0.35">
      <c r="A27"/>
      <c r="D27" s="56">
        <v>37225</v>
      </c>
      <c r="E27" s="5">
        <v>1078.99</v>
      </c>
    </row>
    <row r="28" spans="1:283" ht="14.5" x14ac:dyDescent="0.35">
      <c r="A28"/>
      <c r="D28" s="56">
        <v>37256</v>
      </c>
      <c r="E28" s="5">
        <v>1084.54</v>
      </c>
    </row>
    <row r="29" spans="1:283" ht="14.5" x14ac:dyDescent="0.35">
      <c r="A29"/>
      <c r="D29" s="56">
        <v>37287</v>
      </c>
      <c r="E29" s="5">
        <v>1068.1300000000001</v>
      </c>
    </row>
    <row r="30" spans="1:283" s="7" customFormat="1" ht="14.5" x14ac:dyDescent="0.35">
      <c r="A30"/>
      <c r="B30" s="5"/>
      <c r="C30" s="5"/>
      <c r="D30" s="56">
        <v>37315</v>
      </c>
      <c r="E30" s="5">
        <v>1045.5999999999999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</row>
    <row r="31" spans="1:283" s="7" customFormat="1" ht="14.5" x14ac:dyDescent="0.35">
      <c r="A31"/>
      <c r="B31" s="5"/>
      <c r="C31" s="5"/>
      <c r="D31" s="56">
        <v>37344</v>
      </c>
      <c r="E31" s="5">
        <v>1083.68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</row>
    <row r="32" spans="1:283" s="7" customFormat="1" ht="14.5" x14ac:dyDescent="0.35">
      <c r="A32"/>
      <c r="B32" s="5"/>
      <c r="C32" s="5"/>
      <c r="D32" s="56">
        <v>37376</v>
      </c>
      <c r="E32" s="5">
        <v>1012.51</v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</row>
    <row r="33" spans="1:283" s="7" customFormat="1" ht="14.5" x14ac:dyDescent="0.35">
      <c r="A33"/>
      <c r="B33" s="5"/>
      <c r="C33" s="5"/>
      <c r="D33" s="56">
        <v>37407</v>
      </c>
      <c r="E33" s="5">
        <v>1003.4</v>
      </c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</row>
    <row r="34" spans="1:283" s="7" customFormat="1" ht="14.5" x14ac:dyDescent="0.35">
      <c r="A34"/>
      <c r="B34" s="5"/>
      <c r="C34" s="5"/>
      <c r="D34" s="56">
        <v>37435</v>
      </c>
      <c r="E34" s="5">
        <v>925.68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</row>
    <row r="35" spans="1:283" s="7" customFormat="1" ht="14.5" x14ac:dyDescent="0.35">
      <c r="A35"/>
      <c r="B35" s="5"/>
      <c r="C35" s="5"/>
      <c r="D35" s="56">
        <v>37468</v>
      </c>
      <c r="E35" s="5">
        <v>858.15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</row>
    <row r="36" spans="1:283" s="7" customFormat="1" ht="14.5" x14ac:dyDescent="0.35">
      <c r="A36"/>
      <c r="B36" s="5"/>
      <c r="C36" s="5"/>
      <c r="D36" s="56">
        <v>37498</v>
      </c>
      <c r="E36" s="5">
        <v>860.89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</row>
    <row r="37" spans="1:283" s="7" customFormat="1" ht="14.5" x14ac:dyDescent="0.35">
      <c r="A37"/>
      <c r="B37" s="5"/>
      <c r="C37" s="5"/>
      <c r="D37" s="56">
        <v>37529</v>
      </c>
      <c r="E37" s="5">
        <v>762.56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</row>
    <row r="38" spans="1:283" s="7" customFormat="1" ht="14.5" x14ac:dyDescent="0.35">
      <c r="A38"/>
      <c r="B38" s="5"/>
      <c r="C38" s="5"/>
      <c r="D38" s="56">
        <v>37560</v>
      </c>
      <c r="E38" s="5">
        <v>830.63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</row>
    <row r="39" spans="1:283" s="7" customFormat="1" ht="14.5" x14ac:dyDescent="0.35">
      <c r="A39"/>
      <c r="B39" s="5"/>
      <c r="C39" s="5"/>
      <c r="D39" s="56">
        <v>37589</v>
      </c>
      <c r="E39" s="5">
        <v>879.09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</row>
    <row r="40" spans="1:283" s="7" customFormat="1" ht="14.5" x14ac:dyDescent="0.35">
      <c r="A40"/>
      <c r="B40" s="5"/>
      <c r="C40" s="5"/>
      <c r="D40" s="56">
        <v>37621</v>
      </c>
      <c r="E40" s="5">
        <v>824.58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</row>
    <row r="41" spans="1:283" s="7" customFormat="1" ht="14.5" x14ac:dyDescent="0.35">
      <c r="A41"/>
      <c r="B41" s="5"/>
      <c r="C41" s="5"/>
      <c r="D41" s="56">
        <v>37652</v>
      </c>
      <c r="E41" s="5">
        <v>803.6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</row>
    <row r="42" spans="1:283" s="7" customFormat="1" ht="14.5" x14ac:dyDescent="0.35">
      <c r="A42"/>
      <c r="B42" s="5"/>
      <c r="C42" s="5"/>
      <c r="D42" s="56">
        <v>37680</v>
      </c>
      <c r="E42" s="5">
        <v>789.8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</row>
    <row r="43" spans="1:283" s="7" customFormat="1" ht="14.5" x14ac:dyDescent="0.35">
      <c r="A43"/>
      <c r="B43" s="5"/>
      <c r="C43" s="5"/>
      <c r="D43" s="56">
        <v>37711</v>
      </c>
      <c r="E43" s="5">
        <v>796.07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</row>
    <row r="44" spans="1:283" s="7" customFormat="1" ht="14.5" x14ac:dyDescent="0.35">
      <c r="A44"/>
      <c r="B44" s="5"/>
      <c r="C44" s="5"/>
      <c r="D44" s="56">
        <v>37741</v>
      </c>
      <c r="E44" s="5">
        <v>861.54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</row>
    <row r="45" spans="1:283" s="7" customFormat="1" ht="14.5" x14ac:dyDescent="0.35">
      <c r="A45"/>
      <c r="B45" s="5"/>
      <c r="C45" s="5"/>
      <c r="D45" s="56">
        <v>37771</v>
      </c>
      <c r="E45" s="5">
        <v>906.16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</row>
    <row r="46" spans="1:283" s="7" customFormat="1" ht="14.5" x14ac:dyDescent="0.35">
      <c r="A46"/>
      <c r="B46" s="5"/>
      <c r="C46" s="5"/>
      <c r="D46" s="56">
        <v>37802</v>
      </c>
      <c r="E46" s="5">
        <v>916.09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</row>
    <row r="47" spans="1:283" s="7" customFormat="1" ht="14.5" x14ac:dyDescent="0.35">
      <c r="A47"/>
      <c r="B47" s="5"/>
      <c r="C47" s="5"/>
      <c r="D47" s="56">
        <v>37833</v>
      </c>
      <c r="E47" s="5">
        <v>931.84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</row>
    <row r="48" spans="1:283" s="7" customFormat="1" ht="14.5" x14ac:dyDescent="0.35">
      <c r="A48"/>
      <c r="B48" s="5"/>
      <c r="C48" s="5"/>
      <c r="D48" s="56">
        <v>37862</v>
      </c>
      <c r="E48" s="5">
        <v>947.8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</row>
    <row r="49" spans="1:283" s="7" customFormat="1" ht="14.5" x14ac:dyDescent="0.35">
      <c r="A49"/>
      <c r="B49" s="5"/>
      <c r="C49" s="5"/>
      <c r="D49" s="56">
        <v>37894</v>
      </c>
      <c r="E49" s="5">
        <v>935.57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</row>
    <row r="50" spans="1:283" s="7" customFormat="1" ht="14.5" x14ac:dyDescent="0.35">
      <c r="A50"/>
      <c r="B50" s="5"/>
      <c r="C50" s="5"/>
      <c r="D50" s="56">
        <v>37925</v>
      </c>
      <c r="E50" s="5">
        <v>987.49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</row>
    <row r="51" spans="1:283" s="7" customFormat="1" ht="14.5" x14ac:dyDescent="0.35">
      <c r="A51"/>
      <c r="B51" s="5"/>
      <c r="C51" s="5"/>
      <c r="D51" s="56">
        <v>37953</v>
      </c>
      <c r="E51" s="5">
        <v>995.4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</row>
    <row r="52" spans="1:283" s="7" customFormat="1" ht="14.5" x14ac:dyDescent="0.35">
      <c r="A52"/>
      <c r="B52" s="5"/>
      <c r="C52" s="5"/>
      <c r="D52" s="56">
        <v>37986</v>
      </c>
      <c r="E52" s="5">
        <v>1045.4100000000001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</row>
    <row r="53" spans="1:283" s="7" customFormat="1" ht="14.5" x14ac:dyDescent="0.35">
      <c r="A53"/>
      <c r="B53" s="5"/>
      <c r="C53" s="5"/>
      <c r="D53" s="56">
        <v>38016</v>
      </c>
      <c r="E53" s="5">
        <v>1063.19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</row>
    <row r="54" spans="1:283" s="7" customFormat="1" ht="14.5" x14ac:dyDescent="0.35">
      <c r="A54"/>
      <c r="B54" s="5"/>
      <c r="C54" s="5"/>
      <c r="D54" s="56">
        <v>38044</v>
      </c>
      <c r="E54" s="5">
        <v>1074.31</v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</row>
    <row r="55" spans="1:283" s="7" customFormat="1" ht="14.5" x14ac:dyDescent="0.35">
      <c r="A55"/>
      <c r="B55" s="5"/>
      <c r="C55" s="5"/>
      <c r="D55" s="56">
        <v>38077</v>
      </c>
      <c r="E55" s="5">
        <v>1055.8599999999999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</row>
    <row r="56" spans="1:283" s="7" customFormat="1" ht="14.5" x14ac:dyDescent="0.35">
      <c r="A56"/>
      <c r="B56" s="5"/>
      <c r="C56" s="5"/>
      <c r="D56" s="56">
        <v>38107</v>
      </c>
      <c r="E56" s="5">
        <v>1038.46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</row>
    <row r="57" spans="1:283" s="7" customFormat="1" ht="14.5" x14ac:dyDescent="0.35">
      <c r="A57"/>
      <c r="B57" s="5"/>
      <c r="C57" s="5"/>
      <c r="D57" s="56">
        <v>38138</v>
      </c>
      <c r="E57" s="5">
        <v>1050.5999999999999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</row>
    <row r="58" spans="1:283" s="7" customFormat="1" ht="14.5" x14ac:dyDescent="0.35">
      <c r="A58"/>
      <c r="B58" s="5"/>
      <c r="C58" s="5"/>
      <c r="D58" s="56">
        <v>38168</v>
      </c>
      <c r="E58" s="5">
        <v>1068.8800000000001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</row>
    <row r="59" spans="1:283" s="7" customFormat="1" ht="14.5" x14ac:dyDescent="0.35">
      <c r="A59"/>
      <c r="B59" s="5"/>
      <c r="C59" s="5"/>
      <c r="D59" s="56">
        <v>38198</v>
      </c>
      <c r="E59" s="5">
        <v>1031.19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</row>
    <row r="60" spans="1:283" s="7" customFormat="1" ht="14.5" x14ac:dyDescent="0.35">
      <c r="A60"/>
      <c r="B60" s="5"/>
      <c r="C60" s="5"/>
      <c r="D60" s="56">
        <v>38230</v>
      </c>
      <c r="E60" s="5">
        <v>1034.6500000000001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</row>
    <row r="61" spans="1:283" s="7" customFormat="1" ht="14.5" x14ac:dyDescent="0.35">
      <c r="A61"/>
      <c r="B61" s="5"/>
      <c r="C61" s="5"/>
      <c r="D61" s="56">
        <v>38260</v>
      </c>
      <c r="E61" s="5">
        <v>1044.47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</row>
    <row r="62" spans="1:283" s="7" customFormat="1" ht="14.5" x14ac:dyDescent="0.35">
      <c r="A62"/>
      <c r="B62" s="5"/>
      <c r="C62" s="5"/>
      <c r="D62" s="56">
        <v>38289</v>
      </c>
      <c r="E62" s="5">
        <v>1059.1099999999999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</row>
    <row r="63" spans="1:283" s="7" customFormat="1" ht="14.5" x14ac:dyDescent="0.35">
      <c r="A63"/>
      <c r="B63" s="5"/>
      <c r="C63" s="5"/>
      <c r="D63" s="56">
        <v>38321</v>
      </c>
      <c r="E63" s="5">
        <v>1100.6600000000001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</row>
    <row r="64" spans="1:283" s="7" customFormat="1" ht="14.5" x14ac:dyDescent="0.35">
      <c r="A64"/>
      <c r="B64" s="5"/>
      <c r="C64" s="5"/>
      <c r="D64" s="56">
        <v>38352</v>
      </c>
      <c r="E64" s="5">
        <v>1137.43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</row>
    <row r="65" spans="1:283" s="7" customFormat="1" ht="14.5" x14ac:dyDescent="0.35">
      <c r="A65" s="12"/>
      <c r="B65" s="5"/>
      <c r="C65" s="5"/>
      <c r="D65" s="56">
        <v>38383</v>
      </c>
      <c r="E65" s="5">
        <v>1108.2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</row>
    <row r="66" spans="1:283" s="7" customFormat="1" ht="14.5" x14ac:dyDescent="0.35">
      <c r="A66" s="12"/>
      <c r="B66" s="5"/>
      <c r="C66" s="5"/>
      <c r="D66" s="56">
        <v>38411</v>
      </c>
      <c r="E66" s="5">
        <v>1128.94</v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</row>
    <row r="67" spans="1:283" s="7" customFormat="1" ht="14.5" x14ac:dyDescent="0.35">
      <c r="A67" s="12"/>
      <c r="B67" s="5"/>
      <c r="C67" s="5"/>
      <c r="D67" s="56">
        <v>38442</v>
      </c>
      <c r="E67" s="5">
        <v>1109.27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</row>
    <row r="68" spans="1:283" s="7" customFormat="1" ht="14.5" x14ac:dyDescent="0.35">
      <c r="A68" s="12"/>
      <c r="B68" s="5"/>
      <c r="C68" s="5"/>
      <c r="D68" s="56">
        <v>38471</v>
      </c>
      <c r="E68" s="5">
        <v>1087.92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</row>
    <row r="69" spans="1:283" s="7" customFormat="1" ht="14.5" x14ac:dyDescent="0.35">
      <c r="A69" s="12"/>
      <c r="B69" s="5"/>
      <c r="C69" s="5"/>
      <c r="D69" s="56">
        <v>38503</v>
      </c>
      <c r="E69" s="5">
        <v>1121.5</v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</row>
    <row r="70" spans="1:283" s="7" customFormat="1" ht="14.5" x14ac:dyDescent="0.35">
      <c r="A70" s="12"/>
      <c r="B70" s="5"/>
      <c r="C70" s="5"/>
      <c r="D70" s="56">
        <v>38533</v>
      </c>
      <c r="E70" s="5">
        <v>1122.57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</row>
    <row r="71" spans="1:283" s="7" customFormat="1" ht="14.5" x14ac:dyDescent="0.35">
      <c r="A71" s="12"/>
      <c r="B71" s="5"/>
      <c r="C71" s="5"/>
      <c r="D71" s="56">
        <v>38562</v>
      </c>
      <c r="E71" s="5">
        <v>1163.42</v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</row>
    <row r="72" spans="1:283" s="7" customFormat="1" ht="14.5" x14ac:dyDescent="0.35">
      <c r="A72" s="12"/>
      <c r="B72" s="5"/>
      <c r="C72" s="5"/>
      <c r="D72" s="56">
        <v>38595</v>
      </c>
      <c r="E72" s="5">
        <v>1150.25</v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</row>
    <row r="73" spans="1:283" s="7" customFormat="1" ht="14.5" x14ac:dyDescent="0.35">
      <c r="A73" s="12"/>
      <c r="B73" s="5"/>
      <c r="C73" s="5"/>
      <c r="D73" s="56">
        <v>38625</v>
      </c>
      <c r="E73" s="5">
        <v>1158.74</v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</row>
    <row r="74" spans="1:283" s="7" customFormat="1" ht="14.5" x14ac:dyDescent="0.35">
      <c r="A74" s="12"/>
      <c r="B74" s="5"/>
      <c r="C74" s="5"/>
      <c r="D74" s="56">
        <v>38656</v>
      </c>
      <c r="E74" s="5">
        <v>1138.51</v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</row>
    <row r="75" spans="1:283" s="7" customFormat="1" ht="14.5" x14ac:dyDescent="0.35">
      <c r="A75" s="12"/>
      <c r="B75" s="5"/>
      <c r="C75" s="5"/>
      <c r="D75" s="56">
        <v>38686</v>
      </c>
      <c r="E75" s="5">
        <v>1181.54</v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</row>
    <row r="76" spans="1:283" s="7" customFormat="1" ht="14.5" x14ac:dyDescent="0.35">
      <c r="A76" s="12"/>
      <c r="B76" s="5"/>
      <c r="C76" s="5"/>
      <c r="D76" s="56">
        <v>38716</v>
      </c>
      <c r="E76" s="5">
        <v>1180.6400000000001</v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</row>
    <row r="77" spans="1:283" s="7" customFormat="1" ht="14.5" x14ac:dyDescent="0.35">
      <c r="A77" s="12"/>
      <c r="B77" s="5"/>
      <c r="C77" s="5"/>
      <c r="D77" s="56">
        <v>38748</v>
      </c>
      <c r="E77" s="5">
        <v>1211.6600000000001</v>
      </c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</row>
    <row r="78" spans="1:283" s="7" customFormat="1" ht="14.5" x14ac:dyDescent="0.35">
      <c r="A78" s="12"/>
      <c r="B78" s="5"/>
      <c r="C78" s="5"/>
      <c r="D78" s="56">
        <v>38776</v>
      </c>
      <c r="E78" s="5">
        <v>1210.23</v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</row>
    <row r="79" spans="1:283" s="7" customFormat="1" ht="14.5" x14ac:dyDescent="0.35">
      <c r="A79" s="12"/>
      <c r="B79" s="5"/>
      <c r="C79" s="5"/>
      <c r="D79" s="56">
        <v>38807</v>
      </c>
      <c r="E79" s="5">
        <v>1224.08</v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</row>
    <row r="80" spans="1:283" s="7" customFormat="1" ht="14.5" x14ac:dyDescent="0.35">
      <c r="A80" s="12"/>
      <c r="B80" s="5"/>
      <c r="C80" s="5"/>
      <c r="D80" s="56">
        <v>38835</v>
      </c>
      <c r="E80" s="5">
        <v>1238.71</v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</row>
    <row r="81" spans="1:283" s="7" customFormat="1" ht="14.5" x14ac:dyDescent="0.35">
      <c r="A81" s="12"/>
      <c r="B81" s="5"/>
      <c r="C81" s="5"/>
      <c r="D81" s="56">
        <v>38868</v>
      </c>
      <c r="E81" s="5">
        <v>1199.47</v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</row>
    <row r="82" spans="1:283" s="7" customFormat="1" ht="14.5" x14ac:dyDescent="0.35">
      <c r="A82" s="12"/>
      <c r="B82" s="5"/>
      <c r="C82" s="5"/>
      <c r="D82" s="56">
        <v>38898</v>
      </c>
      <c r="E82" s="5">
        <v>1199.29</v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</row>
    <row r="83" spans="1:283" s="7" customFormat="1" ht="14.5" x14ac:dyDescent="0.35">
      <c r="A83" s="12"/>
      <c r="B83" s="5"/>
      <c r="C83" s="5"/>
      <c r="D83" s="56">
        <v>38929</v>
      </c>
      <c r="E83" s="5">
        <v>1202.08</v>
      </c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</row>
    <row r="84" spans="1:283" s="7" customFormat="1" ht="14.5" x14ac:dyDescent="0.35">
      <c r="A84" s="12"/>
      <c r="B84" s="5"/>
      <c r="C84" s="5"/>
      <c r="D84" s="56">
        <v>38960</v>
      </c>
      <c r="E84" s="5">
        <v>1228.1600000000001</v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</row>
    <row r="85" spans="1:283" s="7" customFormat="1" ht="14.5" x14ac:dyDescent="0.35">
      <c r="A85" s="12"/>
      <c r="B85" s="5"/>
      <c r="C85" s="5"/>
      <c r="D85" s="56">
        <v>38989</v>
      </c>
      <c r="E85" s="5">
        <v>1257.93</v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</row>
    <row r="86" spans="1:283" s="7" customFormat="1" ht="14.5" x14ac:dyDescent="0.35">
      <c r="A86" s="12"/>
      <c r="B86" s="5"/>
      <c r="C86" s="5"/>
      <c r="D86" s="56">
        <v>39021</v>
      </c>
      <c r="E86" s="5">
        <v>1299.6300000000001</v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</row>
    <row r="87" spans="1:283" s="7" customFormat="1" ht="14.5" x14ac:dyDescent="0.35">
      <c r="A87" s="12"/>
      <c r="B87" s="5"/>
      <c r="C87" s="5"/>
      <c r="D87" s="56">
        <v>39051</v>
      </c>
      <c r="E87" s="5">
        <v>1322.19</v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</row>
    <row r="88" spans="1:283" s="7" customFormat="1" ht="14.5" x14ac:dyDescent="0.35">
      <c r="A88" s="12"/>
      <c r="B88" s="5"/>
      <c r="C88" s="5"/>
      <c r="D88" s="56">
        <v>39080</v>
      </c>
      <c r="E88" s="5">
        <v>1336.3</v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</row>
    <row r="89" spans="1:283" s="7" customFormat="1" ht="14.5" x14ac:dyDescent="0.35">
      <c r="A89" s="12"/>
      <c r="B89" s="5"/>
      <c r="C89" s="5"/>
      <c r="D89" s="56">
        <v>39113</v>
      </c>
      <c r="E89" s="5">
        <v>1359.13</v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</row>
    <row r="90" spans="1:283" s="7" customFormat="1" ht="14.5" x14ac:dyDescent="0.35">
      <c r="A90" s="12"/>
      <c r="B90" s="5"/>
      <c r="C90" s="5"/>
      <c r="D90" s="56">
        <v>39141</v>
      </c>
      <c r="E90" s="5">
        <v>1331.22</v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</row>
    <row r="91" spans="1:283" s="7" customFormat="1" ht="14.5" x14ac:dyDescent="0.35">
      <c r="A91" s="12"/>
      <c r="B91" s="5"/>
      <c r="C91" s="5"/>
      <c r="D91" s="56">
        <v>39171</v>
      </c>
      <c r="E91" s="5">
        <v>1343.99</v>
      </c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</row>
    <row r="92" spans="1:283" s="7" customFormat="1" ht="14.5" x14ac:dyDescent="0.35">
      <c r="A92" s="12"/>
      <c r="B92" s="5"/>
      <c r="C92" s="5"/>
      <c r="D92" s="56">
        <v>39202</v>
      </c>
      <c r="E92" s="5">
        <v>1400.3</v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</row>
    <row r="93" spans="1:283" s="7" customFormat="1" ht="14.5" x14ac:dyDescent="0.35">
      <c r="A93" s="12"/>
      <c r="B93" s="5"/>
      <c r="C93" s="5"/>
      <c r="D93" s="56">
        <v>39233</v>
      </c>
      <c r="E93" s="5">
        <v>1446.19</v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</row>
    <row r="94" spans="1:283" s="7" customFormat="1" ht="14.5" x14ac:dyDescent="0.35">
      <c r="A94" s="12"/>
      <c r="B94" s="5"/>
      <c r="C94" s="5"/>
      <c r="D94" s="56">
        <v>39262</v>
      </c>
      <c r="E94" s="5">
        <v>1420.27</v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</row>
    <row r="95" spans="1:283" s="7" customFormat="1" ht="14.5" x14ac:dyDescent="0.35">
      <c r="A95" s="12"/>
      <c r="B95" s="5"/>
      <c r="C95" s="5"/>
      <c r="D95" s="56">
        <v>39294</v>
      </c>
      <c r="E95" s="5">
        <v>1374.91</v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</row>
    <row r="96" spans="1:283" s="7" customFormat="1" ht="14.5" x14ac:dyDescent="0.35">
      <c r="A96" s="12"/>
      <c r="B96" s="5"/>
      <c r="C96" s="5"/>
      <c r="D96" s="56">
        <v>39325</v>
      </c>
      <c r="E96" s="5">
        <v>1392.88</v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</row>
    <row r="97" spans="1:283" s="7" customFormat="1" ht="14.5" x14ac:dyDescent="0.35">
      <c r="A97" s="12"/>
      <c r="B97" s="5"/>
      <c r="C97" s="5"/>
      <c r="D97" s="56">
        <v>39353</v>
      </c>
      <c r="E97" s="5">
        <v>1443.58</v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</row>
    <row r="98" spans="1:283" s="7" customFormat="1" x14ac:dyDescent="0.3">
      <c r="A98" s="4"/>
      <c r="B98" s="5"/>
      <c r="C98" s="5"/>
      <c r="D98" s="56">
        <v>39386</v>
      </c>
      <c r="E98" s="5">
        <v>1466.4</v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</row>
    <row r="99" spans="1:283" s="7" customFormat="1" x14ac:dyDescent="0.3">
      <c r="A99" s="4"/>
      <c r="B99" s="5"/>
      <c r="C99" s="5"/>
      <c r="D99" s="56">
        <v>39416</v>
      </c>
      <c r="E99" s="5">
        <v>1401.26</v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</row>
    <row r="100" spans="1:283" s="7" customFormat="1" x14ac:dyDescent="0.3">
      <c r="A100" s="4"/>
      <c r="B100" s="5"/>
      <c r="C100" s="5"/>
      <c r="D100" s="56">
        <v>39447</v>
      </c>
      <c r="E100" s="5">
        <v>1390.91</v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</row>
    <row r="101" spans="1:283" s="7" customFormat="1" x14ac:dyDescent="0.3">
      <c r="A101" s="4"/>
      <c r="B101" s="5"/>
      <c r="C101" s="5"/>
      <c r="D101" s="56">
        <v>39478</v>
      </c>
      <c r="E101" s="5">
        <v>1304.9100000000001</v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</row>
    <row r="102" spans="1:283" s="7" customFormat="1" x14ac:dyDescent="0.3">
      <c r="A102" s="4"/>
      <c r="B102" s="5"/>
      <c r="C102" s="5"/>
      <c r="D102" s="56">
        <v>39507</v>
      </c>
      <c r="E102" s="5">
        <v>1261.5</v>
      </c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</row>
    <row r="103" spans="1:283" s="7" customFormat="1" x14ac:dyDescent="0.3">
      <c r="A103" s="4"/>
      <c r="B103" s="5"/>
      <c r="C103" s="5"/>
      <c r="D103" s="56">
        <v>39538</v>
      </c>
      <c r="E103" s="5">
        <v>1254.78</v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</row>
    <row r="104" spans="1:283" s="7" customFormat="1" x14ac:dyDescent="0.3">
      <c r="A104" s="4"/>
      <c r="B104" s="5"/>
      <c r="C104" s="5"/>
      <c r="D104" s="56">
        <v>39568</v>
      </c>
      <c r="E104" s="5">
        <v>1315.44</v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</row>
    <row r="105" spans="1:283" s="7" customFormat="1" x14ac:dyDescent="0.3">
      <c r="A105" s="4"/>
      <c r="B105" s="5"/>
      <c r="C105" s="5"/>
      <c r="D105" s="56">
        <v>39598</v>
      </c>
      <c r="E105" s="5">
        <v>1333.65</v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</row>
    <row r="106" spans="1:283" s="7" customFormat="1" x14ac:dyDescent="0.3">
      <c r="A106" s="4"/>
      <c r="B106" s="5"/>
      <c r="C106" s="5"/>
      <c r="D106" s="56">
        <v>39629</v>
      </c>
      <c r="E106" s="5">
        <v>1222.79</v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</row>
    <row r="107" spans="1:283" s="7" customFormat="1" x14ac:dyDescent="0.3">
      <c r="A107" s="4"/>
      <c r="B107" s="5"/>
      <c r="C107" s="5"/>
      <c r="D107" s="56">
        <v>39660</v>
      </c>
      <c r="E107" s="5">
        <v>1207.1199999999999</v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</row>
    <row r="108" spans="1:283" s="7" customFormat="1" x14ac:dyDescent="0.3">
      <c r="A108" s="4"/>
      <c r="B108" s="5"/>
      <c r="C108" s="5"/>
      <c r="D108" s="56">
        <v>39689</v>
      </c>
      <c r="E108" s="5">
        <v>1221.06</v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</row>
    <row r="109" spans="1:283" s="7" customFormat="1" x14ac:dyDescent="0.3">
      <c r="A109" s="4"/>
      <c r="B109" s="5"/>
      <c r="C109" s="5"/>
      <c r="D109" s="56">
        <v>39721</v>
      </c>
      <c r="E109" s="5">
        <v>1107</v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</row>
    <row r="110" spans="1:283" s="7" customFormat="1" x14ac:dyDescent="0.3">
      <c r="A110" s="4"/>
      <c r="B110" s="5"/>
      <c r="C110" s="5"/>
      <c r="D110" s="56">
        <v>39752</v>
      </c>
      <c r="E110" s="5">
        <v>916.08</v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</row>
    <row r="111" spans="1:283" s="7" customFormat="1" x14ac:dyDescent="0.3">
      <c r="A111" s="4"/>
      <c r="B111" s="5"/>
      <c r="C111" s="5"/>
      <c r="D111" s="56">
        <v>39780</v>
      </c>
      <c r="E111" s="5">
        <v>845.76</v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</row>
    <row r="112" spans="1:283" s="7" customFormat="1" x14ac:dyDescent="0.3">
      <c r="A112" s="4"/>
      <c r="B112" s="5"/>
      <c r="C112" s="5"/>
      <c r="D112" s="56">
        <v>39813</v>
      </c>
      <c r="E112" s="5">
        <v>854.35</v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</row>
    <row r="113" spans="1:283" s="7" customFormat="1" x14ac:dyDescent="0.3">
      <c r="A113" s="4"/>
      <c r="B113" s="5"/>
      <c r="C113" s="5"/>
      <c r="D113" s="56">
        <v>39843</v>
      </c>
      <c r="E113" s="5">
        <v>783.63</v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</row>
    <row r="114" spans="1:283" s="7" customFormat="1" x14ac:dyDescent="0.3">
      <c r="A114" s="4"/>
      <c r="B114" s="5"/>
      <c r="C114" s="5"/>
      <c r="D114" s="56">
        <v>39871</v>
      </c>
      <c r="E114" s="5">
        <v>700.71</v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</row>
    <row r="115" spans="1:283" s="7" customFormat="1" x14ac:dyDescent="0.3">
      <c r="A115" s="4"/>
      <c r="B115" s="5"/>
      <c r="C115" s="5"/>
      <c r="D115" s="56">
        <v>39903</v>
      </c>
      <c r="E115" s="5">
        <v>759.24</v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</row>
    <row r="116" spans="1:283" s="7" customFormat="1" x14ac:dyDescent="0.3">
      <c r="A116" s="4"/>
      <c r="B116" s="5"/>
      <c r="C116" s="5"/>
      <c r="D116" s="56">
        <v>39933</v>
      </c>
      <c r="E116" s="5">
        <v>830.83</v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</row>
    <row r="117" spans="1:283" s="7" customFormat="1" x14ac:dyDescent="0.3">
      <c r="A117" s="4"/>
      <c r="B117" s="5"/>
      <c r="C117" s="5"/>
      <c r="D117" s="56">
        <v>39962</v>
      </c>
      <c r="E117" s="5">
        <v>874.3</v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</row>
    <row r="118" spans="1:283" s="7" customFormat="1" x14ac:dyDescent="0.3">
      <c r="A118" s="4"/>
      <c r="B118" s="5"/>
      <c r="C118" s="5"/>
      <c r="D118" s="56">
        <v>39994</v>
      </c>
      <c r="E118" s="5">
        <v>874.74</v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</row>
    <row r="119" spans="1:283" s="7" customFormat="1" x14ac:dyDescent="0.3">
      <c r="A119" s="4"/>
      <c r="B119" s="5"/>
      <c r="C119" s="5"/>
      <c r="D119" s="56">
        <v>40025</v>
      </c>
      <c r="E119" s="5">
        <v>939.39</v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</row>
    <row r="120" spans="1:283" s="7" customFormat="1" x14ac:dyDescent="0.3">
      <c r="A120" s="4"/>
      <c r="B120" s="5"/>
      <c r="C120" s="5"/>
      <c r="D120" s="56">
        <v>40056</v>
      </c>
      <c r="E120" s="5">
        <v>969.81</v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</row>
    <row r="121" spans="1:283" s="7" customFormat="1" x14ac:dyDescent="0.3">
      <c r="A121" s="4"/>
      <c r="B121" s="5"/>
      <c r="C121" s="5"/>
      <c r="D121" s="56">
        <v>40086</v>
      </c>
      <c r="E121" s="5">
        <v>1005.9</v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</row>
    <row r="122" spans="1:283" s="7" customFormat="1" x14ac:dyDescent="0.3">
      <c r="A122" s="4"/>
      <c r="B122" s="5"/>
      <c r="C122" s="5"/>
      <c r="D122" s="56">
        <v>40116</v>
      </c>
      <c r="E122" s="5">
        <v>985.24</v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</row>
    <row r="123" spans="1:283" s="7" customFormat="1" x14ac:dyDescent="0.3">
      <c r="A123" s="4"/>
      <c r="B123" s="5"/>
      <c r="C123" s="5"/>
      <c r="D123" s="56">
        <v>40147</v>
      </c>
      <c r="E123" s="5">
        <v>1041.3399999999999</v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</row>
    <row r="124" spans="1:283" s="7" customFormat="1" x14ac:dyDescent="0.3">
      <c r="A124" s="4"/>
      <c r="B124" s="5"/>
      <c r="C124" s="5"/>
      <c r="D124" s="56">
        <v>40178</v>
      </c>
      <c r="E124" s="5">
        <v>1061.1300000000001</v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</row>
    <row r="125" spans="1:283" s="7" customFormat="1" x14ac:dyDescent="0.3">
      <c r="A125" s="4"/>
      <c r="B125" s="5"/>
      <c r="C125" s="5"/>
      <c r="D125" s="56">
        <v>40207</v>
      </c>
      <c r="E125" s="5">
        <v>1022.88</v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</row>
    <row r="126" spans="1:283" x14ac:dyDescent="0.3">
      <c r="D126" s="56">
        <v>40235</v>
      </c>
      <c r="E126" s="5">
        <v>1052.03</v>
      </c>
    </row>
    <row r="127" spans="1:283" x14ac:dyDescent="0.3">
      <c r="D127" s="56">
        <v>40268</v>
      </c>
      <c r="E127" s="5">
        <v>1113.3599999999999</v>
      </c>
    </row>
    <row r="128" spans="1:283" x14ac:dyDescent="0.3">
      <c r="D128" s="56">
        <v>40298</v>
      </c>
      <c r="E128" s="5">
        <v>1130.03</v>
      </c>
    </row>
    <row r="129" spans="4:5" x14ac:dyDescent="0.3">
      <c r="D129" s="56">
        <v>40329</v>
      </c>
      <c r="E129" s="5">
        <v>1036.5999999999999</v>
      </c>
    </row>
    <row r="130" spans="4:5" x14ac:dyDescent="0.3">
      <c r="D130" s="56">
        <v>40359</v>
      </c>
      <c r="E130" s="5">
        <v>979.88</v>
      </c>
    </row>
    <row r="131" spans="4:5" x14ac:dyDescent="0.3">
      <c r="D131" s="56">
        <v>40389</v>
      </c>
      <c r="E131" s="5">
        <v>1047.1400000000001</v>
      </c>
    </row>
    <row r="132" spans="4:5" x14ac:dyDescent="0.3">
      <c r="D132" s="56">
        <v>40421</v>
      </c>
      <c r="E132" s="5">
        <v>998.28</v>
      </c>
    </row>
    <row r="133" spans="4:5" x14ac:dyDescent="0.3">
      <c r="D133" s="56">
        <v>40451</v>
      </c>
      <c r="E133" s="5">
        <v>1087.3399999999999</v>
      </c>
    </row>
    <row r="134" spans="4:5" x14ac:dyDescent="0.3">
      <c r="D134" s="56">
        <v>40480</v>
      </c>
      <c r="E134" s="5">
        <v>1128.8699999999999</v>
      </c>
    </row>
    <row r="135" spans="4:5" x14ac:dyDescent="0.3">
      <c r="D135" s="56">
        <v>40512</v>
      </c>
      <c r="E135" s="5">
        <v>1127.5</v>
      </c>
    </row>
    <row r="136" spans="4:5" x14ac:dyDescent="0.3">
      <c r="D136" s="56">
        <v>40543</v>
      </c>
      <c r="E136" s="5">
        <v>1201</v>
      </c>
    </row>
    <row r="137" spans="4:5" x14ac:dyDescent="0.3">
      <c r="D137" s="56">
        <v>40574</v>
      </c>
      <c r="E137" s="5">
        <v>1228.57</v>
      </c>
    </row>
    <row r="138" spans="4:5" x14ac:dyDescent="0.3">
      <c r="D138" s="56">
        <v>40602</v>
      </c>
      <c r="E138" s="5">
        <v>1267.03</v>
      </c>
    </row>
    <row r="139" spans="4:5" x14ac:dyDescent="0.3">
      <c r="D139" s="56">
        <v>40633</v>
      </c>
      <c r="E139" s="5">
        <v>1266.6300000000001</v>
      </c>
    </row>
    <row r="140" spans="4:5" x14ac:dyDescent="0.3">
      <c r="D140" s="56">
        <v>40662</v>
      </c>
      <c r="E140" s="5">
        <v>1303.97</v>
      </c>
    </row>
    <row r="141" spans="4:5" x14ac:dyDescent="0.3">
      <c r="D141" s="56">
        <v>40694</v>
      </c>
      <c r="E141" s="5">
        <v>1287.01</v>
      </c>
    </row>
    <row r="142" spans="4:5" x14ac:dyDescent="0.3">
      <c r="D142" s="56">
        <v>40724</v>
      </c>
      <c r="E142" s="5">
        <v>1263.1300000000001</v>
      </c>
    </row>
    <row r="143" spans="4:5" x14ac:dyDescent="0.3">
      <c r="D143" s="56">
        <v>40753</v>
      </c>
      <c r="E143" s="5">
        <v>1237.1300000000001</v>
      </c>
    </row>
    <row r="144" spans="4:5" x14ac:dyDescent="0.3">
      <c r="D144" s="56">
        <v>40786</v>
      </c>
      <c r="E144" s="5">
        <v>1165.71</v>
      </c>
    </row>
    <row r="145" spans="4:5" x14ac:dyDescent="0.3">
      <c r="D145" s="56">
        <v>40816</v>
      </c>
      <c r="E145" s="5">
        <v>1080.1600000000001</v>
      </c>
    </row>
    <row r="146" spans="4:5" x14ac:dyDescent="0.3">
      <c r="D146" s="56">
        <v>40847</v>
      </c>
      <c r="E146" s="5">
        <v>1197.1600000000001</v>
      </c>
    </row>
    <row r="147" spans="4:5" x14ac:dyDescent="0.3">
      <c r="D147" s="56">
        <v>40877</v>
      </c>
      <c r="E147" s="5">
        <v>1190.52</v>
      </c>
    </row>
    <row r="148" spans="4:5" x14ac:dyDescent="0.3">
      <c r="D148" s="56">
        <v>40907</v>
      </c>
      <c r="E148" s="5">
        <v>1199.6500000000001</v>
      </c>
    </row>
    <row r="149" spans="4:5" x14ac:dyDescent="0.3">
      <c r="D149" s="56">
        <v>40939</v>
      </c>
      <c r="E149" s="5">
        <v>1254.7</v>
      </c>
    </row>
    <row r="150" spans="4:5" x14ac:dyDescent="0.3">
      <c r="D150" s="56">
        <v>40968</v>
      </c>
      <c r="E150" s="5">
        <v>1306.74</v>
      </c>
    </row>
    <row r="151" spans="4:5" x14ac:dyDescent="0.3">
      <c r="D151" s="56">
        <v>40998</v>
      </c>
      <c r="E151" s="5">
        <v>1346.48</v>
      </c>
    </row>
    <row r="152" spans="4:5" x14ac:dyDescent="0.3">
      <c r="D152" s="56">
        <v>41029</v>
      </c>
      <c r="E152" s="5">
        <v>1336.75</v>
      </c>
    </row>
    <row r="153" spans="4:5" x14ac:dyDescent="0.3">
      <c r="D153" s="56">
        <v>41060</v>
      </c>
      <c r="E153" s="5">
        <v>1251.29</v>
      </c>
    </row>
    <row r="154" spans="4:5" x14ac:dyDescent="0.3">
      <c r="D154" s="56">
        <v>41089</v>
      </c>
      <c r="E154" s="5">
        <v>1298.6600000000001</v>
      </c>
    </row>
    <row r="155" spans="4:5" x14ac:dyDescent="0.3">
      <c r="D155" s="56">
        <v>41121</v>
      </c>
      <c r="E155" s="5">
        <v>1314.63</v>
      </c>
    </row>
    <row r="156" spans="4:5" x14ac:dyDescent="0.3">
      <c r="D156" s="56">
        <v>41152</v>
      </c>
      <c r="E156" s="5">
        <v>1341.92</v>
      </c>
    </row>
    <row r="157" spans="4:5" x14ac:dyDescent="0.3">
      <c r="D157" s="56">
        <v>41180</v>
      </c>
      <c r="E157" s="5">
        <v>1373.92</v>
      </c>
    </row>
    <row r="158" spans="4:5" x14ac:dyDescent="0.3">
      <c r="D158" s="56">
        <v>41213</v>
      </c>
      <c r="E158" s="5">
        <v>1347.36</v>
      </c>
    </row>
    <row r="159" spans="4:5" x14ac:dyDescent="0.3">
      <c r="D159" s="56">
        <v>41243</v>
      </c>
      <c r="E159" s="5">
        <v>1352.17</v>
      </c>
    </row>
    <row r="160" spans="4:5" x14ac:dyDescent="0.3">
      <c r="D160" s="56">
        <v>41274</v>
      </c>
      <c r="E160" s="5">
        <v>1361.88</v>
      </c>
    </row>
    <row r="161" spans="4:5" x14ac:dyDescent="0.3">
      <c r="D161" s="56">
        <v>41305</v>
      </c>
      <c r="E161" s="5">
        <v>1432.15</v>
      </c>
    </row>
    <row r="162" spans="4:5" x14ac:dyDescent="0.3">
      <c r="D162" s="56">
        <v>41333</v>
      </c>
      <c r="E162" s="5">
        <v>1447.09</v>
      </c>
    </row>
    <row r="163" spans="4:5" x14ac:dyDescent="0.3">
      <c r="D163" s="56">
        <v>41362</v>
      </c>
      <c r="E163" s="5">
        <v>1499.23</v>
      </c>
    </row>
    <row r="164" spans="4:5" x14ac:dyDescent="0.3">
      <c r="D164" s="56">
        <v>41394</v>
      </c>
      <c r="E164" s="5">
        <v>1527.16</v>
      </c>
    </row>
    <row r="165" spans="4:5" x14ac:dyDescent="0.3">
      <c r="D165" s="56">
        <v>41425</v>
      </c>
      <c r="E165" s="5">
        <v>1555.46</v>
      </c>
    </row>
    <row r="166" spans="4:5" x14ac:dyDescent="0.3">
      <c r="D166" s="56">
        <v>41453</v>
      </c>
      <c r="E166" s="5">
        <v>1532.12</v>
      </c>
    </row>
    <row r="167" spans="4:5" x14ac:dyDescent="0.3">
      <c r="D167" s="56">
        <v>41486</v>
      </c>
      <c r="E167" s="5">
        <v>1610.62</v>
      </c>
    </row>
    <row r="168" spans="4:5" x14ac:dyDescent="0.3">
      <c r="D168" s="56">
        <v>41516</v>
      </c>
      <c r="E168" s="5">
        <v>1562.55</v>
      </c>
    </row>
    <row r="169" spans="4:5" x14ac:dyDescent="0.3">
      <c r="D169" s="56">
        <v>41547</v>
      </c>
      <c r="E169" s="5">
        <v>1611.75</v>
      </c>
    </row>
    <row r="170" spans="4:5" x14ac:dyDescent="0.3">
      <c r="D170" s="56">
        <v>41578</v>
      </c>
      <c r="E170" s="5">
        <v>1681.19</v>
      </c>
    </row>
    <row r="171" spans="4:5" x14ac:dyDescent="0.3">
      <c r="D171" s="56">
        <v>41607</v>
      </c>
      <c r="E171" s="5">
        <v>1725.16</v>
      </c>
    </row>
    <row r="172" spans="4:5" x14ac:dyDescent="0.3">
      <c r="D172" s="56">
        <v>41639</v>
      </c>
      <c r="E172" s="5">
        <v>1768.42</v>
      </c>
    </row>
    <row r="173" spans="4:5" x14ac:dyDescent="0.3">
      <c r="D173" s="56">
        <v>41670</v>
      </c>
      <c r="E173" s="5">
        <v>1706.59</v>
      </c>
    </row>
    <row r="174" spans="4:5" x14ac:dyDescent="0.3">
      <c r="D174" s="56">
        <v>41698</v>
      </c>
      <c r="E174" s="5">
        <v>1782.46</v>
      </c>
    </row>
    <row r="175" spans="4:5" x14ac:dyDescent="0.3">
      <c r="D175" s="56">
        <v>41729</v>
      </c>
      <c r="E175" s="5">
        <v>1792.01</v>
      </c>
    </row>
    <row r="176" spans="4:5" x14ac:dyDescent="0.3">
      <c r="D176" s="56">
        <v>41759</v>
      </c>
      <c r="E176" s="5">
        <v>1800.72</v>
      </c>
    </row>
    <row r="177" spans="4:5" x14ac:dyDescent="0.3">
      <c r="D177" s="56">
        <v>41789</v>
      </c>
      <c r="E177" s="5">
        <v>1839.43</v>
      </c>
    </row>
    <row r="178" spans="4:5" x14ac:dyDescent="0.3">
      <c r="D178" s="56">
        <v>41820</v>
      </c>
      <c r="E178" s="5">
        <v>1875.86</v>
      </c>
    </row>
    <row r="179" spans="4:5" x14ac:dyDescent="0.3">
      <c r="D179" s="56">
        <v>41851</v>
      </c>
      <c r="E179" s="5">
        <v>1847.14</v>
      </c>
    </row>
    <row r="180" spans="4:5" x14ac:dyDescent="0.3">
      <c r="D180" s="56">
        <v>41880</v>
      </c>
      <c r="E180" s="5">
        <v>1917.08</v>
      </c>
    </row>
    <row r="181" spans="4:5" x14ac:dyDescent="0.3">
      <c r="D181" s="56">
        <v>41912</v>
      </c>
      <c r="E181" s="5">
        <v>1884.24</v>
      </c>
    </row>
    <row r="182" spans="4:5" x14ac:dyDescent="0.3">
      <c r="D182" s="56">
        <v>41943</v>
      </c>
      <c r="E182" s="5">
        <v>1927.44</v>
      </c>
    </row>
    <row r="183" spans="4:5" x14ac:dyDescent="0.3">
      <c r="D183" s="56">
        <v>41971</v>
      </c>
      <c r="E183" s="5">
        <v>1974.16</v>
      </c>
    </row>
    <row r="184" spans="4:5" x14ac:dyDescent="0.3">
      <c r="D184" s="56">
        <v>42004</v>
      </c>
      <c r="E184" s="5">
        <v>1964.73</v>
      </c>
    </row>
    <row r="185" spans="4:5" x14ac:dyDescent="0.3">
      <c r="D185" s="56">
        <v>42034</v>
      </c>
      <c r="E185" s="5">
        <v>1907.32</v>
      </c>
    </row>
    <row r="186" spans="4:5" x14ac:dyDescent="0.3">
      <c r="D186" s="56">
        <v>42062</v>
      </c>
      <c r="E186" s="5">
        <v>2013.91</v>
      </c>
    </row>
    <row r="187" spans="4:5" x14ac:dyDescent="0.3">
      <c r="D187" s="56">
        <v>42094</v>
      </c>
      <c r="E187" s="5">
        <v>1981.62</v>
      </c>
    </row>
    <row r="188" spans="4:5" x14ac:dyDescent="0.3">
      <c r="D188" s="56">
        <v>42124</v>
      </c>
      <c r="E188" s="5">
        <v>1997.63</v>
      </c>
    </row>
    <row r="189" spans="4:5" x14ac:dyDescent="0.3">
      <c r="D189" s="56">
        <v>42153</v>
      </c>
      <c r="E189" s="5">
        <v>2019.69</v>
      </c>
    </row>
    <row r="190" spans="4:5" x14ac:dyDescent="0.3">
      <c r="D190" s="56">
        <v>42185</v>
      </c>
      <c r="E190" s="5">
        <v>1978.1</v>
      </c>
    </row>
    <row r="191" spans="4:5" x14ac:dyDescent="0.3">
      <c r="D191" s="56">
        <v>42216</v>
      </c>
      <c r="E191" s="5">
        <v>2015.31</v>
      </c>
    </row>
    <row r="192" spans="4:5" x14ac:dyDescent="0.3">
      <c r="D192" s="56">
        <v>42247</v>
      </c>
      <c r="E192" s="5">
        <v>1888.74</v>
      </c>
    </row>
    <row r="193" spans="4:5" x14ac:dyDescent="0.3">
      <c r="D193" s="56">
        <v>42277</v>
      </c>
      <c r="E193" s="5">
        <v>1835.5</v>
      </c>
    </row>
    <row r="194" spans="4:5" x14ac:dyDescent="0.3">
      <c r="D194" s="56">
        <v>42307</v>
      </c>
      <c r="E194" s="5">
        <v>1984.46</v>
      </c>
    </row>
    <row r="195" spans="4:5" x14ac:dyDescent="0.3">
      <c r="D195" s="56">
        <v>42338</v>
      </c>
      <c r="E195" s="5">
        <v>1986.56</v>
      </c>
    </row>
    <row r="196" spans="4:5" x14ac:dyDescent="0.3">
      <c r="D196" s="56">
        <v>42369</v>
      </c>
      <c r="E196" s="5">
        <v>1949.7</v>
      </c>
    </row>
    <row r="197" spans="4:5" x14ac:dyDescent="0.3">
      <c r="D197" s="56">
        <v>42398</v>
      </c>
      <c r="E197" s="5">
        <v>1843.88</v>
      </c>
    </row>
    <row r="198" spans="4:5" x14ac:dyDescent="0.3">
      <c r="D198" s="56">
        <v>42429</v>
      </c>
      <c r="E198" s="5">
        <v>1834.97</v>
      </c>
    </row>
    <row r="199" spans="4:5" x14ac:dyDescent="0.3">
      <c r="D199" s="56">
        <v>42460</v>
      </c>
      <c r="E199" s="5">
        <v>1957.22</v>
      </c>
    </row>
    <row r="200" spans="4:5" x14ac:dyDescent="0.3">
      <c r="D200" s="56">
        <v>42489</v>
      </c>
      <c r="E200" s="5">
        <v>1964.63</v>
      </c>
    </row>
    <row r="201" spans="4:5" x14ac:dyDescent="0.3">
      <c r="D201" s="56">
        <v>42521</v>
      </c>
      <c r="E201" s="5">
        <v>1995.56</v>
      </c>
    </row>
    <row r="202" spans="4:5" x14ac:dyDescent="0.3">
      <c r="D202" s="56">
        <v>42551</v>
      </c>
      <c r="E202" s="5">
        <v>1997.33</v>
      </c>
    </row>
    <row r="203" spans="4:5" x14ac:dyDescent="0.3">
      <c r="D203" s="56">
        <v>42580</v>
      </c>
      <c r="E203" s="5">
        <v>2070.6799999999998</v>
      </c>
    </row>
    <row r="204" spans="4:5" x14ac:dyDescent="0.3">
      <c r="D204" s="56">
        <v>42613</v>
      </c>
      <c r="E204" s="5">
        <v>2068.5700000000002</v>
      </c>
    </row>
    <row r="205" spans="4:5" x14ac:dyDescent="0.3">
      <c r="D205" s="56">
        <v>42643</v>
      </c>
      <c r="E205" s="5">
        <v>2067.66</v>
      </c>
    </row>
    <row r="206" spans="4:5" x14ac:dyDescent="0.3">
      <c r="D206" s="56">
        <v>42674</v>
      </c>
      <c r="E206" s="5">
        <v>2026.1</v>
      </c>
    </row>
    <row r="207" spans="4:5" x14ac:dyDescent="0.3">
      <c r="D207" s="56">
        <v>42704</v>
      </c>
      <c r="E207" s="5">
        <v>2093.61</v>
      </c>
    </row>
    <row r="208" spans="4:5" x14ac:dyDescent="0.3">
      <c r="D208" s="56">
        <v>42734</v>
      </c>
      <c r="E208" s="5">
        <v>2129.36</v>
      </c>
    </row>
    <row r="209" spans="4:5" x14ac:dyDescent="0.3">
      <c r="D209" s="56">
        <v>42766</v>
      </c>
      <c r="E209" s="5">
        <v>2171.19</v>
      </c>
    </row>
    <row r="210" spans="4:5" x14ac:dyDescent="0.3">
      <c r="D210" s="56">
        <v>42794</v>
      </c>
      <c r="E210" s="5">
        <v>2251.29</v>
      </c>
    </row>
    <row r="211" spans="4:5" x14ac:dyDescent="0.3">
      <c r="D211" s="56">
        <v>42825</v>
      </c>
      <c r="E211" s="5">
        <v>2250.91</v>
      </c>
    </row>
    <row r="212" spans="4:5" x14ac:dyDescent="0.3">
      <c r="D212" s="56">
        <v>42853</v>
      </c>
      <c r="E212" s="5">
        <v>2272.62</v>
      </c>
    </row>
    <row r="213" spans="4:5" x14ac:dyDescent="0.3">
      <c r="D213" s="56">
        <v>42886</v>
      </c>
      <c r="E213" s="5">
        <v>2297.7600000000002</v>
      </c>
    </row>
    <row r="214" spans="4:5" x14ac:dyDescent="0.3">
      <c r="D214" s="56">
        <v>42916</v>
      </c>
      <c r="E214" s="5">
        <v>2308.8200000000002</v>
      </c>
    </row>
    <row r="215" spans="4:5" x14ac:dyDescent="0.3">
      <c r="D215" s="56">
        <v>42947</v>
      </c>
      <c r="E215" s="5">
        <v>2353.08</v>
      </c>
    </row>
    <row r="216" spans="4:5" x14ac:dyDescent="0.3">
      <c r="D216" s="56">
        <v>42978</v>
      </c>
      <c r="E216" s="5">
        <v>2355.08</v>
      </c>
    </row>
    <row r="217" spans="4:5" x14ac:dyDescent="0.3">
      <c r="D217" s="56">
        <v>43007</v>
      </c>
      <c r="E217" s="5">
        <v>2399.9299999999998</v>
      </c>
    </row>
    <row r="218" spans="4:5" x14ac:dyDescent="0.3">
      <c r="D218" s="56">
        <v>43039</v>
      </c>
      <c r="E218" s="5">
        <v>2452.15</v>
      </c>
    </row>
    <row r="219" spans="4:5" x14ac:dyDescent="0.3">
      <c r="D219" s="56">
        <v>43069</v>
      </c>
      <c r="E219" s="5">
        <v>2520.5500000000002</v>
      </c>
    </row>
    <row r="220" spans="4:5" x14ac:dyDescent="0.3">
      <c r="D220" s="56">
        <v>43098</v>
      </c>
      <c r="E220" s="5">
        <v>2544.58</v>
      </c>
    </row>
    <row r="221" spans="4:5" x14ac:dyDescent="0.3">
      <c r="D221" s="56">
        <v>43131</v>
      </c>
      <c r="E221" s="5">
        <v>2687.94</v>
      </c>
    </row>
    <row r="222" spans="4:5" x14ac:dyDescent="0.3">
      <c r="D222" s="56">
        <v>43159</v>
      </c>
      <c r="E222" s="5">
        <v>2583.87</v>
      </c>
    </row>
    <row r="223" spans="4:5" x14ac:dyDescent="0.3">
      <c r="D223" s="56">
        <v>43189</v>
      </c>
      <c r="E223" s="5">
        <v>2516.9299999999998</v>
      </c>
    </row>
    <row r="224" spans="4:5" x14ac:dyDescent="0.3">
      <c r="D224" s="56">
        <v>43220</v>
      </c>
      <c r="E224" s="5">
        <v>2524.2800000000002</v>
      </c>
    </row>
    <row r="225" spans="4:5" x14ac:dyDescent="0.3">
      <c r="D225" s="56">
        <v>43251</v>
      </c>
      <c r="E225" s="5">
        <v>2579.7600000000002</v>
      </c>
    </row>
    <row r="226" spans="4:5" x14ac:dyDescent="0.3">
      <c r="D226" s="56">
        <v>43280</v>
      </c>
      <c r="E226" s="5">
        <v>2593.87</v>
      </c>
    </row>
    <row r="227" spans="4:5" x14ac:dyDescent="0.3">
      <c r="D227" s="56">
        <v>43312</v>
      </c>
      <c r="E227" s="5">
        <v>2683.96</v>
      </c>
    </row>
    <row r="228" spans="4:5" x14ac:dyDescent="0.3">
      <c r="D228" s="56">
        <v>43343</v>
      </c>
      <c r="E228" s="5">
        <v>2766.77</v>
      </c>
    </row>
    <row r="229" spans="4:5" x14ac:dyDescent="0.3">
      <c r="D229" s="56">
        <v>43371</v>
      </c>
      <c r="E229" s="5">
        <v>2775.55</v>
      </c>
    </row>
    <row r="230" spans="4:5" x14ac:dyDescent="0.3">
      <c r="D230" s="56">
        <v>43404</v>
      </c>
      <c r="E230" s="5">
        <v>2579.96</v>
      </c>
    </row>
    <row r="231" spans="4:5" x14ac:dyDescent="0.3">
      <c r="D231" s="56">
        <v>43434</v>
      </c>
      <c r="E231" s="5">
        <v>2623.85</v>
      </c>
    </row>
    <row r="232" spans="4:5" x14ac:dyDescent="0.3">
      <c r="D232" s="56">
        <v>43465</v>
      </c>
      <c r="E232" s="5">
        <v>2383.5500000000002</v>
      </c>
    </row>
    <row r="233" spans="4:5" x14ac:dyDescent="0.3">
      <c r="D233" s="56">
        <v>43496</v>
      </c>
      <c r="E233" s="5">
        <v>2576.16</v>
      </c>
    </row>
    <row r="234" spans="4:5" x14ac:dyDescent="0.3">
      <c r="D234" s="56">
        <v>43524</v>
      </c>
      <c r="E234" s="5">
        <v>2656.46</v>
      </c>
    </row>
    <row r="235" spans="4:5" x14ac:dyDescent="0.3">
      <c r="D235" s="56">
        <v>43553</v>
      </c>
      <c r="E235" s="5">
        <v>2701.54</v>
      </c>
    </row>
    <row r="236" spans="4:5" x14ac:dyDescent="0.3">
      <c r="D236" s="56">
        <v>43585</v>
      </c>
      <c r="E236" s="5">
        <v>2806.7</v>
      </c>
    </row>
    <row r="237" spans="4:5" x14ac:dyDescent="0.3">
      <c r="D237" s="56">
        <v>43616</v>
      </c>
      <c r="E237" s="5">
        <v>2623.15</v>
      </c>
    </row>
    <row r="238" spans="4:5" x14ac:dyDescent="0.3">
      <c r="D238" s="56">
        <v>43644</v>
      </c>
      <c r="E238" s="5">
        <v>2803.32</v>
      </c>
    </row>
    <row r="239" spans="4:5" x14ac:dyDescent="0.3">
      <c r="D239" s="56">
        <v>43677</v>
      </c>
      <c r="E239" s="5">
        <v>2843.24</v>
      </c>
    </row>
    <row r="240" spans="4:5" x14ac:dyDescent="0.3">
      <c r="D240" s="56">
        <v>43707</v>
      </c>
      <c r="E240" s="5">
        <v>2787.6</v>
      </c>
    </row>
    <row r="241" spans="4:5" x14ac:dyDescent="0.3">
      <c r="D241" s="56">
        <v>43738</v>
      </c>
      <c r="E241" s="5">
        <v>2832.91</v>
      </c>
    </row>
    <row r="242" spans="4:5" x14ac:dyDescent="0.3">
      <c r="D242" s="56">
        <v>43769</v>
      </c>
      <c r="E242" s="5">
        <v>2891.19</v>
      </c>
    </row>
    <row r="243" spans="4:5" x14ac:dyDescent="0.3">
      <c r="D243" s="56">
        <v>43798</v>
      </c>
      <c r="E243" s="5">
        <v>2993.5</v>
      </c>
    </row>
    <row r="244" spans="4:5" x14ac:dyDescent="0.3">
      <c r="D244" s="56">
        <v>43830</v>
      </c>
      <c r="E244" s="5">
        <v>3076.49</v>
      </c>
    </row>
    <row r="245" spans="4:5" x14ac:dyDescent="0.3">
      <c r="D245" s="56">
        <v>43861</v>
      </c>
      <c r="E245" s="5">
        <v>3078.78</v>
      </c>
    </row>
    <row r="246" spans="4:5" x14ac:dyDescent="0.3">
      <c r="D246" s="56">
        <v>43889</v>
      </c>
      <c r="E246" s="5">
        <v>2822.38</v>
      </c>
    </row>
    <row r="247" spans="4:5" x14ac:dyDescent="0.3">
      <c r="D247" s="56">
        <v>43921</v>
      </c>
      <c r="E247" s="5">
        <v>2459.87</v>
      </c>
    </row>
    <row r="248" spans="4:5" x14ac:dyDescent="0.3">
      <c r="D248" s="56">
        <v>43951</v>
      </c>
      <c r="E248" s="5">
        <v>2780.19</v>
      </c>
    </row>
    <row r="249" spans="4:5" x14ac:dyDescent="0.3">
      <c r="D249" s="56">
        <v>43980</v>
      </c>
      <c r="E249" s="5">
        <v>2918.45</v>
      </c>
    </row>
    <row r="250" spans="4:5" x14ac:dyDescent="0.3">
      <c r="D250" s="56">
        <v>44012</v>
      </c>
      <c r="E250" s="5">
        <v>2980.73</v>
      </c>
    </row>
    <row r="251" spans="4:5" x14ac:dyDescent="0.3">
      <c r="D251" s="56">
        <v>44043</v>
      </c>
      <c r="E251" s="5">
        <v>3153.99</v>
      </c>
    </row>
  </sheetData>
  <pageMargins left="0.7" right="0.7" top="0.75" bottom="0.75" header="0.3" footer="0.3"/>
  <pageSetup paperSize="9" orientation="portrait" r:id="rId1"/>
  <headerFooter>
    <oddFooter>&amp;LINTERNAL</oddFooter>
    <evenFooter>&amp;LINTERNAL</evenFooter>
    <firstFooter>&amp;LINTERNAL</first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BBG_GENERAL_HIST_DATA_UPDATE">
                <anchor moveWithCells="1" sizeWithCells="1">
                  <from>
                    <xdr:col>0</xdr:col>
                    <xdr:colOff>38100</xdr:colOff>
                    <xdr:row>8</xdr:row>
                    <xdr:rowOff>38100</xdr:rowOff>
                  </from>
                  <to>
                    <xdr:col>1</xdr:col>
                    <xdr:colOff>793750</xdr:colOff>
                    <xdr:row>9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>
    <tabColor theme="1"/>
  </sheetPr>
  <dimension ref="A1:C101"/>
  <sheetViews>
    <sheetView zoomScale="80" zoomScaleNormal="80" workbookViewId="0">
      <selection activeCell="D36" sqref="D36"/>
    </sheetView>
  </sheetViews>
  <sheetFormatPr defaultColWidth="9.08984375" defaultRowHeight="14.5" x14ac:dyDescent="0.35"/>
  <cols>
    <col min="1" max="1" width="18.08984375" style="13" customWidth="1"/>
    <col min="2" max="2" width="19.54296875" style="13" customWidth="1"/>
    <col min="3" max="3" width="10.90625" style="11" customWidth="1"/>
    <col min="4" max="16384" width="9.08984375" style="11"/>
  </cols>
  <sheetData>
    <row r="1" spans="1:3" s="14" customFormat="1" x14ac:dyDescent="0.35">
      <c r="A1" s="15" t="s">
        <v>4</v>
      </c>
      <c r="B1" s="15" t="s">
        <v>93</v>
      </c>
      <c r="C1" s="14" t="s">
        <v>203</v>
      </c>
    </row>
    <row r="2" spans="1:3" s="12" customFormat="1" x14ac:dyDescent="0.35">
      <c r="A2" s="16"/>
      <c r="B2" s="16" t="s">
        <v>93</v>
      </c>
      <c r="C2" s="12" t="s">
        <v>8</v>
      </c>
    </row>
    <row r="3" spans="1:3" x14ac:dyDescent="0.35">
      <c r="A3" s="13" t="s">
        <v>1238</v>
      </c>
      <c r="B3" s="13" t="s">
        <v>1240</v>
      </c>
      <c r="C3" s="11">
        <v>3029.73</v>
      </c>
    </row>
    <row r="4" spans="1:3" x14ac:dyDescent="0.35">
      <c r="A4" s="13" t="s">
        <v>1239</v>
      </c>
      <c r="B4" s="13" t="s">
        <v>1241</v>
      </c>
      <c r="C4" s="11">
        <v>6156.97</v>
      </c>
    </row>
    <row r="5" spans="1:3" x14ac:dyDescent="0.35">
      <c r="A5" s="13" t="s">
        <v>1242</v>
      </c>
      <c r="B5" s="13" t="s">
        <v>1243</v>
      </c>
      <c r="C5" s="11">
        <v>3056.98</v>
      </c>
    </row>
    <row r="8" spans="1:3" x14ac:dyDescent="0.35">
      <c r="A8" s="17"/>
    </row>
    <row r="9" spans="1:3" x14ac:dyDescent="0.35">
      <c r="A9" s="17"/>
    </row>
    <row r="11" spans="1:3" x14ac:dyDescent="0.35">
      <c r="A11" s="17"/>
    </row>
    <row r="13" spans="1:3" x14ac:dyDescent="0.35">
      <c r="A13" s="17"/>
    </row>
    <row r="14" spans="1:3" x14ac:dyDescent="0.35">
      <c r="A14" s="17"/>
    </row>
    <row r="15" spans="1:3" x14ac:dyDescent="0.35">
      <c r="A15" s="17"/>
    </row>
    <row r="16" spans="1:3" x14ac:dyDescent="0.35">
      <c r="A16" s="17"/>
    </row>
    <row r="17" spans="1:1" x14ac:dyDescent="0.35">
      <c r="A17" s="17"/>
    </row>
    <row r="18" spans="1:1" x14ac:dyDescent="0.35">
      <c r="A18" s="17"/>
    </row>
    <row r="19" spans="1:1" x14ac:dyDescent="0.35">
      <c r="A19" s="17"/>
    </row>
    <row r="20" spans="1:1" x14ac:dyDescent="0.35">
      <c r="A20" s="17"/>
    </row>
    <row r="21" spans="1:1" x14ac:dyDescent="0.35">
      <c r="A21" s="17"/>
    </row>
    <row r="22" spans="1:1" x14ac:dyDescent="0.35">
      <c r="A22" s="17"/>
    </row>
    <row r="23" spans="1:1" x14ac:dyDescent="0.35">
      <c r="A23" s="17"/>
    </row>
    <row r="24" spans="1:1" x14ac:dyDescent="0.35">
      <c r="A24" s="17"/>
    </row>
    <row r="25" spans="1:1" x14ac:dyDescent="0.35">
      <c r="A25" s="17"/>
    </row>
    <row r="26" spans="1:1" x14ac:dyDescent="0.35">
      <c r="A26" s="17"/>
    </row>
    <row r="27" spans="1:1" x14ac:dyDescent="0.35">
      <c r="A27" s="17"/>
    </row>
    <row r="28" spans="1:1" x14ac:dyDescent="0.35">
      <c r="A28" s="17"/>
    </row>
    <row r="29" spans="1:1" x14ac:dyDescent="0.35">
      <c r="A29" s="17"/>
    </row>
    <row r="30" spans="1:1" x14ac:dyDescent="0.35">
      <c r="A30" s="17"/>
    </row>
    <row r="31" spans="1:1" x14ac:dyDescent="0.35">
      <c r="A31" s="17"/>
    </row>
    <row r="32" spans="1:1" x14ac:dyDescent="0.35">
      <c r="A32" s="17"/>
    </row>
    <row r="33" spans="1:1" x14ac:dyDescent="0.35">
      <c r="A33" s="17"/>
    </row>
    <row r="34" spans="1:1" x14ac:dyDescent="0.35">
      <c r="A34" s="17"/>
    </row>
    <row r="35" spans="1:1" x14ac:dyDescent="0.35">
      <c r="A35" s="17"/>
    </row>
    <row r="36" spans="1:1" x14ac:dyDescent="0.35">
      <c r="A36" s="17"/>
    </row>
    <row r="37" spans="1:1" x14ac:dyDescent="0.35">
      <c r="A37" s="17"/>
    </row>
    <row r="38" spans="1:1" x14ac:dyDescent="0.35">
      <c r="A38" s="17"/>
    </row>
    <row r="39" spans="1:1" x14ac:dyDescent="0.35">
      <c r="A39" s="17"/>
    </row>
    <row r="40" spans="1:1" x14ac:dyDescent="0.35">
      <c r="A40" s="17"/>
    </row>
    <row r="41" spans="1:1" x14ac:dyDescent="0.35">
      <c r="A41" s="17"/>
    </row>
    <row r="42" spans="1:1" x14ac:dyDescent="0.35">
      <c r="A42" s="17"/>
    </row>
    <row r="43" spans="1:1" x14ac:dyDescent="0.35">
      <c r="A43" s="17"/>
    </row>
    <row r="44" spans="1:1" x14ac:dyDescent="0.35">
      <c r="A44" s="17"/>
    </row>
    <row r="45" spans="1:1" x14ac:dyDescent="0.35">
      <c r="A45" s="17"/>
    </row>
    <row r="46" spans="1:1" x14ac:dyDescent="0.35">
      <c r="A46" s="17"/>
    </row>
    <row r="47" spans="1:1" x14ac:dyDescent="0.35">
      <c r="A47" s="17"/>
    </row>
    <row r="48" spans="1:1" x14ac:dyDescent="0.35">
      <c r="A48" s="17"/>
    </row>
    <row r="49" spans="1:1" x14ac:dyDescent="0.35">
      <c r="A49" s="17"/>
    </row>
    <row r="50" spans="1:1" x14ac:dyDescent="0.35">
      <c r="A50" s="17"/>
    </row>
    <row r="51" spans="1:1" x14ac:dyDescent="0.35">
      <c r="A51" s="17"/>
    </row>
    <row r="52" spans="1:1" x14ac:dyDescent="0.35">
      <c r="A52" s="17"/>
    </row>
    <row r="53" spans="1:1" x14ac:dyDescent="0.35">
      <c r="A53" s="17"/>
    </row>
    <row r="54" spans="1:1" x14ac:dyDescent="0.35">
      <c r="A54" s="17"/>
    </row>
    <row r="55" spans="1:1" x14ac:dyDescent="0.35">
      <c r="A55" s="17"/>
    </row>
    <row r="56" spans="1:1" x14ac:dyDescent="0.35">
      <c r="A56" s="17"/>
    </row>
    <row r="57" spans="1:1" x14ac:dyDescent="0.35">
      <c r="A57" s="17"/>
    </row>
    <row r="58" spans="1:1" x14ac:dyDescent="0.35">
      <c r="A58" s="37"/>
    </row>
    <row r="59" spans="1:1" x14ac:dyDescent="0.35">
      <c r="A59" s="37"/>
    </row>
    <row r="60" spans="1:1" x14ac:dyDescent="0.35">
      <c r="A60" s="37"/>
    </row>
    <row r="61" spans="1:1" x14ac:dyDescent="0.35">
      <c r="A61" s="37"/>
    </row>
    <row r="62" spans="1:1" x14ac:dyDescent="0.35">
      <c r="A62" s="37"/>
    </row>
    <row r="63" spans="1:1" x14ac:dyDescent="0.35">
      <c r="A63" s="37"/>
    </row>
    <row r="64" spans="1:1" x14ac:dyDescent="0.35">
      <c r="A64" s="37"/>
    </row>
    <row r="65" spans="1:1" x14ac:dyDescent="0.35">
      <c r="A65" s="37"/>
    </row>
    <row r="66" spans="1:1" x14ac:dyDescent="0.35">
      <c r="A66" s="37"/>
    </row>
    <row r="67" spans="1:1" x14ac:dyDescent="0.35">
      <c r="A67" s="37"/>
    </row>
    <row r="68" spans="1:1" x14ac:dyDescent="0.35">
      <c r="A68" s="37"/>
    </row>
    <row r="69" spans="1:1" x14ac:dyDescent="0.35">
      <c r="A69" s="37"/>
    </row>
    <row r="70" spans="1:1" x14ac:dyDescent="0.35">
      <c r="A70" s="37"/>
    </row>
    <row r="71" spans="1:1" x14ac:dyDescent="0.35">
      <c r="A71" s="37"/>
    </row>
    <row r="72" spans="1:1" x14ac:dyDescent="0.35">
      <c r="A72" s="37"/>
    </row>
    <row r="73" spans="1:1" x14ac:dyDescent="0.35">
      <c r="A73" s="37"/>
    </row>
    <row r="74" spans="1:1" x14ac:dyDescent="0.35">
      <c r="A74" s="37"/>
    </row>
    <row r="75" spans="1:1" x14ac:dyDescent="0.35">
      <c r="A75" s="37"/>
    </row>
    <row r="76" spans="1:1" x14ac:dyDescent="0.35">
      <c r="A76" s="37"/>
    </row>
    <row r="77" spans="1:1" x14ac:dyDescent="0.35">
      <c r="A77" s="37"/>
    </row>
    <row r="78" spans="1:1" x14ac:dyDescent="0.35">
      <c r="A78" s="37"/>
    </row>
    <row r="79" spans="1:1" x14ac:dyDescent="0.35">
      <c r="A79" s="37"/>
    </row>
    <row r="80" spans="1:1" x14ac:dyDescent="0.35">
      <c r="A80" s="37"/>
    </row>
    <row r="81" spans="1:1" x14ac:dyDescent="0.35">
      <c r="A81" s="37"/>
    </row>
    <row r="82" spans="1:1" x14ac:dyDescent="0.35">
      <c r="A82" s="37"/>
    </row>
    <row r="83" spans="1:1" x14ac:dyDescent="0.35">
      <c r="A83" s="37"/>
    </row>
    <row r="84" spans="1:1" x14ac:dyDescent="0.35">
      <c r="A84" s="37"/>
    </row>
    <row r="85" spans="1:1" x14ac:dyDescent="0.35">
      <c r="A85" s="37"/>
    </row>
    <row r="86" spans="1:1" x14ac:dyDescent="0.35">
      <c r="A86" s="37"/>
    </row>
    <row r="87" spans="1:1" x14ac:dyDescent="0.35">
      <c r="A87" s="37"/>
    </row>
    <row r="88" spans="1:1" x14ac:dyDescent="0.35">
      <c r="A88" s="37"/>
    </row>
    <row r="89" spans="1:1" x14ac:dyDescent="0.35">
      <c r="A89" s="37"/>
    </row>
    <row r="90" spans="1:1" x14ac:dyDescent="0.35">
      <c r="A90" s="37"/>
    </row>
    <row r="91" spans="1:1" x14ac:dyDescent="0.35">
      <c r="A91" s="37"/>
    </row>
    <row r="92" spans="1:1" x14ac:dyDescent="0.35">
      <c r="A92" s="37"/>
    </row>
    <row r="93" spans="1:1" x14ac:dyDescent="0.35">
      <c r="A93" s="37"/>
    </row>
    <row r="94" spans="1:1" x14ac:dyDescent="0.35">
      <c r="A94" s="37"/>
    </row>
    <row r="95" spans="1:1" x14ac:dyDescent="0.35">
      <c r="A95" s="37"/>
    </row>
    <row r="96" spans="1:1" x14ac:dyDescent="0.35">
      <c r="A96" s="37"/>
    </row>
    <row r="97" spans="1:1" x14ac:dyDescent="0.35">
      <c r="A97" s="37"/>
    </row>
    <row r="98" spans="1:1" x14ac:dyDescent="0.35">
      <c r="A98" s="37"/>
    </row>
    <row r="99" spans="1:1" x14ac:dyDescent="0.35">
      <c r="A99" s="37"/>
    </row>
    <row r="100" spans="1:1" x14ac:dyDescent="0.35">
      <c r="A100" s="37"/>
    </row>
    <row r="101" spans="1:1" x14ac:dyDescent="0.35">
      <c r="A101" s="37"/>
    </row>
  </sheetData>
  <pageMargins left="0.7" right="0.7" top="0.75" bottom="0.75" header="0.3" footer="0.3"/>
  <pageSetup paperSize="9" orientation="portrait" r:id="rId1"/>
  <headerFooter>
    <oddFooter>&amp;LINTERNAL</oddFooter>
    <evenFooter>&amp;LINTERNAL</evenFooter>
    <firstFooter>&amp;LINTERNAL</first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print="0" autoFill="0" autoPict="0" macro="[0]!BBG_EQ_INDEX_DATA_UPDATE">
                <anchor moveWithCells="1" sizeWithCells="1">
                  <from>
                    <xdr:col>0</xdr:col>
                    <xdr:colOff>0</xdr:colOff>
                    <xdr:row>1</xdr:row>
                    <xdr:rowOff>6350</xdr:rowOff>
                  </from>
                  <to>
                    <xdr:col>0</xdr:col>
                    <xdr:colOff>1206500</xdr:colOff>
                    <xdr:row>1</xdr:row>
                    <xdr:rowOff>755650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9">
    <tabColor theme="1"/>
  </sheetPr>
  <dimension ref="A1:HB45"/>
  <sheetViews>
    <sheetView zoomScale="70" zoomScaleNormal="70" workbookViewId="0">
      <pane xSplit="2" ySplit="3" topLeftCell="C4" activePane="bottomRight" state="frozen"/>
      <selection activeCell="D36" sqref="D36"/>
      <selection pane="topRight" activeCell="D36" sqref="D36"/>
      <selection pane="bottomLeft" activeCell="D36" sqref="D36"/>
      <selection pane="bottomRight" activeCell="D36" sqref="D36"/>
    </sheetView>
  </sheetViews>
  <sheetFormatPr defaultColWidth="9.08984375" defaultRowHeight="14.5" x14ac:dyDescent="0.35"/>
  <cols>
    <col min="1" max="1" width="18.6328125" style="44" customWidth="1"/>
    <col min="2" max="2" width="10.6328125" style="44" customWidth="1"/>
    <col min="3" max="3" width="0.6328125" style="44" customWidth="1"/>
    <col min="4" max="5" width="26" style="50" customWidth="1"/>
    <col min="6" max="6" width="30.90625" style="44" customWidth="1"/>
    <col min="7" max="7" width="1" style="44" customWidth="1"/>
    <col min="8" max="8" width="17.36328125" style="50" customWidth="1"/>
    <col min="9" max="9" width="10.6328125" style="44" customWidth="1"/>
    <col min="10" max="10" width="1" style="44" customWidth="1"/>
    <col min="11" max="11" width="17.36328125" style="50" customWidth="1"/>
    <col min="12" max="12" width="10.6328125" style="44" customWidth="1"/>
    <col min="13" max="13" width="1" style="44" customWidth="1"/>
    <col min="14" max="14" width="17.36328125" style="50" customWidth="1"/>
    <col min="15" max="15" width="10.6328125" style="44" customWidth="1"/>
    <col min="16" max="16" width="1" style="44" customWidth="1"/>
    <col min="17" max="17" width="17.36328125" style="50" customWidth="1"/>
    <col min="18" max="18" width="32.08984375" style="50" customWidth="1"/>
    <col min="19" max="19" width="10.6328125" style="44" customWidth="1"/>
    <col min="20" max="20" width="1" style="44" customWidth="1"/>
    <col min="21" max="21" width="11.54296875" style="44" customWidth="1"/>
    <col min="22" max="22" width="14.54296875" style="50" customWidth="1"/>
    <col min="23" max="23" width="10.08984375" style="46" customWidth="1"/>
    <col min="24" max="24" width="1" style="44" customWidth="1"/>
    <col min="25" max="25" width="16.90625" style="44" customWidth="1"/>
    <col min="26" max="26" width="10.08984375" style="46" customWidth="1"/>
    <col min="27" max="27" width="0.90625" style="46" customWidth="1"/>
    <col min="28" max="28" width="12.453125" style="46" customWidth="1"/>
    <col min="29" max="29" width="21" style="48" customWidth="1"/>
    <col min="30" max="30" width="21.453125" style="48" customWidth="1"/>
    <col min="31" max="31" width="10.90625" style="46" customWidth="1"/>
    <col min="32" max="32" width="0.90625" style="46" customWidth="1"/>
    <col min="33" max="33" width="18.54296875" style="46" customWidth="1"/>
    <col min="34" max="38" width="10.08984375" style="46" customWidth="1"/>
    <col min="39" max="39" width="0.90625" style="46" customWidth="1"/>
    <col min="40" max="40" width="10.08984375" style="46" customWidth="1"/>
    <col min="41" max="41" width="21" style="48" customWidth="1"/>
    <col min="42" max="42" width="10.08984375" style="46" customWidth="1"/>
    <col min="43" max="43" width="0.90625" style="46" customWidth="1"/>
    <col min="44" max="44" width="21" style="48" customWidth="1"/>
    <col min="45" max="45" width="10.08984375" style="46" customWidth="1"/>
    <col min="46" max="46" width="0.90625" style="46" customWidth="1"/>
    <col min="47" max="47" width="21" style="48" customWidth="1"/>
    <col min="48" max="48" width="10.08984375" style="46" customWidth="1"/>
    <col min="49" max="49" width="0.90625" style="46" customWidth="1"/>
    <col min="50" max="50" width="21" style="48" customWidth="1"/>
    <col min="51" max="51" width="10.08984375" style="46" customWidth="1"/>
    <col min="52" max="52" width="0.90625" style="46" customWidth="1"/>
    <col min="53" max="53" width="21" style="48" customWidth="1"/>
    <col min="54" max="54" width="10.08984375" style="46" customWidth="1"/>
    <col min="55" max="55" width="0.90625" style="46" customWidth="1"/>
    <col min="56" max="56" width="18.08984375" style="46" customWidth="1"/>
    <col min="57" max="57" width="35" style="48" customWidth="1"/>
    <col min="58" max="58" width="10.08984375" style="46" customWidth="1"/>
    <col min="59" max="59" width="0.6328125" style="46" customWidth="1"/>
    <col min="60" max="60" width="18.6328125" style="46" customWidth="1"/>
    <col min="61" max="65" width="10.08984375" style="46" customWidth="1"/>
    <col min="66" max="66" width="0.90625" style="46" customWidth="1"/>
    <col min="67" max="67" width="10.08984375" style="46" customWidth="1"/>
    <col min="68" max="68" width="21" style="48" customWidth="1"/>
    <col min="69" max="69" width="10.08984375" style="46" customWidth="1"/>
    <col min="70" max="70" width="0.90625" style="46" customWidth="1"/>
    <col min="71" max="71" width="21" style="48" customWidth="1"/>
    <col min="72" max="72" width="10.08984375" style="46" customWidth="1"/>
    <col min="73" max="73" width="0.90625" style="46" customWidth="1"/>
    <col min="74" max="74" width="21" style="48" customWidth="1"/>
    <col min="75" max="75" width="10.08984375" style="46" customWidth="1"/>
    <col min="76" max="76" width="0.90625" style="46" customWidth="1"/>
    <col min="77" max="77" width="21" style="48" customWidth="1"/>
    <col min="78" max="78" width="10.08984375" style="46" customWidth="1"/>
    <col min="79" max="79" width="0.90625" style="46" customWidth="1"/>
    <col min="80" max="80" width="21" style="48" customWidth="1"/>
    <col min="81" max="81" width="10.08984375" style="46" customWidth="1"/>
    <col min="82" max="82" width="0.90625" style="46" customWidth="1"/>
    <col min="83" max="83" width="19.36328125" style="48" customWidth="1"/>
    <col min="84" max="84" width="10.08984375" style="46" customWidth="1"/>
    <col min="85" max="85" width="0.90625" style="46" customWidth="1"/>
    <col min="86" max="86" width="17.90625" style="48" customWidth="1"/>
    <col min="87" max="87" width="10.08984375" style="46" customWidth="1"/>
    <col min="88" max="88" width="0.90625" style="46" customWidth="1"/>
    <col min="89" max="89" width="17.90625" style="48" customWidth="1"/>
    <col min="90" max="90" width="10.08984375" style="46" customWidth="1"/>
    <col min="91" max="91" width="0.90625" style="46" customWidth="1"/>
    <col min="92" max="92" width="18.54296875" style="46" customWidth="1"/>
    <col min="93" max="97" width="10.90625" style="46" customWidth="1"/>
    <col min="98" max="98" width="0.90625" style="46" customWidth="1"/>
    <col min="99" max="99" width="10.08984375" style="46" customWidth="1"/>
    <col min="100" max="100" width="21" style="48" customWidth="1"/>
    <col min="101" max="101" width="10.08984375" style="46" customWidth="1"/>
    <col min="102" max="102" width="0.90625" style="46" customWidth="1"/>
    <col min="103" max="103" width="20.453125" style="48" customWidth="1"/>
    <col min="104" max="104" width="10.08984375" style="46" customWidth="1"/>
    <col min="105" max="105" width="0.90625" style="46" customWidth="1"/>
    <col min="106" max="106" width="21" style="48" customWidth="1"/>
    <col min="107" max="107" width="10.08984375" style="46" customWidth="1"/>
    <col min="108" max="108" width="0.90625" style="46" customWidth="1"/>
    <col min="109" max="109" width="22.08984375" style="48" customWidth="1"/>
    <col min="110" max="110" width="10.08984375" style="46" customWidth="1"/>
    <col min="111" max="111" width="0.90625" style="46" customWidth="1"/>
    <col min="112" max="112" width="21.90625" style="48" customWidth="1"/>
    <col min="113" max="113" width="10.08984375" style="46" customWidth="1"/>
    <col min="114" max="114" width="0.90625" style="46" customWidth="1"/>
    <col min="115" max="115" width="19.36328125" style="48" customWidth="1"/>
    <col min="116" max="116" width="10.08984375" style="46" customWidth="1"/>
    <col min="117" max="117" width="0.90625" style="46" customWidth="1"/>
    <col min="118" max="118" width="19.6328125" style="48" customWidth="1"/>
    <col min="119" max="119" width="10.08984375" style="46" customWidth="1"/>
    <col min="120" max="120" width="0.90625" style="46" customWidth="1"/>
    <col min="121" max="121" width="19.08984375" style="48" customWidth="1"/>
    <col min="122" max="122" width="10.08984375" style="46" customWidth="1"/>
    <col min="123" max="123" width="0.90625" style="46" customWidth="1"/>
    <col min="124" max="124" width="20.08984375" style="46" customWidth="1"/>
    <col min="125" max="129" width="10.08984375" style="46" customWidth="1"/>
    <col min="130" max="130" width="0.90625" style="46" customWidth="1"/>
    <col min="131" max="131" width="18.08984375" style="46" customWidth="1"/>
    <col min="132" max="136" width="10.08984375" style="46" customWidth="1"/>
    <col min="137" max="137" width="0.90625" style="46" customWidth="1"/>
    <col min="138" max="138" width="19.36328125" style="48" customWidth="1"/>
    <col min="139" max="143" width="10.08984375" style="46" customWidth="1"/>
    <col min="144" max="144" width="0.6328125" style="46" customWidth="1"/>
    <col min="145" max="145" width="19.36328125" style="48" customWidth="1"/>
    <col min="146" max="146" width="34" style="48" customWidth="1"/>
    <col min="147" max="151" width="10.08984375" style="46" customWidth="1"/>
    <col min="152" max="152" width="0.90625" style="46" customWidth="1"/>
    <col min="153" max="153" width="19.36328125" style="48" customWidth="1"/>
    <col min="154" max="154" width="34.6328125" style="48" customWidth="1"/>
    <col min="155" max="155" width="10.08984375" style="46" customWidth="1"/>
    <col min="156" max="156" width="0.90625" style="46" customWidth="1"/>
    <col min="157" max="157" width="17.6328125" style="46" customWidth="1"/>
    <col min="158" max="163" width="10.08984375" style="46" customWidth="1"/>
    <col min="164" max="164" width="19.54296875" style="46" customWidth="1"/>
    <col min="165" max="165" width="10.08984375" style="46" customWidth="1"/>
    <col min="166" max="166" width="0.90625" style="46" customWidth="1"/>
    <col min="167" max="167" width="19.453125" style="46" customWidth="1"/>
    <col min="168" max="168" width="33.453125" style="46" customWidth="1"/>
    <col min="169" max="169" width="11.6328125" style="46" customWidth="1"/>
    <col min="170" max="170" width="0.90625" style="46" customWidth="1"/>
    <col min="171" max="171" width="13.6328125" style="46" customWidth="1"/>
    <col min="172" max="172" width="15.36328125" style="46" customWidth="1"/>
    <col min="173" max="177" width="10.08984375" style="46" customWidth="1"/>
    <col min="178" max="178" width="0.90625" style="46" customWidth="1"/>
    <col min="179" max="179" width="19.453125" style="46" customWidth="1"/>
    <col min="180" max="180" width="31.08984375" style="46" customWidth="1"/>
    <col min="181" max="181" width="10.08984375" style="46" customWidth="1"/>
    <col min="182" max="182" width="0.90625" style="46" customWidth="1"/>
    <col min="183" max="183" width="17.08984375" style="46" customWidth="1"/>
    <col min="184" max="184" width="31.08984375" style="46" customWidth="1"/>
    <col min="185" max="185" width="10.08984375" style="46" customWidth="1"/>
    <col min="186" max="186" width="0.6328125" style="44" customWidth="1"/>
    <col min="187" max="187" width="21.36328125" style="43" customWidth="1"/>
    <col min="188" max="190" width="9.08984375" style="44"/>
    <col min="191" max="191" width="0.6328125" style="44" customWidth="1"/>
    <col min="192" max="192" width="19.36328125" style="44" customWidth="1"/>
    <col min="193" max="195" width="9.08984375" style="44"/>
    <col min="196" max="196" width="0.6328125" style="44" customWidth="1"/>
    <col min="197" max="198" width="17.08984375" style="44" customWidth="1"/>
    <col min="199" max="16384" width="9.08984375" style="44"/>
  </cols>
  <sheetData>
    <row r="1" spans="1:210" s="14" customFormat="1" ht="63" customHeight="1" x14ac:dyDescent="0.35">
      <c r="B1" s="14" t="s">
        <v>656</v>
      </c>
      <c r="D1" s="15" t="s">
        <v>736</v>
      </c>
      <c r="E1" s="15"/>
      <c r="F1" s="14" t="s">
        <v>812</v>
      </c>
      <c r="H1" s="15" t="s">
        <v>736</v>
      </c>
      <c r="I1" s="14" t="s">
        <v>812</v>
      </c>
      <c r="K1" s="15" t="s">
        <v>772</v>
      </c>
      <c r="L1" s="14" t="s">
        <v>814</v>
      </c>
      <c r="N1" s="15" t="s">
        <v>811</v>
      </c>
      <c r="O1" s="14" t="s">
        <v>813</v>
      </c>
      <c r="Q1" s="15" t="s">
        <v>1093</v>
      </c>
      <c r="R1" s="15"/>
      <c r="S1" s="14" t="s">
        <v>1119</v>
      </c>
      <c r="U1" s="14" t="s">
        <v>151</v>
      </c>
      <c r="V1" s="15" t="s">
        <v>654</v>
      </c>
      <c r="W1" s="28" t="s">
        <v>655</v>
      </c>
      <c r="Y1" s="14" t="s">
        <v>657</v>
      </c>
      <c r="Z1" s="28" t="s">
        <v>658</v>
      </c>
      <c r="AA1" s="28"/>
      <c r="AB1" s="28" t="s">
        <v>696</v>
      </c>
      <c r="AC1" s="36" t="s">
        <v>660</v>
      </c>
      <c r="AD1" s="36" t="s">
        <v>694</v>
      </c>
      <c r="AE1" s="28" t="s">
        <v>693</v>
      </c>
      <c r="AF1" s="28"/>
      <c r="AG1" s="28" t="s">
        <v>698</v>
      </c>
      <c r="AH1" s="28" t="s">
        <v>699</v>
      </c>
      <c r="AI1" s="28" t="s">
        <v>726</v>
      </c>
      <c r="AJ1" s="28" t="s">
        <v>727</v>
      </c>
      <c r="AK1" s="28" t="s">
        <v>728</v>
      </c>
      <c r="AL1" s="28" t="s">
        <v>729</v>
      </c>
      <c r="AM1" s="28"/>
      <c r="AN1" s="28" t="s">
        <v>696</v>
      </c>
      <c r="AO1" s="36" t="s">
        <v>660</v>
      </c>
      <c r="AP1" s="28" t="str">
        <f ca="1">"CB_FCST_" &amp; AO2</f>
        <v>CB_FCST_Q321</v>
      </c>
      <c r="AQ1" s="28"/>
      <c r="AR1" s="36" t="s">
        <v>660</v>
      </c>
      <c r="AS1" s="28" t="str">
        <f ca="1">"CB_FCST_" &amp; AR2</f>
        <v>CB_FCST_Q421</v>
      </c>
      <c r="AT1" s="28"/>
      <c r="AU1" s="36" t="s">
        <v>660</v>
      </c>
      <c r="AV1" s="28" t="str">
        <f ca="1">"CB_FCST_" &amp; AU2</f>
        <v>CB_FCST_Q122</v>
      </c>
      <c r="AW1" s="28"/>
      <c r="AX1" s="36" t="s">
        <v>660</v>
      </c>
      <c r="AY1" s="28" t="str">
        <f ca="1">"CB_FCST_" &amp; AX2</f>
        <v>CB_FCST_Q222</v>
      </c>
      <c r="AZ1" s="28"/>
      <c r="BA1" s="36" t="s">
        <v>660</v>
      </c>
      <c r="BB1" s="28" t="str">
        <f ca="1">"CB_FCST_" &amp; BA2</f>
        <v>CB_FCST_Q322</v>
      </c>
      <c r="BC1" s="28"/>
      <c r="BD1" s="28" t="s">
        <v>723</v>
      </c>
      <c r="BE1" s="36" t="s">
        <v>724</v>
      </c>
      <c r="BF1" s="28" t="s">
        <v>725</v>
      </c>
      <c r="BG1" s="28"/>
      <c r="BH1" s="28" t="s">
        <v>730</v>
      </c>
      <c r="BI1" s="28" t="s">
        <v>731</v>
      </c>
      <c r="BJ1" s="28" t="s">
        <v>732</v>
      </c>
      <c r="BK1" s="28" t="s">
        <v>733</v>
      </c>
      <c r="BL1" s="28" t="s">
        <v>734</v>
      </c>
      <c r="BM1" s="28" t="s">
        <v>735</v>
      </c>
      <c r="BN1" s="28"/>
      <c r="BO1" s="28" t="s">
        <v>696</v>
      </c>
      <c r="BP1" s="36" t="s">
        <v>660</v>
      </c>
      <c r="BQ1" s="28" t="str">
        <f ca="1">"CPI_FCST_" &amp; BP2</f>
        <v>CPI_FCST_Q321</v>
      </c>
      <c r="BR1" s="28"/>
      <c r="BS1" s="36" t="s">
        <v>660</v>
      </c>
      <c r="BT1" s="28" t="str">
        <f ca="1">"CPI_FCST_" &amp; BS2</f>
        <v>CPI_FCST_Q421</v>
      </c>
      <c r="BU1" s="28"/>
      <c r="BV1" s="36" t="s">
        <v>660</v>
      </c>
      <c r="BW1" s="28" t="str">
        <f ca="1">"CPI_FCST_" &amp; BV2</f>
        <v>CPI_FCST_Q122</v>
      </c>
      <c r="BX1" s="28"/>
      <c r="BY1" s="36" t="s">
        <v>660</v>
      </c>
      <c r="BZ1" s="28" t="str">
        <f ca="1">"CPI_FCST_" &amp; BY2</f>
        <v>CPI_FCST_Q222</v>
      </c>
      <c r="CA1" s="28"/>
      <c r="CB1" s="36" t="s">
        <v>660</v>
      </c>
      <c r="CC1" s="28" t="str">
        <f ca="1">"CPI_FCST_" &amp; CB2</f>
        <v>CPI_FCST_Q322</v>
      </c>
      <c r="CD1" s="28"/>
      <c r="CE1" s="36" t="s">
        <v>660</v>
      </c>
      <c r="CF1" s="28" t="str">
        <f ca="1">"CPI_FCST_" &amp; CE2</f>
        <v>CPI_FCST_21</v>
      </c>
      <c r="CG1" s="28"/>
      <c r="CH1" s="36" t="s">
        <v>660</v>
      </c>
      <c r="CI1" s="28" t="str">
        <f ca="1">"CPI_FCST_" &amp; CH2</f>
        <v>CPI_FCST_22</v>
      </c>
      <c r="CJ1" s="28"/>
      <c r="CK1" s="36" t="s">
        <v>660</v>
      </c>
      <c r="CL1" s="28" t="str">
        <f ca="1">"CPI_FCST_" &amp; CK2</f>
        <v>CPI_FCST_23</v>
      </c>
      <c r="CM1" s="28"/>
      <c r="CN1" s="28" t="s">
        <v>872</v>
      </c>
      <c r="CO1" s="28" t="s">
        <v>873</v>
      </c>
      <c r="CP1" s="28" t="s">
        <v>878</v>
      </c>
      <c r="CQ1" s="28" t="s">
        <v>879</v>
      </c>
      <c r="CR1" s="28" t="s">
        <v>880</v>
      </c>
      <c r="CS1" s="28" t="s">
        <v>881</v>
      </c>
      <c r="CT1" s="28"/>
      <c r="CU1" s="28" t="s">
        <v>696</v>
      </c>
      <c r="CV1" s="36" t="s">
        <v>660</v>
      </c>
      <c r="CW1" s="28" t="str">
        <f ca="1">"GDP_FCST_" &amp; CV2</f>
        <v>GDP_FCST_Q321</v>
      </c>
      <c r="CX1" s="28"/>
      <c r="CY1" s="36" t="s">
        <v>660</v>
      </c>
      <c r="CZ1" s="28" t="str">
        <f ca="1">"GDP_FCST_" &amp; CY2</f>
        <v>GDP_FCST_Q421</v>
      </c>
      <c r="DA1" s="28"/>
      <c r="DB1" s="36" t="s">
        <v>660</v>
      </c>
      <c r="DC1" s="28" t="str">
        <f ca="1">"GDP_FCST_" &amp; DB2</f>
        <v>GDP_FCST_Q122</v>
      </c>
      <c r="DD1" s="28"/>
      <c r="DE1" s="36" t="s">
        <v>660</v>
      </c>
      <c r="DF1" s="28" t="str">
        <f ca="1">"GDP_FCST_" &amp; DE2</f>
        <v>GDP_FCST_Q222</v>
      </c>
      <c r="DG1" s="28"/>
      <c r="DH1" s="36" t="s">
        <v>660</v>
      </c>
      <c r="DI1" s="28" t="str">
        <f ca="1">"GDP_FCST_" &amp; DH2</f>
        <v>GDP_FCST_Q322</v>
      </c>
      <c r="DJ1" s="28"/>
      <c r="DK1" s="36" t="s">
        <v>660</v>
      </c>
      <c r="DL1" s="28" t="str">
        <f ca="1">"GDP_FCST_" &amp; DK2</f>
        <v>GDP_FCST_21</v>
      </c>
      <c r="DM1" s="28"/>
      <c r="DN1" s="36" t="s">
        <v>660</v>
      </c>
      <c r="DO1" s="28" t="str">
        <f ca="1">"GDP_FCST_" &amp; DN2</f>
        <v>GDP_FCST_22</v>
      </c>
      <c r="DP1" s="28"/>
      <c r="DQ1" s="36" t="s">
        <v>660</v>
      </c>
      <c r="DR1" s="28" t="str">
        <f ca="1">"GDP_FCST_" &amp; DQ2</f>
        <v>GDP_FCST_23</v>
      </c>
      <c r="DS1" s="28"/>
      <c r="DT1" s="28" t="s">
        <v>859</v>
      </c>
      <c r="DU1" s="28" t="s">
        <v>863</v>
      </c>
      <c r="DV1" s="28" t="s">
        <v>864</v>
      </c>
      <c r="DW1" s="28" t="s">
        <v>865</v>
      </c>
      <c r="DX1" s="28" t="s">
        <v>866</v>
      </c>
      <c r="DY1" s="28" t="s">
        <v>1086</v>
      </c>
      <c r="DZ1" s="28"/>
      <c r="EA1" s="28" t="s">
        <v>867</v>
      </c>
      <c r="EB1" s="28" t="s">
        <v>868</v>
      </c>
      <c r="EC1" s="28" t="s">
        <v>869</v>
      </c>
      <c r="ED1" s="28" t="s">
        <v>870</v>
      </c>
      <c r="EE1" s="28" t="s">
        <v>871</v>
      </c>
      <c r="EF1" s="28" t="s">
        <v>1087</v>
      </c>
      <c r="EG1" s="28"/>
      <c r="EH1" s="36" t="s">
        <v>883</v>
      </c>
      <c r="EI1" s="28" t="s">
        <v>925</v>
      </c>
      <c r="EJ1" s="28" t="s">
        <v>970</v>
      </c>
      <c r="EK1" s="28" t="s">
        <v>971</v>
      </c>
      <c r="EL1" s="28" t="s">
        <v>972</v>
      </c>
      <c r="EM1" s="28" t="s">
        <v>973</v>
      </c>
      <c r="EN1" s="28"/>
      <c r="EO1" s="36" t="s">
        <v>1121</v>
      </c>
      <c r="EP1" s="36" t="s">
        <v>1123</v>
      </c>
      <c r="EQ1" s="28" t="s">
        <v>1122</v>
      </c>
      <c r="ER1" s="28" t="s">
        <v>1164</v>
      </c>
      <c r="ES1" s="28" t="s">
        <v>1165</v>
      </c>
      <c r="ET1" s="28" t="s">
        <v>1166</v>
      </c>
      <c r="EU1" s="28" t="s">
        <v>1167</v>
      </c>
      <c r="EV1" s="28"/>
      <c r="EW1" s="36" t="s">
        <v>1025</v>
      </c>
      <c r="EX1" s="36" t="s">
        <v>1054</v>
      </c>
      <c r="EY1" s="28" t="s">
        <v>1053</v>
      </c>
      <c r="EZ1" s="28"/>
      <c r="FA1" s="28" t="s">
        <v>926</v>
      </c>
      <c r="FB1" s="28" t="s">
        <v>974</v>
      </c>
      <c r="FC1" s="28" t="s">
        <v>975</v>
      </c>
      <c r="FD1" s="28" t="s">
        <v>976</v>
      </c>
      <c r="FE1" s="28" t="s">
        <v>977</v>
      </c>
      <c r="FF1" s="28" t="s">
        <v>978</v>
      </c>
      <c r="FG1" s="28"/>
      <c r="FH1" s="28" t="s">
        <v>857</v>
      </c>
      <c r="FI1" s="28" t="s">
        <v>858</v>
      </c>
      <c r="FJ1" s="28"/>
      <c r="FK1" s="28" t="s">
        <v>979</v>
      </c>
      <c r="FL1" s="28" t="s">
        <v>1019</v>
      </c>
      <c r="FM1" s="28" t="s">
        <v>980</v>
      </c>
      <c r="FN1" s="28"/>
      <c r="FO1" s="28" t="s">
        <v>981</v>
      </c>
      <c r="FP1" s="28" t="s">
        <v>983</v>
      </c>
      <c r="FQ1" s="28" t="s">
        <v>984</v>
      </c>
      <c r="FR1" s="28" t="s">
        <v>985</v>
      </c>
      <c r="FS1" s="28" t="s">
        <v>986</v>
      </c>
      <c r="FT1" s="28" t="s">
        <v>987</v>
      </c>
      <c r="FU1" s="28" t="s">
        <v>988</v>
      </c>
      <c r="FV1" s="28"/>
      <c r="FW1" s="28" t="s">
        <v>1020</v>
      </c>
      <c r="FX1" s="28" t="s">
        <v>1021</v>
      </c>
      <c r="FY1" s="28" t="s">
        <v>1022</v>
      </c>
      <c r="FZ1" s="28"/>
      <c r="GA1" s="28" t="s">
        <v>1088</v>
      </c>
      <c r="GB1" s="28"/>
      <c r="GC1" s="28" t="s">
        <v>1091</v>
      </c>
      <c r="GE1" s="14" t="s">
        <v>1169</v>
      </c>
      <c r="GF1" s="14" t="s">
        <v>1170</v>
      </c>
      <c r="GG1" s="14" t="s">
        <v>1174</v>
      </c>
      <c r="GH1" s="14" t="s">
        <v>1175</v>
      </c>
      <c r="GJ1" s="14" t="s">
        <v>1172</v>
      </c>
      <c r="GK1" s="14" t="s">
        <v>1173</v>
      </c>
      <c r="GL1" s="14" t="s">
        <v>1176</v>
      </c>
      <c r="GM1" s="14" t="s">
        <v>1177</v>
      </c>
      <c r="GO1" s="14" t="s">
        <v>1182</v>
      </c>
      <c r="GP1" s="14" t="s">
        <v>1205</v>
      </c>
      <c r="GQ1" s="14" t="s">
        <v>1206</v>
      </c>
    </row>
    <row r="2" spans="1:210" s="27" customFormat="1" ht="14.25" customHeight="1" x14ac:dyDescent="0.35">
      <c r="A2" s="52">
        <f ca="1">TODAY()</f>
        <v>44391</v>
      </c>
      <c r="D2" s="26"/>
      <c r="E2" s="26"/>
      <c r="H2" s="26"/>
      <c r="K2" s="26"/>
      <c r="N2" s="26"/>
      <c r="Q2" s="26"/>
      <c r="R2" s="26"/>
      <c r="V2" s="26"/>
      <c r="W2" s="29"/>
      <c r="Y2" s="38" t="s">
        <v>175</v>
      </c>
      <c r="Z2" s="29"/>
      <c r="AA2" s="29"/>
      <c r="AB2" s="29" t="s">
        <v>659</v>
      </c>
      <c r="AC2" s="41" t="s">
        <v>1179</v>
      </c>
      <c r="AD2" s="41"/>
      <c r="AF2" s="29"/>
      <c r="AG2" s="29"/>
      <c r="AH2" s="29"/>
      <c r="AI2" s="29"/>
      <c r="AJ2" s="29"/>
      <c r="AK2" s="29"/>
      <c r="AL2" s="29"/>
      <c r="AM2" s="29"/>
      <c r="AN2" s="29" t="s">
        <v>697</v>
      </c>
      <c r="AO2" s="41" t="str">
        <f ca="1">IF(MONTH($A$2)&lt;4,"Q1",IF(AND(MONTH($A$2)&gt;3,MONTH($A$2)&lt;7),"Q2",IF(AND(MONTH($A$2)&gt;6,MONTH($A$2)&lt;10),"Q3","Q4"))) &amp; RIGHT(YEAR($A$2),2)</f>
        <v>Q321</v>
      </c>
      <c r="AQ2" s="29"/>
      <c r="AR2" s="41" t="str">
        <f ca="1">"Q" &amp; IF(MID(AO2,2,1)="4",1 &amp; RIGHT(AO2,2)+1,MID(AO2,2,1)+1 &amp; RIGHT(AO2,2))</f>
        <v>Q421</v>
      </c>
      <c r="AS2" s="29"/>
      <c r="AT2" s="29"/>
      <c r="AU2" s="41" t="str">
        <f ca="1">"Q" &amp; IF(MID(AR2,2,1)="4",1 &amp; RIGHT(AR2,2)+1,MID(AR2,2,1)+1 &amp; RIGHT(AR2,2))</f>
        <v>Q122</v>
      </c>
      <c r="AV2" s="29"/>
      <c r="AW2" s="29"/>
      <c r="AX2" s="41" t="str">
        <f ca="1">"Q" &amp; IF(MID(AU2,2,1)="4",1 &amp; RIGHT(AU2,2)+1,MID(AU2,2,1)+1 &amp; RIGHT(AU2,2))</f>
        <v>Q222</v>
      </c>
      <c r="AY2" s="29"/>
      <c r="AZ2" s="29"/>
      <c r="BA2" s="41" t="str">
        <f ca="1">"Q" &amp; IF(MID(AX2,2,1)="4",1 &amp; RIGHT(AX2,2)+1,MID(AX2,2,1)+1 &amp; RIGHT(AX2,2))</f>
        <v>Q322</v>
      </c>
      <c r="BB2" s="29"/>
      <c r="BC2" s="29"/>
      <c r="BD2" s="29"/>
      <c r="BE2" s="41"/>
      <c r="BF2" s="29"/>
      <c r="BG2" s="29"/>
      <c r="BH2" s="29"/>
      <c r="BI2" s="29"/>
      <c r="BJ2" s="29"/>
      <c r="BK2" s="29"/>
      <c r="BL2" s="29"/>
      <c r="BM2" s="29"/>
      <c r="BN2" s="29"/>
      <c r="BO2" s="29" t="s">
        <v>372</v>
      </c>
      <c r="BP2" s="41" t="str">
        <f ca="1">IF(MONTH($A$2)&lt;4,"Q1",IF(AND(MONTH($A$2)&gt;3,MONTH($A$2)&lt;7),"Q2",IF(AND(MONTH($A$2)&gt;6,MONTH($A$2)&lt;10),"Q3","Q4"))) &amp; RIGHT(YEAR($A$2),2)</f>
        <v>Q321</v>
      </c>
      <c r="BR2" s="29"/>
      <c r="BS2" s="41" t="str">
        <f ca="1">"Q" &amp; IF(MID(BP2,2,1)="4",1 &amp; RIGHT(BP2,2)+1,MID(BP2,2,1)+1 &amp; RIGHT(BP2,2))</f>
        <v>Q421</v>
      </c>
      <c r="BT2" s="29"/>
      <c r="BU2" s="29"/>
      <c r="BV2" s="41" t="str">
        <f ca="1">"Q" &amp; IF(MID(BS2,2,1)="4",1 &amp; RIGHT(BS2,2)+1,MID(BS2,2,1)+1 &amp; RIGHT(BS2,2))</f>
        <v>Q122</v>
      </c>
      <c r="BW2" s="29"/>
      <c r="BX2" s="29"/>
      <c r="BY2" s="41" t="str">
        <f ca="1">"Q" &amp; IF(MID(BV2,2,1)="4",1 &amp; RIGHT(BV2,2)+1,MID(BV2,2,1)+1 &amp; RIGHT(BV2,2))</f>
        <v>Q222</v>
      </c>
      <c r="BZ2" s="29"/>
      <c r="CA2" s="29"/>
      <c r="CB2" s="41" t="str">
        <f ca="1">"Q" &amp; IF(MID(BY2,2,1)="4",1 &amp; RIGHT(BY2,2)+1,MID(BY2,2,1)+1 &amp; RIGHT(BY2,2))</f>
        <v>Q322</v>
      </c>
      <c r="CC2" s="29"/>
      <c r="CD2" s="29"/>
      <c r="CE2" s="41" t="str">
        <f ca="1">RIGHT(YEAR($A$2),2)</f>
        <v>21</v>
      </c>
      <c r="CF2" s="29"/>
      <c r="CG2" s="29"/>
      <c r="CH2" s="41">
        <f ca="1">CE2+1</f>
        <v>22</v>
      </c>
      <c r="CI2" s="29"/>
      <c r="CJ2" s="29"/>
      <c r="CK2" s="41">
        <f ca="1">CH2+1</f>
        <v>23</v>
      </c>
      <c r="CL2" s="29"/>
      <c r="CM2" s="29"/>
      <c r="CN2" s="29"/>
      <c r="CO2" s="29"/>
      <c r="CP2" s="29"/>
      <c r="CQ2" s="29"/>
      <c r="CR2" s="29"/>
      <c r="CS2" s="29"/>
      <c r="CT2" s="29"/>
      <c r="CU2" s="29" t="s">
        <v>367</v>
      </c>
      <c r="CV2" s="41" t="str">
        <f ca="1">IF(MONTH($A$2)&lt;4,"Q1",IF(AND(MONTH($A$2)&gt;3,MONTH($A$2)&lt;7),"Q2",IF(AND(MONTH($A$2)&gt;6,MONTH($A$2)&lt;10),"Q3","Q4"))) &amp; RIGHT(YEAR($A$2),2)</f>
        <v>Q321</v>
      </c>
      <c r="CX2" s="29"/>
      <c r="CY2" s="41" t="str">
        <f ca="1">"Q" &amp; IF(MID(CV2,2,1)="4",1 &amp; RIGHT(CV2,2)+1,MID(CV2,2,1)+1 &amp; RIGHT(CV2,2))</f>
        <v>Q421</v>
      </c>
      <c r="CZ2" s="29"/>
      <c r="DA2" s="29"/>
      <c r="DB2" s="41" t="str">
        <f ca="1">"Q" &amp; IF(MID(CY2,2,1)="4",1 &amp; RIGHT(CY2,2)+1,MID(CY2,2,1)+1 &amp; RIGHT(CY2,2))</f>
        <v>Q122</v>
      </c>
      <c r="DC2" s="29"/>
      <c r="DD2" s="29"/>
      <c r="DE2" s="41" t="str">
        <f ca="1">"Q" &amp; IF(MID(DB2,2,1)="4",1 &amp; RIGHT(DB2,2)+1,MID(DB2,2,1)+1 &amp; RIGHT(DB2,2))</f>
        <v>Q222</v>
      </c>
      <c r="DF2" s="29"/>
      <c r="DG2" s="29"/>
      <c r="DH2" s="41" t="str">
        <f ca="1">"Q" &amp; IF(MID(DE2,2,1)="4",1 &amp; RIGHT(DE2,2)+1,MID(DE2,2,1)+1 &amp; RIGHT(DE2,2))</f>
        <v>Q322</v>
      </c>
      <c r="DI2" s="29"/>
      <c r="DJ2" s="29"/>
      <c r="DK2" s="41" t="str">
        <f ca="1">RIGHT(YEAR($A$2),2)</f>
        <v>21</v>
      </c>
      <c r="DL2" s="29"/>
      <c r="DM2" s="29"/>
      <c r="DN2" s="41">
        <f ca="1">DK2+1</f>
        <v>22</v>
      </c>
      <c r="DO2" s="29"/>
      <c r="DP2" s="29"/>
      <c r="DQ2" s="41">
        <f ca="1">DN2+1</f>
        <v>23</v>
      </c>
      <c r="DR2" s="29"/>
      <c r="DS2" s="29"/>
      <c r="DT2" s="29"/>
      <c r="DU2" s="29"/>
      <c r="DV2" s="29"/>
      <c r="DW2" s="29"/>
      <c r="DX2" s="29"/>
      <c r="DY2" s="29"/>
      <c r="DZ2" s="29"/>
      <c r="EA2" s="29"/>
      <c r="EB2" s="29"/>
      <c r="EC2" s="29"/>
      <c r="ED2" s="29"/>
      <c r="EE2" s="29"/>
      <c r="EF2" s="29"/>
      <c r="EG2" s="29"/>
      <c r="EH2" s="41"/>
      <c r="EI2" s="29"/>
      <c r="EJ2" s="29"/>
      <c r="EK2" s="29"/>
      <c r="EL2" s="29"/>
      <c r="EM2" s="29"/>
      <c r="EN2" s="29"/>
      <c r="EO2" s="41"/>
      <c r="EP2" s="41"/>
      <c r="EQ2" s="29"/>
      <c r="ER2" s="29"/>
      <c r="ES2" s="29"/>
      <c r="ET2" s="29"/>
      <c r="EU2" s="29"/>
      <c r="EV2" s="29"/>
      <c r="EW2" s="41"/>
      <c r="EX2" s="41"/>
      <c r="EY2" s="29"/>
      <c r="EZ2" s="29"/>
      <c r="FA2" s="29"/>
      <c r="FB2" s="29"/>
      <c r="FC2" s="29"/>
      <c r="FD2" s="29"/>
      <c r="FE2" s="29"/>
      <c r="FF2" s="29"/>
      <c r="FG2" s="29"/>
      <c r="FH2" s="29"/>
      <c r="FI2" s="29"/>
      <c r="FJ2" s="29"/>
      <c r="FK2" s="29"/>
      <c r="FL2" s="29"/>
      <c r="FM2" s="29"/>
      <c r="FN2" s="29"/>
      <c r="FO2" s="29" t="s">
        <v>982</v>
      </c>
      <c r="FP2" s="29"/>
      <c r="FQ2" s="29"/>
      <c r="FR2" s="29"/>
      <c r="FS2" s="29"/>
      <c r="FT2" s="29"/>
      <c r="FU2" s="29"/>
      <c r="FV2" s="29"/>
      <c r="FW2" s="29"/>
      <c r="FX2" s="29"/>
      <c r="FY2" s="29"/>
      <c r="FZ2" s="29"/>
      <c r="GA2" s="29" t="s">
        <v>1090</v>
      </c>
      <c r="GB2" s="29"/>
      <c r="GC2" s="29"/>
      <c r="GE2" s="27" t="s">
        <v>1168</v>
      </c>
      <c r="GJ2" s="27" t="s">
        <v>1171</v>
      </c>
    </row>
    <row r="3" spans="1:210" s="38" customFormat="1" ht="33" customHeight="1" x14ac:dyDescent="0.35">
      <c r="D3" s="39" t="s">
        <v>653</v>
      </c>
      <c r="E3" s="39" t="s">
        <v>1269</v>
      </c>
      <c r="F3" s="38" t="s">
        <v>1271</v>
      </c>
      <c r="H3" s="39" t="s">
        <v>653</v>
      </c>
      <c r="I3" s="38" t="s">
        <v>8</v>
      </c>
      <c r="K3" s="39" t="s">
        <v>653</v>
      </c>
      <c r="L3" s="38" t="s">
        <v>8</v>
      </c>
      <c r="N3" s="39" t="s">
        <v>653</v>
      </c>
      <c r="O3" s="38" t="s">
        <v>8</v>
      </c>
      <c r="Q3" s="39" t="s">
        <v>653</v>
      </c>
      <c r="R3" s="39" t="s">
        <v>93</v>
      </c>
      <c r="S3" s="38" t="s">
        <v>8</v>
      </c>
      <c r="V3" s="39" t="s">
        <v>653</v>
      </c>
      <c r="W3" s="40" t="s">
        <v>8</v>
      </c>
      <c r="Y3" s="38" t="s">
        <v>653</v>
      </c>
      <c r="Z3" s="40" t="s">
        <v>8</v>
      </c>
      <c r="AA3" s="40"/>
      <c r="AB3" s="40"/>
      <c r="AC3" s="39" t="s">
        <v>653</v>
      </c>
      <c r="AD3" s="39" t="s">
        <v>661</v>
      </c>
      <c r="AE3" s="40" t="s">
        <v>8</v>
      </c>
      <c r="AF3" s="40"/>
      <c r="AG3" s="40" t="s">
        <v>653</v>
      </c>
      <c r="AH3" s="40" t="s">
        <v>8</v>
      </c>
      <c r="AI3" s="40" t="s">
        <v>368</v>
      </c>
      <c r="AJ3" s="40" t="s">
        <v>369</v>
      </c>
      <c r="AK3" s="40" t="s">
        <v>370</v>
      </c>
      <c r="AL3" s="40" t="s">
        <v>371</v>
      </c>
      <c r="AM3" s="40"/>
      <c r="AN3" s="40"/>
      <c r="AO3" s="39" t="s">
        <v>653</v>
      </c>
      <c r="AP3" s="40" t="s">
        <v>8</v>
      </c>
      <c r="AQ3" s="40"/>
      <c r="AR3" s="39" t="s">
        <v>653</v>
      </c>
      <c r="AS3" s="40" t="s">
        <v>8</v>
      </c>
      <c r="AT3" s="40"/>
      <c r="AU3" s="39" t="s">
        <v>653</v>
      </c>
      <c r="AV3" s="40" t="s">
        <v>8</v>
      </c>
      <c r="AW3" s="40"/>
      <c r="AX3" s="39" t="s">
        <v>653</v>
      </c>
      <c r="AY3" s="40" t="s">
        <v>8</v>
      </c>
      <c r="AZ3" s="40"/>
      <c r="BA3" s="39" t="s">
        <v>653</v>
      </c>
      <c r="BB3" s="40" t="s">
        <v>8</v>
      </c>
      <c r="BC3" s="40"/>
      <c r="BD3" s="39" t="s">
        <v>653</v>
      </c>
      <c r="BE3" s="39" t="s">
        <v>93</v>
      </c>
      <c r="BF3" s="40" t="s">
        <v>8</v>
      </c>
      <c r="BG3" s="40"/>
      <c r="BH3" s="40" t="s">
        <v>653</v>
      </c>
      <c r="BI3" s="40" t="s">
        <v>8</v>
      </c>
      <c r="BJ3" s="40" t="s">
        <v>368</v>
      </c>
      <c r="BK3" s="40" t="s">
        <v>369</v>
      </c>
      <c r="BL3" s="40" t="s">
        <v>370</v>
      </c>
      <c r="BM3" s="40" t="s">
        <v>371</v>
      </c>
      <c r="BN3" s="40"/>
      <c r="BO3" s="40"/>
      <c r="BP3" s="39" t="s">
        <v>653</v>
      </c>
      <c r="BQ3" s="40" t="s">
        <v>8</v>
      </c>
      <c r="BR3" s="40"/>
      <c r="BS3" s="39" t="s">
        <v>653</v>
      </c>
      <c r="BT3" s="40" t="s">
        <v>8</v>
      </c>
      <c r="BU3" s="40"/>
      <c r="BV3" s="39" t="s">
        <v>653</v>
      </c>
      <c r="BW3" s="40" t="s">
        <v>8</v>
      </c>
      <c r="BX3" s="40"/>
      <c r="BY3" s="39" t="s">
        <v>653</v>
      </c>
      <c r="BZ3" s="40" t="s">
        <v>8</v>
      </c>
      <c r="CA3" s="40"/>
      <c r="CB3" s="39" t="s">
        <v>653</v>
      </c>
      <c r="CC3" s="40" t="s">
        <v>8</v>
      </c>
      <c r="CD3" s="40"/>
      <c r="CE3" s="39" t="s">
        <v>653</v>
      </c>
      <c r="CF3" s="40" t="s">
        <v>8</v>
      </c>
      <c r="CG3" s="40"/>
      <c r="CH3" s="39" t="s">
        <v>653</v>
      </c>
      <c r="CI3" s="40" t="s">
        <v>8</v>
      </c>
      <c r="CJ3" s="40"/>
      <c r="CK3" s="39" t="s">
        <v>653</v>
      </c>
      <c r="CL3" s="40" t="s">
        <v>8</v>
      </c>
      <c r="CM3" s="40"/>
      <c r="CN3" s="40" t="s">
        <v>653</v>
      </c>
      <c r="CO3" s="40" t="s">
        <v>8</v>
      </c>
      <c r="CP3" s="40" t="s">
        <v>874</v>
      </c>
      <c r="CQ3" s="40" t="s">
        <v>875</v>
      </c>
      <c r="CR3" s="40" t="s">
        <v>876</v>
      </c>
      <c r="CS3" s="40" t="s">
        <v>877</v>
      </c>
      <c r="CT3" s="40"/>
      <c r="CU3" s="40"/>
      <c r="CV3" s="39" t="s">
        <v>653</v>
      </c>
      <c r="CW3" s="40" t="s">
        <v>8</v>
      </c>
      <c r="CX3" s="40"/>
      <c r="CY3" s="39" t="s">
        <v>653</v>
      </c>
      <c r="CZ3" s="40" t="s">
        <v>8</v>
      </c>
      <c r="DA3" s="40"/>
      <c r="DB3" s="39" t="s">
        <v>653</v>
      </c>
      <c r="DC3" s="40" t="s">
        <v>8</v>
      </c>
      <c r="DD3" s="40"/>
      <c r="DE3" s="39" t="s">
        <v>653</v>
      </c>
      <c r="DF3" s="40" t="s">
        <v>8</v>
      </c>
      <c r="DG3" s="40"/>
      <c r="DH3" s="39" t="s">
        <v>653</v>
      </c>
      <c r="DI3" s="40" t="s">
        <v>8</v>
      </c>
      <c r="DJ3" s="40"/>
      <c r="DK3" s="39" t="s">
        <v>653</v>
      </c>
      <c r="DL3" s="40" t="s">
        <v>8</v>
      </c>
      <c r="DM3" s="40"/>
      <c r="DN3" s="39" t="s">
        <v>653</v>
      </c>
      <c r="DO3" s="40" t="s">
        <v>8</v>
      </c>
      <c r="DP3" s="40"/>
      <c r="DQ3" s="39" t="s">
        <v>653</v>
      </c>
      <c r="DR3" s="40" t="s">
        <v>8</v>
      </c>
      <c r="DS3" s="40"/>
      <c r="DT3" s="40" t="s">
        <v>653</v>
      </c>
      <c r="DU3" s="40" t="s">
        <v>8</v>
      </c>
      <c r="DV3" s="40" t="s">
        <v>860</v>
      </c>
      <c r="DW3" s="40" t="s">
        <v>861</v>
      </c>
      <c r="DX3" s="40" t="s">
        <v>862</v>
      </c>
      <c r="DY3" s="40" t="s">
        <v>969</v>
      </c>
      <c r="DZ3" s="40"/>
      <c r="EA3" s="40" t="s">
        <v>653</v>
      </c>
      <c r="EB3" s="40" t="s">
        <v>8</v>
      </c>
      <c r="EC3" s="40" t="s">
        <v>860</v>
      </c>
      <c r="ED3" s="40" t="s">
        <v>861</v>
      </c>
      <c r="EE3" s="40" t="s">
        <v>862</v>
      </c>
      <c r="EF3" s="40" t="s">
        <v>969</v>
      </c>
      <c r="EG3" s="40"/>
      <c r="EH3" s="53" t="s">
        <v>653</v>
      </c>
      <c r="EI3" s="40" t="s">
        <v>8</v>
      </c>
      <c r="EJ3" s="40" t="s">
        <v>371</v>
      </c>
      <c r="EK3" s="40" t="s">
        <v>370</v>
      </c>
      <c r="EL3" s="40" t="s">
        <v>369</v>
      </c>
      <c r="EM3" s="40" t="s">
        <v>368</v>
      </c>
      <c r="EN3" s="40"/>
      <c r="EO3" s="53" t="s">
        <v>653</v>
      </c>
      <c r="EP3" s="53" t="s">
        <v>93</v>
      </c>
      <c r="EQ3" s="40" t="s">
        <v>8</v>
      </c>
      <c r="ER3" s="40" t="s">
        <v>1160</v>
      </c>
      <c r="ES3" s="40" t="s">
        <v>1161</v>
      </c>
      <c r="ET3" s="40" t="s">
        <v>1162</v>
      </c>
      <c r="EU3" s="40" t="s">
        <v>1163</v>
      </c>
      <c r="EV3" s="40"/>
      <c r="EW3" s="53" t="s">
        <v>653</v>
      </c>
      <c r="EX3" s="53" t="s">
        <v>93</v>
      </c>
      <c r="EY3" s="40" t="s">
        <v>8</v>
      </c>
      <c r="EZ3" s="40"/>
      <c r="FA3" s="40" t="s">
        <v>653</v>
      </c>
      <c r="FB3" s="40" t="s">
        <v>8</v>
      </c>
      <c r="FC3" s="40" t="s">
        <v>860</v>
      </c>
      <c r="FD3" s="40" t="s">
        <v>861</v>
      </c>
      <c r="FE3" s="40" t="s">
        <v>862</v>
      </c>
      <c r="FF3" s="40" t="s">
        <v>969</v>
      </c>
      <c r="FG3" s="40"/>
      <c r="FH3" s="40" t="s">
        <v>653</v>
      </c>
      <c r="FI3" s="38" t="s">
        <v>8</v>
      </c>
      <c r="FJ3" s="40"/>
      <c r="FK3" s="40" t="s">
        <v>653</v>
      </c>
      <c r="FL3" s="40" t="s">
        <v>93</v>
      </c>
      <c r="FM3" s="40" t="s">
        <v>8</v>
      </c>
      <c r="FN3" s="40"/>
      <c r="FO3" s="40"/>
      <c r="FP3" s="40" t="s">
        <v>653</v>
      </c>
      <c r="FQ3" s="40" t="s">
        <v>8</v>
      </c>
      <c r="FR3" s="40" t="s">
        <v>874</v>
      </c>
      <c r="FS3" s="40" t="s">
        <v>875</v>
      </c>
      <c r="FT3" s="40" t="s">
        <v>876</v>
      </c>
      <c r="FU3" s="40" t="s">
        <v>877</v>
      </c>
      <c r="FV3" s="40"/>
      <c r="FW3" s="40" t="s">
        <v>653</v>
      </c>
      <c r="FX3" s="30" t="s">
        <v>373</v>
      </c>
      <c r="FY3" s="31" t="s">
        <v>8</v>
      </c>
      <c r="FZ3" s="40"/>
      <c r="GA3" s="40" t="s">
        <v>653</v>
      </c>
      <c r="GB3" s="40" t="s">
        <v>93</v>
      </c>
      <c r="GC3" s="40" t="s">
        <v>8</v>
      </c>
      <c r="GE3" s="38" t="s">
        <v>653</v>
      </c>
      <c r="GF3" s="38" t="s">
        <v>8</v>
      </c>
      <c r="GG3" s="38" t="s">
        <v>643</v>
      </c>
      <c r="GH3" s="38" t="s">
        <v>644</v>
      </c>
      <c r="GJ3" s="38" t="s">
        <v>653</v>
      </c>
      <c r="GK3" s="38" t="s">
        <v>8</v>
      </c>
      <c r="GL3" s="38" t="s">
        <v>860</v>
      </c>
      <c r="GM3" s="38" t="s">
        <v>861</v>
      </c>
      <c r="GO3" s="38" t="s">
        <v>653</v>
      </c>
      <c r="GP3" s="38" t="s">
        <v>1184</v>
      </c>
      <c r="GQ3" s="38" t="s">
        <v>8</v>
      </c>
      <c r="HB3" s="27" t="s">
        <v>652</v>
      </c>
    </row>
    <row r="4" spans="1:210" x14ac:dyDescent="0.35">
      <c r="A4" s="43" t="s">
        <v>16</v>
      </c>
      <c r="B4" s="44" t="s">
        <v>6</v>
      </c>
      <c r="H4" s="50" t="s">
        <v>168</v>
      </c>
      <c r="I4" s="44">
        <v>0.19500000000000001</v>
      </c>
      <c r="K4" s="50" t="s">
        <v>773</v>
      </c>
      <c r="L4" s="44">
        <v>0.3327</v>
      </c>
      <c r="N4" s="50" t="s">
        <v>157</v>
      </c>
      <c r="O4" s="44">
        <v>0.70669999999999999</v>
      </c>
      <c r="Q4" s="50" t="s">
        <v>161</v>
      </c>
      <c r="R4" s="50" t="s">
        <v>1104</v>
      </c>
      <c r="S4" s="44">
        <v>1.2086999999999999</v>
      </c>
      <c r="U4" s="44" t="s">
        <v>175</v>
      </c>
      <c r="V4" s="45" t="s">
        <v>695</v>
      </c>
      <c r="W4" s="46">
        <v>96.787999999999997</v>
      </c>
      <c r="Y4" s="45" t="s">
        <v>695</v>
      </c>
      <c r="Z4" s="46">
        <v>96.787999999999997</v>
      </c>
      <c r="AB4" s="47" t="str">
        <f>AB$2 &amp; "USDX"</f>
        <v>FCUSDX</v>
      </c>
      <c r="AC4" s="48" t="str">
        <f>AB4 &amp; " " &amp; AC$2 &amp; " INDEX"</f>
        <v>FCUSDX Q418 INDEX</v>
      </c>
      <c r="AD4" s="48" t="s">
        <v>662</v>
      </c>
      <c r="AE4" s="46">
        <v>96.5</v>
      </c>
      <c r="AG4" s="49" t="s">
        <v>375</v>
      </c>
      <c r="AH4" s="46">
        <v>0.25</v>
      </c>
      <c r="AI4" s="46">
        <v>-2.25</v>
      </c>
      <c r="AJ4" s="46">
        <v>-1.5</v>
      </c>
      <c r="AK4" s="46">
        <v>-1</v>
      </c>
      <c r="AL4" s="46">
        <v>0</v>
      </c>
      <c r="AN4" s="46" t="str">
        <f>AN$2 &amp; $B4</f>
        <v>ECCBUS</v>
      </c>
      <c r="AO4" s="48" t="str">
        <f ca="1">AN4 &amp; " " &amp; AO$2 &amp; " INDEX"</f>
        <v>ECCBUS Q321 INDEX</v>
      </c>
      <c r="AP4" s="46">
        <v>0.25</v>
      </c>
      <c r="AR4" s="48" t="str">
        <f t="shared" ref="AR4:AR45" ca="1" si="0">AN4 &amp; " " &amp; AR$2 &amp; " INDEX"</f>
        <v>ECCBUS Q421 INDEX</v>
      </c>
      <c r="AS4" s="46">
        <v>0.25</v>
      </c>
      <c r="AU4" s="48" t="str">
        <f ca="1">AN4 &amp; " " &amp; AU$2 &amp; " INDEX"</f>
        <v>ECCBUS Q122 INDEX</v>
      </c>
      <c r="AV4" s="46">
        <v>0.25</v>
      </c>
      <c r="AX4" s="48" t="str">
        <f ca="1">AN4 &amp; " " &amp; AX$2 &amp; " INDEX"</f>
        <v>ECCBUS Q222 INDEX</v>
      </c>
      <c r="AY4" s="46">
        <v>0.3</v>
      </c>
      <c r="BA4" s="48" t="str">
        <f ca="1">AN4 &amp; " " &amp; BA$2 &amp; " INDEX"</f>
        <v>ECCBUS Q322 INDEX</v>
      </c>
      <c r="BB4" s="46">
        <v>0.3</v>
      </c>
      <c r="BD4" t="s">
        <v>376</v>
      </c>
      <c r="BE4" s="48" t="s">
        <v>700</v>
      </c>
      <c r="BF4" s="46">
        <v>0.08</v>
      </c>
      <c r="BH4" s="32" t="s">
        <v>377</v>
      </c>
      <c r="BI4" s="46">
        <v>0.1</v>
      </c>
      <c r="BJ4" s="46">
        <v>-1.7</v>
      </c>
      <c r="BK4" s="46">
        <v>-2</v>
      </c>
      <c r="BL4" s="46">
        <v>-2.2000000000000002</v>
      </c>
      <c r="BM4" s="46">
        <v>-0.2</v>
      </c>
      <c r="BO4" s="46" t="str">
        <f>BO$2 &amp; $B4</f>
        <v>ECPIUS</v>
      </c>
      <c r="BP4" s="48" t="str">
        <f ca="1">BO4 &amp; " " &amp; BP$2 &amp; " INDEX"</f>
        <v>ECPIUS Q321 INDEX</v>
      </c>
      <c r="BQ4" s="46">
        <v>0.4</v>
      </c>
      <c r="BS4" s="48" t="str">
        <f t="shared" ref="BS4:BS45" ca="1" si="1">BO4 &amp; " " &amp; BS$2 &amp; " INDEX"</f>
        <v>ECPIUS Q421 INDEX</v>
      </c>
      <c r="BT4" s="46">
        <v>0.4</v>
      </c>
      <c r="BV4" s="48" t="str">
        <f ca="1">BO4 &amp; " " &amp; BV$2 &amp; " INDEX"</f>
        <v>ECPIUS Q122 INDEX</v>
      </c>
      <c r="BW4" s="46">
        <v>0.3</v>
      </c>
      <c r="BY4" s="48" t="str">
        <f ca="1">BO4 &amp; " " &amp; BY$2 &amp; " INDEX"</f>
        <v>ECPIUS Q222 INDEX</v>
      </c>
      <c r="BZ4" s="46">
        <v>0.8</v>
      </c>
      <c r="CB4" s="48" t="str">
        <f ca="1">BO4 &amp; " " &amp; CB$2 &amp; " INDEX"</f>
        <v>ECPIUS Q322 INDEX</v>
      </c>
      <c r="CC4" s="46">
        <v>1.9</v>
      </c>
      <c r="CE4" s="48" t="str">
        <f ca="1">BO4 &amp; " " &amp; CE$2 &amp; " INDEX"</f>
        <v>ECPIUS 21 INDEX</v>
      </c>
      <c r="CF4" s="46">
        <v>0.8</v>
      </c>
      <c r="CH4" s="48" t="str">
        <f ca="1">BO4 &amp; " " &amp; CH$2 &amp; " INDEX"</f>
        <v>ECPIUS 22 INDEX</v>
      </c>
      <c r="CI4" s="46">
        <v>1.7</v>
      </c>
      <c r="CK4" s="48" t="str">
        <f ca="1">BO4 &amp; " " &amp; CK$2 &amp; " INDEX"</f>
        <v>ECPIUS 23 INDEX</v>
      </c>
      <c r="CL4" s="46">
        <v>2</v>
      </c>
      <c r="CN4" s="32" t="s">
        <v>374</v>
      </c>
      <c r="CO4" s="46">
        <v>0.2</v>
      </c>
      <c r="CP4" s="46">
        <v>2.2999999999999998</v>
      </c>
      <c r="CQ4" s="46">
        <v>2.1</v>
      </c>
      <c r="CR4" s="46">
        <v>2.2999999999999998</v>
      </c>
      <c r="CS4" s="46">
        <v>2.7</v>
      </c>
      <c r="CU4" s="46" t="str">
        <f>CU$2 &amp; $B4</f>
        <v>ECGDUS</v>
      </c>
      <c r="CV4" s="48" t="str">
        <f ca="1">CU4 &amp; " " &amp; CV$2 &amp; " INDEX"</f>
        <v>ECGDUS Q321 INDEX</v>
      </c>
      <c r="CW4" s="46">
        <v>-34.4</v>
      </c>
      <c r="CY4" s="48" t="str">
        <f ca="1">CU4 &amp; " " &amp; CY$2 &amp; " INDEX"</f>
        <v>ECGDUS Q421 INDEX</v>
      </c>
      <c r="CZ4" s="46">
        <v>15.4</v>
      </c>
      <c r="DB4" s="48" t="str">
        <f ca="1">CU4 &amp; " " &amp; DB$2 &amp; " INDEX"</f>
        <v>ECGDUS Q122 INDEX</v>
      </c>
      <c r="DC4" s="46">
        <v>7.9</v>
      </c>
      <c r="DE4" s="48" t="str">
        <f ca="1">CU4 &amp; " " &amp; DE$2 &amp; " INDEX"</f>
        <v>ECGDUS Q222 INDEX</v>
      </c>
      <c r="DF4" s="46">
        <v>5</v>
      </c>
      <c r="DH4" s="48" t="str">
        <f ca="1">CU4 &amp; " " &amp; DH$2 &amp; " INDEX"</f>
        <v>ECGDUS Q322 INDEX</v>
      </c>
      <c r="DI4" s="46">
        <v>4.0999999999999996</v>
      </c>
      <c r="DK4" s="48" t="str">
        <f ca="1">CU4 &amp; " " &amp; DK$2 &amp; " INDEX"</f>
        <v>ECGDUS 21 INDEX</v>
      </c>
      <c r="DL4" s="46">
        <v>-5.7</v>
      </c>
      <c r="DN4" s="48" t="str">
        <f ca="1">CU4 &amp; " " &amp; DN$2 &amp; " INDEX"</f>
        <v>ECGDUS 22 INDEX</v>
      </c>
      <c r="DO4" s="46">
        <v>4</v>
      </c>
      <c r="DQ4" s="48" t="str">
        <f ca="1">CU4 &amp; " " &amp; DQ$2 &amp; " INDEX"</f>
        <v>ECGDUS 23 INDEX</v>
      </c>
      <c r="DR4" s="46">
        <v>3</v>
      </c>
      <c r="DT4" t="s">
        <v>101</v>
      </c>
      <c r="DU4" s="46">
        <v>39.799999999999997</v>
      </c>
      <c r="DV4" s="46">
        <v>36.1</v>
      </c>
      <c r="DW4" s="46">
        <v>50.7</v>
      </c>
      <c r="DX4" s="46">
        <v>52.6</v>
      </c>
      <c r="DY4" s="46">
        <v>50.5</v>
      </c>
      <c r="EA4" t="s">
        <v>102</v>
      </c>
      <c r="EB4">
        <v>37.5</v>
      </c>
      <c r="EC4">
        <v>26.7</v>
      </c>
      <c r="ED4">
        <v>49.4</v>
      </c>
      <c r="EE4">
        <v>51.6</v>
      </c>
      <c r="EF4" s="46">
        <v>50.9</v>
      </c>
      <c r="EG4"/>
      <c r="EH4" s="13" t="s">
        <v>919</v>
      </c>
      <c r="EI4" s="11">
        <v>13.3</v>
      </c>
      <c r="EJ4" s="11">
        <v>-1.4</v>
      </c>
      <c r="EK4" s="11">
        <v>9.8000000000000007</v>
      </c>
      <c r="EL4" s="11">
        <v>9.8000000000000007</v>
      </c>
      <c r="EM4" s="11">
        <v>9.6999999999999993</v>
      </c>
      <c r="EN4" s="11"/>
      <c r="EO4" s="13" t="str">
        <f>"OE" &amp; B4 &amp; "KLAC Index"</f>
        <v>OEUSKLAC Index</v>
      </c>
      <c r="EP4" s="13" t="s">
        <v>1125</v>
      </c>
      <c r="EQ4" s="11">
        <v>94.846800000000002</v>
      </c>
      <c r="ER4" s="11">
        <v>-2.9398999999999997</v>
      </c>
      <c r="ES4" s="11">
        <v>-4.5029000000000003</v>
      </c>
      <c r="ET4" s="11">
        <v>-4.2956000000000003</v>
      </c>
      <c r="EU4" s="11">
        <v>-4.3922999999999996</v>
      </c>
      <c r="EV4"/>
      <c r="EW4" s="13" t="s">
        <v>1026</v>
      </c>
      <c r="EX4" s="13" t="s">
        <v>1055</v>
      </c>
      <c r="EY4" s="11">
        <v>4.0625900000000001</v>
      </c>
      <c r="EZ4"/>
      <c r="FA4" t="s">
        <v>967</v>
      </c>
      <c r="FB4" s="11">
        <v>-15.04</v>
      </c>
      <c r="FC4" s="11">
        <v>-4.88</v>
      </c>
      <c r="FD4" s="11">
        <v>-0.89</v>
      </c>
      <c r="FE4" s="11">
        <v>-0.81</v>
      </c>
      <c r="FF4" s="11">
        <v>0.71</v>
      </c>
      <c r="FG4"/>
      <c r="FH4" s="33" t="s">
        <v>378</v>
      </c>
      <c r="FI4" s="46">
        <v>20544.343000000001</v>
      </c>
      <c r="FK4" t="s">
        <v>379</v>
      </c>
      <c r="FL4" t="s">
        <v>989</v>
      </c>
      <c r="FM4" s="11">
        <v>-9.8729999999999993</v>
      </c>
      <c r="FN4"/>
      <c r="FO4" s="46" t="str">
        <f>FO$2 &amp; $B4</f>
        <v>EHCAUS</v>
      </c>
      <c r="FP4" t="str">
        <f>FO4 &amp; " Index"</f>
        <v>EHCAUS Index</v>
      </c>
      <c r="FQ4" s="11">
        <v>-2.29</v>
      </c>
      <c r="FR4" s="11">
        <v>-2.4699999999999998</v>
      </c>
      <c r="FS4" s="11">
        <v>-2.5</v>
      </c>
      <c r="FT4" s="11">
        <v>-2.44</v>
      </c>
      <c r="FU4" s="11">
        <v>-2.35</v>
      </c>
      <c r="FV4"/>
      <c r="FW4" t="s">
        <v>380</v>
      </c>
      <c r="FX4" t="s">
        <v>1023</v>
      </c>
      <c r="FY4">
        <v>94.43</v>
      </c>
      <c r="FZ4"/>
      <c r="GA4" t="str">
        <f>GA$2 &amp; $B4 &amp; "B Index"</f>
        <v>TAYLUSB Index</v>
      </c>
      <c r="GB4" t="s">
        <v>1092</v>
      </c>
      <c r="GC4">
        <v>-7.14</v>
      </c>
      <c r="GE4" s="43" t="str">
        <f>GE$2 &amp; $U4 &amp; " Index"</f>
        <v>CESIUSD Index</v>
      </c>
      <c r="GF4" s="44">
        <v>74.7</v>
      </c>
      <c r="GG4" s="44">
        <v>69.08</v>
      </c>
      <c r="GH4" s="44">
        <v>-53.47</v>
      </c>
      <c r="GJ4" s="43" t="str">
        <f>GJ$2 &amp; $U4 &amp; " Index"</f>
        <v>CSIIUSD Index</v>
      </c>
      <c r="GK4" s="44">
        <v>10.68</v>
      </c>
      <c r="GL4" s="44">
        <v>-15.18</v>
      </c>
      <c r="GM4" s="44">
        <v>-25.87</v>
      </c>
      <c r="GO4" s="43" t="s">
        <v>651</v>
      </c>
    </row>
    <row r="5" spans="1:210" x14ac:dyDescent="0.35">
      <c r="A5" s="43" t="s">
        <v>17</v>
      </c>
      <c r="B5" s="44" t="s">
        <v>10</v>
      </c>
      <c r="H5" s="50" t="s">
        <v>170</v>
      </c>
      <c r="I5" s="44">
        <v>-2.7E-2</v>
      </c>
      <c r="K5" s="50" t="s">
        <v>774</v>
      </c>
      <c r="L5" s="44">
        <v>1.7999999999999999E-2</v>
      </c>
      <c r="N5" s="50" t="s">
        <v>158</v>
      </c>
      <c r="O5" s="44">
        <v>0.224</v>
      </c>
      <c r="Q5" s="50" t="s">
        <v>163</v>
      </c>
      <c r="R5" s="50" t="s">
        <v>1105</v>
      </c>
      <c r="S5" s="44">
        <v>2.8529999999999998</v>
      </c>
      <c r="U5" s="44" t="s">
        <v>177</v>
      </c>
      <c r="V5" s="50" t="str">
        <f t="shared" ref="V5:V45" si="2">U5 &amp; " Curncy"</f>
        <v>GBP Curncy</v>
      </c>
      <c r="W5" s="46">
        <v>1.2617</v>
      </c>
      <c r="Y5" s="50" t="str">
        <f>U5 &amp; Y$2 &amp; " Curncy"</f>
        <v>GBPUSD Curncy</v>
      </c>
      <c r="Z5" s="46">
        <v>1.2617</v>
      </c>
      <c r="AB5" s="46" t="str">
        <f>AB$2 &amp; "US" &amp; $B5</f>
        <v>FCUSGB</v>
      </c>
      <c r="AC5" s="48" t="str">
        <f>AB5 &amp; " " &amp; AC$2 &amp; " INDEX"</f>
        <v>FCUSGB Q418 INDEX</v>
      </c>
      <c r="AD5" s="48" t="s">
        <v>663</v>
      </c>
      <c r="AE5" s="46">
        <v>1.3</v>
      </c>
      <c r="AG5" s="43" t="s">
        <v>381</v>
      </c>
      <c r="AH5" s="46">
        <v>0.1</v>
      </c>
      <c r="AI5" s="46">
        <v>-0.65</v>
      </c>
      <c r="AJ5" s="46">
        <v>-0.65</v>
      </c>
      <c r="AK5" s="46">
        <v>-0.15</v>
      </c>
      <c r="AL5" s="46">
        <v>0</v>
      </c>
      <c r="AN5" s="46" t="str">
        <f>AN$2 &amp; $B5</f>
        <v>ECCBGB</v>
      </c>
      <c r="AO5" s="48" t="str">
        <f ca="1">AN5 &amp; " " &amp; AO$2 &amp; " INDEX"</f>
        <v>ECCBGB Q321 INDEX</v>
      </c>
      <c r="AP5" s="46">
        <v>0.1</v>
      </c>
      <c r="AR5" s="48" t="str">
        <f t="shared" ca="1" si="0"/>
        <v>ECCBGB Q421 INDEX</v>
      </c>
      <c r="AS5" s="46">
        <v>0.1</v>
      </c>
      <c r="AU5" s="48" t="str">
        <f t="shared" ref="AU5:AU45" ca="1" si="3">AN5 &amp; " " &amp; AU$2 &amp; " INDEX"</f>
        <v>ECCBGB Q122 INDEX</v>
      </c>
      <c r="AV5" s="46">
        <v>0.05</v>
      </c>
      <c r="AX5" s="48" t="str">
        <f t="shared" ref="AX5:AX45" ca="1" si="4">AN5 &amp; " " &amp; AX$2 &amp; " INDEX"</f>
        <v>ECCBGB Q222 INDEX</v>
      </c>
      <c r="AY5" s="46">
        <v>0.1</v>
      </c>
      <c r="BA5" s="48" t="str">
        <f t="shared" ref="BA5:BA45" ca="1" si="5">AN5 &amp; " " &amp; BA$2 &amp; " INDEX"</f>
        <v>ECCBGB Q322 INDEX</v>
      </c>
      <c r="BB5" s="46">
        <v>0.1</v>
      </c>
      <c r="BD5" t="s">
        <v>382</v>
      </c>
      <c r="BH5" s="32" t="s">
        <v>383</v>
      </c>
      <c r="BI5" s="46">
        <v>0.8</v>
      </c>
      <c r="BJ5" s="46">
        <v>-1.3</v>
      </c>
      <c r="BK5" s="46">
        <v>-0.7</v>
      </c>
      <c r="BL5" s="46">
        <v>-1</v>
      </c>
      <c r="BM5" s="46">
        <v>-0.7</v>
      </c>
      <c r="BO5" s="46" t="str">
        <f>BO$2 &amp; $B5</f>
        <v>ECPIGB</v>
      </c>
      <c r="BP5" s="48" t="str">
        <f ca="1">BO5 &amp; " " &amp; BP$2 &amp; " INDEX"</f>
        <v>ECPIGB Q321 INDEX</v>
      </c>
      <c r="BQ5" s="46">
        <v>0.7</v>
      </c>
      <c r="BS5" s="48" t="str">
        <f t="shared" ca="1" si="1"/>
        <v>ECPIGB Q421 INDEX</v>
      </c>
      <c r="BT5" s="46">
        <v>0.5</v>
      </c>
      <c r="BV5" s="48" t="str">
        <f t="shared" ref="BV5:BV45" ca="1" si="6">BO5 &amp; " " &amp; BV$2 &amp; " INDEX"</f>
        <v>ECPIGB Q122 INDEX</v>
      </c>
      <c r="BW5" s="46">
        <v>0.7</v>
      </c>
      <c r="BY5" s="48" t="str">
        <f t="shared" ref="BY5:BY45" ca="1" si="7">BO5 &amp; " " &amp; BY$2 &amp; " INDEX"</f>
        <v>ECPIGB Q222 INDEX</v>
      </c>
      <c r="BZ5" s="46">
        <v>0.6</v>
      </c>
      <c r="CB5" s="48" t="str">
        <f t="shared" ref="CB5:CB45" ca="1" si="8">BO5 &amp; " " &amp; CB$2 &amp; " INDEX"</f>
        <v>ECPIGB Q322 INDEX</v>
      </c>
      <c r="CC5" s="46">
        <v>1.35</v>
      </c>
      <c r="CE5" s="48" t="str">
        <f t="shared" ref="CE5:CE45" ca="1" si="9">BO5 &amp; " " &amp; CE$2 &amp; " INDEX"</f>
        <v>ECPIGB 21 INDEX</v>
      </c>
      <c r="CF5" s="46">
        <v>0.9</v>
      </c>
      <c r="CH5" s="48" t="str">
        <f t="shared" ref="CH5:CH45" ca="1" si="10">BO5 &amp; " " &amp; CH$2 &amp; " INDEX"</f>
        <v>ECPIGB 22 INDEX</v>
      </c>
      <c r="CI5" s="46">
        <v>1.5</v>
      </c>
      <c r="CK5" s="48" t="str">
        <f t="shared" ref="CK5:CK45" ca="1" si="11">BO5 &amp; " " &amp; CK$2 &amp; " INDEX"</f>
        <v>ECPIGB 23 INDEX</v>
      </c>
      <c r="CL5" s="46">
        <v>1.8</v>
      </c>
      <c r="CN5" s="32" t="s">
        <v>162</v>
      </c>
      <c r="CO5" s="46">
        <v>-1.6</v>
      </c>
      <c r="CP5" s="46">
        <v>1.1000000000000001</v>
      </c>
      <c r="CQ5" s="46">
        <v>1.3</v>
      </c>
      <c r="CR5" s="46">
        <v>1.3</v>
      </c>
      <c r="CS5" s="46">
        <v>2</v>
      </c>
      <c r="CU5" s="46" t="str">
        <f>CU$2 &amp; $B5</f>
        <v>ECGDGB</v>
      </c>
      <c r="CV5" s="48" t="str">
        <f t="shared" ref="CV5:CV45" ca="1" si="12">CU5 &amp; " " &amp; CV$2 &amp; " INDEX"</f>
        <v>ECGDGB Q321 INDEX</v>
      </c>
      <c r="CW5" s="46">
        <v>-15.4</v>
      </c>
      <c r="CY5" s="48" t="str">
        <f t="shared" ref="CY5:CY45" ca="1" si="13">CU5 &amp; " " &amp; CY$2 &amp; " INDEX"</f>
        <v>ECGDGB Q421 INDEX</v>
      </c>
      <c r="CZ5" s="46">
        <v>-7.9</v>
      </c>
      <c r="DB5" s="48" t="str">
        <f t="shared" ref="DB5:DB45" ca="1" si="14">CU5 &amp; " " &amp; DB$2 &amp; " INDEX"</f>
        <v>ECGDGB Q122 INDEX</v>
      </c>
      <c r="DC5" s="46">
        <v>-5.2</v>
      </c>
      <c r="DE5" s="48" t="str">
        <f t="shared" ref="DE5:DE45" ca="1" si="15">CU5 &amp; " " &amp; DE$2 &amp; " INDEX"</f>
        <v>ECGDGB Q222 INDEX</v>
      </c>
      <c r="DF5" s="46">
        <v>-1.6</v>
      </c>
      <c r="DH5" s="48" t="str">
        <f t="shared" ref="DH5:DH45" ca="1" si="16">CU5 &amp; " " &amp; DH$2 &amp; " INDEX"</f>
        <v>ECGDGB Q322 INDEX</v>
      </c>
      <c r="DI5" s="46">
        <v>15.8</v>
      </c>
      <c r="DK5" s="48" t="str">
        <f t="shared" ref="DK5:DK45" ca="1" si="17">CU5 &amp; " " &amp; DK$2 &amp; " INDEX"</f>
        <v>ECGDGB 21 INDEX</v>
      </c>
      <c r="DL5" s="46">
        <v>-7.9</v>
      </c>
      <c r="DN5" s="48" t="str">
        <f t="shared" ref="DN5:DN45" ca="1" si="18">CU5 &amp; " " &amp; DN$2 &amp; " INDEX"</f>
        <v>ECGDGB 22 INDEX</v>
      </c>
      <c r="DO5" s="46">
        <v>5.5</v>
      </c>
      <c r="DQ5" s="48" t="str">
        <f t="shared" ref="DQ5:DQ45" ca="1" si="19">CU5 &amp; " " &amp; DQ$2 &amp; " INDEX"</f>
        <v>ECGDGB 23 INDEX</v>
      </c>
      <c r="DR5" s="46">
        <v>2.4500000000000002</v>
      </c>
      <c r="DT5" t="s">
        <v>104</v>
      </c>
      <c r="DU5" s="46">
        <v>40.700000000000003</v>
      </c>
      <c r="DV5" s="46">
        <v>32.6</v>
      </c>
      <c r="DW5" s="46">
        <v>51.7</v>
      </c>
      <c r="DX5" s="46">
        <v>48.9</v>
      </c>
      <c r="DY5" s="46">
        <v>49.4</v>
      </c>
      <c r="EA5" t="s">
        <v>105</v>
      </c>
      <c r="EB5">
        <v>29</v>
      </c>
      <c r="EC5">
        <v>13.4</v>
      </c>
      <c r="ED5">
        <v>53.2</v>
      </c>
      <c r="EE5">
        <v>49.3</v>
      </c>
      <c r="EF5" s="46">
        <v>51</v>
      </c>
      <c r="EG5"/>
      <c r="EH5" s="13" t="s">
        <v>918</v>
      </c>
      <c r="EI5" s="11">
        <v>3.9</v>
      </c>
      <c r="EJ5" s="11">
        <v>-0.1</v>
      </c>
      <c r="EK5" s="11">
        <v>0.1</v>
      </c>
      <c r="EL5" s="11">
        <v>0.1</v>
      </c>
      <c r="EM5" s="11">
        <v>0.1</v>
      </c>
      <c r="EN5" s="11"/>
      <c r="EO5" s="13" t="str">
        <f>"OE" &amp; B5 &amp; "KLAC Index"</f>
        <v>OEGBKLAC Index</v>
      </c>
      <c r="EP5" s="13" t="s">
        <v>1126</v>
      </c>
      <c r="EQ5" s="11">
        <v>92.512500000000003</v>
      </c>
      <c r="ER5" s="11">
        <v>-5.5147000000000004</v>
      </c>
      <c r="ES5" s="11">
        <v>-7.0144000000000002</v>
      </c>
      <c r="ET5" s="11">
        <v>-6.3983999999999996</v>
      </c>
      <c r="EU5" s="11">
        <v>-6.2915999999999999</v>
      </c>
      <c r="EV5"/>
      <c r="EW5" s="13" t="s">
        <v>1030</v>
      </c>
      <c r="EX5" s="13" t="s">
        <v>1056</v>
      </c>
      <c r="EY5" s="11">
        <v>4.4000000000000004</v>
      </c>
      <c r="EZ5"/>
      <c r="FA5" t="s">
        <v>966</v>
      </c>
      <c r="FB5" s="11">
        <v>-24.4</v>
      </c>
      <c r="FC5" s="11">
        <v>-8.1999999999999993</v>
      </c>
      <c r="FD5" s="11">
        <v>-3.1</v>
      </c>
      <c r="FE5" s="11">
        <v>-1.7</v>
      </c>
      <c r="FF5" s="11">
        <v>-2.1</v>
      </c>
      <c r="FG5"/>
      <c r="FH5" s="33" t="s">
        <v>384</v>
      </c>
      <c r="FI5" s="46">
        <v>2855.297</v>
      </c>
      <c r="FK5" t="s">
        <v>385</v>
      </c>
      <c r="FL5" t="s">
        <v>990</v>
      </c>
      <c r="FM5" s="11">
        <v>-2.1</v>
      </c>
      <c r="FN5"/>
      <c r="FO5" s="46" t="str">
        <f t="shared" ref="FO5:FO45" si="20">FO$2 &amp; $B5</f>
        <v>EHCAGB</v>
      </c>
      <c r="FP5" t="str">
        <f t="shared" ref="FP5:FP45" si="21">FO5 &amp; " Index"</f>
        <v>EHCAGB Index</v>
      </c>
      <c r="FQ5" s="11">
        <v>-3.7800000000000002</v>
      </c>
      <c r="FR5" s="11">
        <v>-4.7699999999999996</v>
      </c>
      <c r="FS5" s="11">
        <v>-4.79</v>
      </c>
      <c r="FT5" s="11">
        <v>-4.63</v>
      </c>
      <c r="FU5" s="11">
        <v>-3.86</v>
      </c>
      <c r="FV5"/>
      <c r="FW5" t="s">
        <v>386</v>
      </c>
      <c r="FX5" t="s">
        <v>1023</v>
      </c>
      <c r="FY5">
        <v>73.89</v>
      </c>
      <c r="FZ5"/>
      <c r="GA5" t="str">
        <f t="shared" ref="GA5:GA45" si="22">GA$2 &amp; $B5 &amp; "B Index"</f>
        <v>TAYLGBB Index</v>
      </c>
      <c r="GB5" t="s">
        <v>1092</v>
      </c>
      <c r="GC5">
        <v>5.7</v>
      </c>
      <c r="GE5" s="43" t="str">
        <f>GE$2 &amp; $U5 &amp; " Index"</f>
        <v>CESIGBP Index</v>
      </c>
      <c r="GF5" s="44">
        <v>-50</v>
      </c>
      <c r="GG5" s="44">
        <v>-51</v>
      </c>
      <c r="GH5" s="44">
        <v>-64.86</v>
      </c>
      <c r="GJ5" s="43" t="str">
        <f t="shared" ref="GJ5:GJ45" si="23">GJ$2 &amp; $U5 &amp; " Index"</f>
        <v>CSIIGBP Index</v>
      </c>
      <c r="GK5" s="44">
        <v>-21.98</v>
      </c>
      <c r="GL5" s="44">
        <v>-19.82</v>
      </c>
      <c r="GM5" s="44">
        <v>-6.89</v>
      </c>
      <c r="GO5" s="43" t="s">
        <v>651</v>
      </c>
    </row>
    <row r="6" spans="1:210" x14ac:dyDescent="0.35">
      <c r="A6" s="43" t="s">
        <v>18</v>
      </c>
      <c r="B6" s="44" t="s">
        <v>9</v>
      </c>
      <c r="H6" s="50" t="s">
        <v>169</v>
      </c>
      <c r="I6" s="44">
        <v>-0.65100000000000002</v>
      </c>
      <c r="K6" s="50" t="s">
        <v>775</v>
      </c>
      <c r="L6" s="44">
        <v>-0.63500000000000001</v>
      </c>
      <c r="N6" s="50" t="s">
        <v>160</v>
      </c>
      <c r="O6" s="44">
        <v>-0.41599999999999998</v>
      </c>
      <c r="Q6" s="50" t="s">
        <v>165</v>
      </c>
      <c r="R6" s="50" t="s">
        <v>1106</v>
      </c>
      <c r="S6" s="44">
        <v>-0.877</v>
      </c>
      <c r="U6" s="44" t="s">
        <v>178</v>
      </c>
      <c r="V6" s="50" t="str">
        <f t="shared" si="2"/>
        <v>EUR Curncy</v>
      </c>
      <c r="W6" s="46">
        <v>1.1294999999999999</v>
      </c>
      <c r="Y6" s="50" t="str">
        <f t="shared" ref="Y6:Y45" si="24">U6 &amp; Y$2 &amp; " Curncy"</f>
        <v>EURUSD Curncy</v>
      </c>
      <c r="Z6" s="46">
        <v>1.1294999999999999</v>
      </c>
      <c r="AB6" s="46" t="str">
        <f t="shared" ref="AB6:AB45" si="25">AB$2 &amp; "US" &amp; $B6</f>
        <v>FCUSEU</v>
      </c>
      <c r="AC6" s="48" t="str">
        <f t="shared" ref="AC6:AC45" si="26">AB6 &amp; " " &amp; AC$2 &amp; " INDEX"</f>
        <v>FCUSEU Q418 INDEX</v>
      </c>
      <c r="AD6" s="48" t="s">
        <v>664</v>
      </c>
      <c r="AE6" s="46">
        <v>1.1499999999999999</v>
      </c>
      <c r="AG6" s="43" t="s">
        <v>387</v>
      </c>
      <c r="AH6" s="46">
        <v>0</v>
      </c>
      <c r="AI6" s="46">
        <v>0</v>
      </c>
      <c r="AJ6" s="46">
        <v>0</v>
      </c>
      <c r="AK6" s="46">
        <v>0</v>
      </c>
      <c r="AL6" s="46">
        <v>0</v>
      </c>
      <c r="AN6" s="46" t="str">
        <f t="shared" ref="AN6:AN45" si="27">AN$2 &amp; $B6</f>
        <v>ECCBEU</v>
      </c>
      <c r="AO6" s="48" t="str">
        <f t="shared" ref="AO6:AO45" ca="1" si="28">AN6 &amp; " " &amp; AO$2 &amp; " INDEX"</f>
        <v>ECCBEU Q321 INDEX</v>
      </c>
      <c r="AP6" s="46">
        <v>0</v>
      </c>
      <c r="AR6" s="48" t="str">
        <f t="shared" ca="1" si="0"/>
        <v>ECCBEU Q421 INDEX</v>
      </c>
      <c r="AS6" s="46">
        <v>0</v>
      </c>
      <c r="AU6" s="48" t="str">
        <f t="shared" ca="1" si="3"/>
        <v>ECCBEU Q122 INDEX</v>
      </c>
      <c r="AV6" s="46">
        <v>0</v>
      </c>
      <c r="AX6" s="48" t="str">
        <f t="shared" ca="1" si="4"/>
        <v>ECCBEU Q222 INDEX</v>
      </c>
      <c r="AY6" s="46">
        <v>0</v>
      </c>
      <c r="BA6" s="48" t="str">
        <f t="shared" ca="1" si="5"/>
        <v>ECCBEU Q322 INDEX</v>
      </c>
      <c r="BB6" s="46">
        <v>0</v>
      </c>
      <c r="BD6" t="s">
        <v>388</v>
      </c>
      <c r="BE6" s="48" t="s">
        <v>701</v>
      </c>
      <c r="BF6" s="46">
        <v>-0.46300000000000002</v>
      </c>
      <c r="BH6" s="32" t="s">
        <v>166</v>
      </c>
      <c r="BI6" s="46">
        <v>0.1</v>
      </c>
      <c r="BJ6" s="46">
        <v>-1.1000000000000001</v>
      </c>
      <c r="BK6" s="46">
        <v>-0.9</v>
      </c>
      <c r="BL6" s="46">
        <v>-1.1000000000000001</v>
      </c>
      <c r="BM6" s="46">
        <v>-0.2</v>
      </c>
      <c r="BO6" s="46" t="str">
        <f t="shared" ref="BO6:BO45" si="29">BO$2 &amp; $B6</f>
        <v>ECPIEU</v>
      </c>
      <c r="BP6" s="48" t="str">
        <f t="shared" ref="BP6:BP45" ca="1" si="30">BO6 &amp; " " &amp; BP$2 &amp; " INDEX"</f>
        <v>ECPIEU Q321 INDEX</v>
      </c>
      <c r="BQ6" s="46">
        <v>0</v>
      </c>
      <c r="BS6" s="48" t="str">
        <f t="shared" ca="1" si="1"/>
        <v>ECPIEU Q421 INDEX</v>
      </c>
      <c r="BT6" s="46">
        <v>0.1</v>
      </c>
      <c r="BV6" s="48" t="str">
        <f t="shared" ca="1" si="6"/>
        <v>ECPIEU Q122 INDEX</v>
      </c>
      <c r="BW6" s="46">
        <v>0.2</v>
      </c>
      <c r="BY6" s="48" t="str">
        <f t="shared" ca="1" si="7"/>
        <v>ECPIEU Q222 INDEX</v>
      </c>
      <c r="BZ6" s="46">
        <v>0.45</v>
      </c>
      <c r="CB6" s="48" t="str">
        <f t="shared" ca="1" si="8"/>
        <v>ECPIEU Q322 INDEX</v>
      </c>
      <c r="CC6" s="46">
        <v>1.2</v>
      </c>
      <c r="CE6" s="48" t="str">
        <f t="shared" ca="1" si="9"/>
        <v>ECPIEU 21 INDEX</v>
      </c>
      <c r="CF6" s="46">
        <v>0.4</v>
      </c>
      <c r="CH6" s="48" t="str">
        <f t="shared" ca="1" si="10"/>
        <v>ECPIEU 22 INDEX</v>
      </c>
      <c r="CI6" s="46">
        <v>1.1000000000000001</v>
      </c>
      <c r="CK6" s="48" t="str">
        <f t="shared" ca="1" si="11"/>
        <v>ECPIEU 23 INDEX</v>
      </c>
      <c r="CL6" s="46">
        <v>1.4</v>
      </c>
      <c r="CN6" s="32" t="s">
        <v>164</v>
      </c>
      <c r="CO6" s="46">
        <v>-3.1</v>
      </c>
      <c r="CP6" s="46">
        <v>1</v>
      </c>
      <c r="CQ6" s="46">
        <v>1.3</v>
      </c>
      <c r="CR6" s="46">
        <v>1.2</v>
      </c>
      <c r="CS6" s="46">
        <v>1.5</v>
      </c>
      <c r="CU6" s="46" t="str">
        <f t="shared" ref="CU6:CU45" si="31">CU$2 &amp; $B6</f>
        <v>ECGDEU</v>
      </c>
      <c r="CV6" s="48" t="str">
        <f t="shared" ca="1" si="12"/>
        <v>ECGDEU Q321 INDEX</v>
      </c>
      <c r="CW6" s="46">
        <v>-14.2</v>
      </c>
      <c r="CY6" s="48" t="str">
        <f t="shared" ca="1" si="13"/>
        <v>ECGDEU Q421 INDEX</v>
      </c>
      <c r="CZ6" s="46">
        <v>-7.8</v>
      </c>
      <c r="DB6" s="48" t="str">
        <f t="shared" ca="1" si="14"/>
        <v>ECGDEU Q122 INDEX</v>
      </c>
      <c r="DC6" s="46">
        <v>-5.0999999999999996</v>
      </c>
      <c r="DE6" s="48" t="str">
        <f t="shared" ca="1" si="15"/>
        <v>ECGDEU Q222 INDEX</v>
      </c>
      <c r="DF6" s="46">
        <v>0.05</v>
      </c>
      <c r="DH6" s="48" t="str">
        <f t="shared" ca="1" si="16"/>
        <v>ECGDEU Q322 INDEX</v>
      </c>
      <c r="DI6" s="46">
        <v>13.6</v>
      </c>
      <c r="DK6" s="48" t="str">
        <f t="shared" ca="1" si="17"/>
        <v>ECGDEU 21 INDEX</v>
      </c>
      <c r="DL6" s="46">
        <v>-7.75</v>
      </c>
      <c r="DN6" s="48" t="str">
        <f t="shared" ca="1" si="18"/>
        <v>ECGDEU 22 INDEX</v>
      </c>
      <c r="DO6" s="46">
        <v>5.2</v>
      </c>
      <c r="DQ6" s="48" t="str">
        <f t="shared" ca="1" si="19"/>
        <v>ECGDEU 23 INDEX</v>
      </c>
      <c r="DR6" s="46">
        <v>1.75</v>
      </c>
      <c r="DT6" t="s">
        <v>111</v>
      </c>
      <c r="DU6" s="46">
        <v>39.4</v>
      </c>
      <c r="DV6" s="46">
        <v>33.4</v>
      </c>
      <c r="DW6" s="46">
        <v>49.2</v>
      </c>
      <c r="DX6" s="46">
        <v>46.9</v>
      </c>
      <c r="DY6" s="46">
        <v>47.7</v>
      </c>
      <c r="EA6" t="s">
        <v>112</v>
      </c>
      <c r="EB6">
        <v>30.5</v>
      </c>
      <c r="EC6">
        <v>12</v>
      </c>
      <c r="ED6">
        <v>52.6</v>
      </c>
      <c r="EE6">
        <v>51.9</v>
      </c>
      <c r="EF6" s="46">
        <v>52.9</v>
      </c>
      <c r="EG6"/>
      <c r="EH6" s="13" t="s">
        <v>889</v>
      </c>
      <c r="EI6" s="11">
        <v>7.3</v>
      </c>
      <c r="EJ6" s="11">
        <v>0.2</v>
      </c>
      <c r="EK6" s="11">
        <v>0</v>
      </c>
      <c r="EL6" s="11">
        <v>-0.1</v>
      </c>
      <c r="EM6" s="11">
        <v>-0.3</v>
      </c>
      <c r="EN6" s="11"/>
      <c r="EO6" s="42" t="s">
        <v>1124</v>
      </c>
      <c r="EP6" s="13" t="s">
        <v>1127</v>
      </c>
      <c r="EQ6" s="11">
        <v>95.031800000000004</v>
      </c>
      <c r="ER6" s="11">
        <v>-2.0301999999999998</v>
      </c>
      <c r="ES6" s="11">
        <v>-4.4036999999999997</v>
      </c>
      <c r="ET6" s="11">
        <v>-4.4268000000000001</v>
      </c>
      <c r="EU6" s="11">
        <v>-4.5427</v>
      </c>
      <c r="EV6"/>
      <c r="EW6" s="13" t="s">
        <v>1045</v>
      </c>
      <c r="EX6" s="13" t="s">
        <v>1057</v>
      </c>
      <c r="EY6" s="11">
        <v>7.9415500000000003</v>
      </c>
      <c r="EZ6"/>
      <c r="FA6" t="s">
        <v>937</v>
      </c>
      <c r="FB6" s="11">
        <v>-15.2</v>
      </c>
      <c r="FC6" s="11">
        <v>-1.6</v>
      </c>
      <c r="FD6" s="11">
        <v>-3.3</v>
      </c>
      <c r="FE6" s="11">
        <v>-1.6</v>
      </c>
      <c r="FF6" s="11">
        <v>0.1</v>
      </c>
      <c r="FG6"/>
      <c r="FH6" s="33" t="s">
        <v>389</v>
      </c>
      <c r="FI6" s="46">
        <v>13646.588</v>
      </c>
      <c r="FK6" t="s">
        <v>390</v>
      </c>
      <c r="FL6" t="s">
        <v>991</v>
      </c>
      <c r="FM6" s="11">
        <v>-0.6</v>
      </c>
      <c r="FN6"/>
      <c r="FO6" s="46" t="str">
        <f t="shared" si="20"/>
        <v>EHCAEU</v>
      </c>
      <c r="FP6" t="str">
        <f t="shared" si="21"/>
        <v>EHCAEU Index</v>
      </c>
      <c r="FQ6" s="11">
        <v>2.83</v>
      </c>
      <c r="FR6" s="11">
        <v>2.69</v>
      </c>
      <c r="FS6" s="11">
        <v>2.66</v>
      </c>
      <c r="FT6" s="11">
        <v>2.52</v>
      </c>
      <c r="FU6" s="11">
        <v>2.98</v>
      </c>
      <c r="FV6"/>
      <c r="FW6" t="s">
        <v>391</v>
      </c>
      <c r="FX6" t="s">
        <v>1023</v>
      </c>
      <c r="FY6">
        <v>62.709000000000003</v>
      </c>
      <c r="FZ6"/>
      <c r="GA6" s="35" t="s">
        <v>1089</v>
      </c>
      <c r="GB6" t="s">
        <v>1092</v>
      </c>
      <c r="GC6">
        <v>3.8</v>
      </c>
      <c r="GE6" s="43" t="str">
        <f>GE$2 &amp; $U6 &amp; " Index"</f>
        <v>CESIEUR Index</v>
      </c>
      <c r="GF6" s="44">
        <v>-220.2</v>
      </c>
      <c r="GG6" s="44">
        <v>-215.48</v>
      </c>
      <c r="GH6" s="44">
        <v>-264.39</v>
      </c>
      <c r="GJ6" s="43" t="str">
        <f t="shared" si="23"/>
        <v>CSIIEUR Index</v>
      </c>
      <c r="GK6" s="44">
        <v>-12.93</v>
      </c>
      <c r="GL6" s="44">
        <v>-11.17</v>
      </c>
      <c r="GM6" s="44">
        <v>-15.56</v>
      </c>
      <c r="GO6" s="43" t="s">
        <v>651</v>
      </c>
    </row>
    <row r="7" spans="1:210" x14ac:dyDescent="0.35">
      <c r="A7" s="51" t="s">
        <v>19</v>
      </c>
      <c r="B7" s="44" t="s">
        <v>20</v>
      </c>
      <c r="H7" s="50" t="s">
        <v>169</v>
      </c>
      <c r="I7" s="44">
        <v>-0.65100000000000002</v>
      </c>
      <c r="K7" s="50" t="s">
        <v>775</v>
      </c>
      <c r="L7" s="44">
        <v>-0.63500000000000001</v>
      </c>
      <c r="N7" s="50" t="s">
        <v>160</v>
      </c>
      <c r="O7" s="44">
        <v>-0.41599999999999998</v>
      </c>
      <c r="Q7" s="50" t="s">
        <v>645</v>
      </c>
      <c r="R7" s="50" t="s">
        <v>1107</v>
      </c>
      <c r="S7" s="44">
        <v>0.56999999999999995</v>
      </c>
      <c r="U7" s="44" t="s">
        <v>178</v>
      </c>
      <c r="V7" s="50" t="str">
        <f t="shared" si="2"/>
        <v>EUR Curncy</v>
      </c>
      <c r="W7" s="46">
        <v>1.1294999999999999</v>
      </c>
      <c r="Y7" s="50" t="str">
        <f t="shared" si="24"/>
        <v>EURUSD Curncy</v>
      </c>
      <c r="Z7" s="46">
        <v>1.1294999999999999</v>
      </c>
      <c r="AB7" s="46" t="str">
        <f t="shared" si="25"/>
        <v>FCUSDE</v>
      </c>
      <c r="AC7" s="48" t="str">
        <f t="shared" si="26"/>
        <v>FCUSDE Q418 INDEX</v>
      </c>
      <c r="AG7" s="43" t="s">
        <v>387</v>
      </c>
      <c r="AH7" s="46">
        <v>0</v>
      </c>
      <c r="AI7" s="46">
        <v>0</v>
      </c>
      <c r="AJ7" s="46">
        <v>0</v>
      </c>
      <c r="AK7" s="46">
        <v>0</v>
      </c>
      <c r="AL7" s="46">
        <v>0</v>
      </c>
      <c r="AN7" s="46" t="str">
        <f t="shared" si="27"/>
        <v>ECCBDE</v>
      </c>
      <c r="AO7" s="48" t="str">
        <f t="shared" ca="1" si="28"/>
        <v>ECCBDE Q321 INDEX</v>
      </c>
      <c r="AR7" s="48" t="str">
        <f t="shared" ca="1" si="0"/>
        <v>ECCBDE Q421 INDEX</v>
      </c>
      <c r="AU7" s="48" t="str">
        <f t="shared" ca="1" si="3"/>
        <v>ECCBDE Q122 INDEX</v>
      </c>
      <c r="AX7" s="48" t="str">
        <f t="shared" ca="1" si="4"/>
        <v>ECCBDE Q222 INDEX</v>
      </c>
      <c r="BA7" s="48" t="str">
        <f t="shared" ca="1" si="5"/>
        <v>ECCBDE Q322 INDEX</v>
      </c>
      <c r="BD7" t="s">
        <v>388</v>
      </c>
      <c r="BE7" s="48" t="s">
        <v>701</v>
      </c>
      <c r="BF7" s="46">
        <v>-0.46300000000000002</v>
      </c>
      <c r="BH7" s="32" t="s">
        <v>393</v>
      </c>
      <c r="BI7" s="46">
        <v>0.6</v>
      </c>
      <c r="BJ7" s="46">
        <v>-0.8</v>
      </c>
      <c r="BK7" s="46">
        <v>-0.5</v>
      </c>
      <c r="BL7" s="46">
        <v>-1.1000000000000001</v>
      </c>
      <c r="BM7" s="46">
        <v>-0.3</v>
      </c>
      <c r="BO7" s="46" t="str">
        <f t="shared" si="29"/>
        <v>ECPIDE</v>
      </c>
      <c r="BP7" s="48" t="str">
        <f t="shared" ca="1" si="30"/>
        <v>ECPIDE Q321 INDEX</v>
      </c>
      <c r="BQ7" s="46">
        <v>0.5</v>
      </c>
      <c r="BS7" s="48" t="str">
        <f t="shared" ca="1" si="1"/>
        <v>ECPIDE Q421 INDEX</v>
      </c>
      <c r="BT7" s="46">
        <v>0.55000000000000004</v>
      </c>
      <c r="BV7" s="48" t="str">
        <f t="shared" ca="1" si="6"/>
        <v>ECPIDE Q122 INDEX</v>
      </c>
      <c r="BW7" s="46">
        <v>0.5</v>
      </c>
      <c r="BY7" s="48" t="str">
        <f t="shared" ca="1" si="7"/>
        <v>ECPIDE Q222 INDEX</v>
      </c>
      <c r="BZ7" s="46">
        <v>1</v>
      </c>
      <c r="CB7" s="48" t="str">
        <f t="shared" ca="1" si="8"/>
        <v>ECPIDE Q322 INDEX</v>
      </c>
      <c r="CC7" s="46">
        <v>1.4</v>
      </c>
      <c r="CE7" s="48" t="str">
        <f t="shared" ca="1" si="9"/>
        <v>ECPIDE 21 INDEX</v>
      </c>
      <c r="CF7" s="46">
        <v>0.7</v>
      </c>
      <c r="CH7" s="48" t="str">
        <f t="shared" ca="1" si="10"/>
        <v>ECPIDE 22 INDEX</v>
      </c>
      <c r="CI7" s="46">
        <v>1.4</v>
      </c>
      <c r="CK7" s="48" t="str">
        <f t="shared" ca="1" si="11"/>
        <v>ECPIDE 23 INDEX</v>
      </c>
      <c r="CL7" s="46">
        <v>1.6</v>
      </c>
      <c r="CN7" s="32" t="s">
        <v>392</v>
      </c>
      <c r="CO7" s="46">
        <v>-2.2999999999999998</v>
      </c>
      <c r="CP7" s="46">
        <v>0.4</v>
      </c>
      <c r="CQ7" s="46">
        <v>0.7</v>
      </c>
      <c r="CR7" s="46">
        <v>0.3</v>
      </c>
      <c r="CS7" s="46">
        <v>1</v>
      </c>
      <c r="CU7" s="46" t="str">
        <f t="shared" si="31"/>
        <v>ECGDDE</v>
      </c>
      <c r="CV7" s="48" t="str">
        <f t="shared" ca="1" si="12"/>
        <v>ECGDDE Q321 INDEX</v>
      </c>
      <c r="CW7" s="46">
        <v>-11.2</v>
      </c>
      <c r="CY7" s="48" t="str">
        <f t="shared" ca="1" si="13"/>
        <v>ECGDDE Q421 INDEX</v>
      </c>
      <c r="CZ7" s="46">
        <v>-6.9</v>
      </c>
      <c r="DB7" s="48" t="str">
        <f t="shared" ca="1" si="14"/>
        <v>ECGDDE Q122 INDEX</v>
      </c>
      <c r="DC7" s="46">
        <v>-4.2</v>
      </c>
      <c r="DE7" s="48" t="str">
        <f t="shared" ca="1" si="15"/>
        <v>ECGDDE Q222 INDEX</v>
      </c>
      <c r="DF7" s="46">
        <v>-1.1000000000000001</v>
      </c>
      <c r="DH7" s="48" t="str">
        <f t="shared" ca="1" si="16"/>
        <v>ECGDDE Q322 INDEX</v>
      </c>
      <c r="DI7" s="46">
        <v>10.6</v>
      </c>
      <c r="DK7" s="48" t="str">
        <f t="shared" ca="1" si="17"/>
        <v>ECGDDE 21 INDEX</v>
      </c>
      <c r="DL7" s="46">
        <v>-6.3</v>
      </c>
      <c r="DN7" s="48" t="str">
        <f t="shared" ca="1" si="18"/>
        <v>ECGDDE 22 INDEX</v>
      </c>
      <c r="DO7" s="46">
        <v>4.9000000000000004</v>
      </c>
      <c r="DQ7" s="48" t="str">
        <f t="shared" ca="1" si="19"/>
        <v>ECGDDE 23 INDEX</v>
      </c>
      <c r="DR7" s="46">
        <v>2</v>
      </c>
      <c r="DT7" t="s">
        <v>114</v>
      </c>
      <c r="DU7" s="46">
        <v>36.6</v>
      </c>
      <c r="DV7" s="46">
        <v>34.5</v>
      </c>
      <c r="DW7" s="46">
        <v>48</v>
      </c>
      <c r="DX7" s="46">
        <v>44.1</v>
      </c>
      <c r="DY7" s="46">
        <v>44.3</v>
      </c>
      <c r="EA7" t="s">
        <v>115</v>
      </c>
      <c r="EB7">
        <v>32.6</v>
      </c>
      <c r="EC7">
        <v>16.2</v>
      </c>
      <c r="ED7">
        <v>52.5</v>
      </c>
      <c r="EE7">
        <v>51.7</v>
      </c>
      <c r="EF7" s="46">
        <v>55.4</v>
      </c>
      <c r="EG7"/>
      <c r="EH7" s="13" t="s">
        <v>892</v>
      </c>
      <c r="EI7" s="11">
        <v>5.3</v>
      </c>
      <c r="EJ7" s="11">
        <v>0</v>
      </c>
      <c r="EK7" s="11">
        <v>2</v>
      </c>
      <c r="EL7" s="11">
        <v>2.1</v>
      </c>
      <c r="EM7" s="11">
        <v>2.2000000000000002</v>
      </c>
      <c r="EN7" s="11"/>
      <c r="EO7" s="13" t="str">
        <f>"OE" &amp; B7 &amp; "KLAC Index"</f>
        <v>OEDEKLAC Index</v>
      </c>
      <c r="EP7" s="13" t="s">
        <v>1128</v>
      </c>
      <c r="EQ7" s="11">
        <v>93.643299999999996</v>
      </c>
      <c r="ER7" s="11">
        <v>-3.2597</v>
      </c>
      <c r="ES7" s="11">
        <v>-5.5894000000000004</v>
      </c>
      <c r="ET7" s="11">
        <v>-5.3330000000000002</v>
      </c>
      <c r="EU7" s="11">
        <v>-5.5701999999999998</v>
      </c>
      <c r="EV7"/>
      <c r="EW7" s="13" t="s">
        <v>1027</v>
      </c>
      <c r="EX7" s="13" t="s">
        <v>1058</v>
      </c>
      <c r="EY7" s="11">
        <v>3.7</v>
      </c>
      <c r="EZ7"/>
      <c r="FA7" t="s">
        <v>940</v>
      </c>
      <c r="FB7" s="11">
        <v>-25.3</v>
      </c>
      <c r="FC7" s="11">
        <v>-11.3</v>
      </c>
      <c r="FD7" s="11">
        <v>-1.5</v>
      </c>
      <c r="FE7" s="11">
        <v>-4.5</v>
      </c>
      <c r="FF7" s="11">
        <v>-2.5</v>
      </c>
      <c r="FG7"/>
      <c r="FH7" s="33" t="s">
        <v>394</v>
      </c>
      <c r="FI7" s="46">
        <v>3947.62</v>
      </c>
      <c r="FK7" t="s">
        <v>395</v>
      </c>
      <c r="FL7" t="s">
        <v>992</v>
      </c>
      <c r="FM7" s="11">
        <v>1.4</v>
      </c>
      <c r="FN7"/>
      <c r="FO7" s="46" t="str">
        <f t="shared" si="20"/>
        <v>EHCADE</v>
      </c>
      <c r="FP7" t="str">
        <f t="shared" si="21"/>
        <v>EHCADE Index</v>
      </c>
      <c r="FQ7" s="11">
        <v>7.53</v>
      </c>
      <c r="FR7" s="11">
        <v>7.48</v>
      </c>
      <c r="FS7" s="11">
        <v>7.36</v>
      </c>
      <c r="FT7" s="11">
        <v>6.96</v>
      </c>
      <c r="FU7" s="11">
        <v>7.08</v>
      </c>
      <c r="FV7"/>
      <c r="FW7" t="s">
        <v>396</v>
      </c>
      <c r="FX7" t="s">
        <v>1023</v>
      </c>
      <c r="FY7">
        <v>29.89</v>
      </c>
      <c r="FZ7"/>
      <c r="GA7" t="str">
        <f t="shared" si="22"/>
        <v>TAYLDEB Index</v>
      </c>
      <c r="GB7" t="s">
        <v>1092</v>
      </c>
      <c r="GC7">
        <v>6.8</v>
      </c>
      <c r="GE7" s="43" t="s">
        <v>651</v>
      </c>
      <c r="GJ7" s="43" t="s">
        <v>651</v>
      </c>
      <c r="GO7" s="43" t="s">
        <v>651</v>
      </c>
    </row>
    <row r="8" spans="1:210" x14ac:dyDescent="0.35">
      <c r="A8" s="51" t="s">
        <v>21</v>
      </c>
      <c r="B8" s="44" t="s">
        <v>22</v>
      </c>
      <c r="H8" s="50" t="s">
        <v>747</v>
      </c>
      <c r="I8" s="44">
        <v>-0.53600000000000003</v>
      </c>
      <c r="K8" s="50" t="s">
        <v>776</v>
      </c>
      <c r="L8" s="44">
        <v>-0.439</v>
      </c>
      <c r="N8" s="50" t="s">
        <v>815</v>
      </c>
      <c r="O8" s="44">
        <v>-8.0000000000000002E-3</v>
      </c>
      <c r="Q8" s="50" t="s">
        <v>1094</v>
      </c>
      <c r="R8" s="50" t="s">
        <v>1108</v>
      </c>
      <c r="U8" s="44" t="s">
        <v>178</v>
      </c>
      <c r="V8" s="50" t="str">
        <f t="shared" si="2"/>
        <v>EUR Curncy</v>
      </c>
      <c r="W8" s="46">
        <v>1.1294999999999999</v>
      </c>
      <c r="Y8" s="50" t="str">
        <f t="shared" si="24"/>
        <v>EURUSD Curncy</v>
      </c>
      <c r="Z8" s="46">
        <v>1.1294999999999999</v>
      </c>
      <c r="AB8" s="46" t="str">
        <f t="shared" si="25"/>
        <v>FCUSFR</v>
      </c>
      <c r="AC8" s="48" t="str">
        <f t="shared" si="26"/>
        <v>FCUSFR Q418 INDEX</v>
      </c>
      <c r="AG8" s="43" t="s">
        <v>387</v>
      </c>
      <c r="AH8" s="46">
        <v>0</v>
      </c>
      <c r="AI8" s="46">
        <v>0</v>
      </c>
      <c r="AJ8" s="46">
        <v>0</v>
      </c>
      <c r="AK8" s="46">
        <v>0</v>
      </c>
      <c r="AL8" s="46">
        <v>0</v>
      </c>
      <c r="AN8" s="46" t="str">
        <f t="shared" si="27"/>
        <v>ECCBFR</v>
      </c>
      <c r="AO8" s="48" t="str">
        <f t="shared" ca="1" si="28"/>
        <v>ECCBFR Q321 INDEX</v>
      </c>
      <c r="AR8" s="48" t="str">
        <f t="shared" ca="1" si="0"/>
        <v>ECCBFR Q421 INDEX</v>
      </c>
      <c r="AU8" s="48" t="str">
        <f t="shared" ca="1" si="3"/>
        <v>ECCBFR Q122 INDEX</v>
      </c>
      <c r="AX8" s="48" t="str">
        <f t="shared" ca="1" si="4"/>
        <v>ECCBFR Q222 INDEX</v>
      </c>
      <c r="BA8" s="48" t="str">
        <f t="shared" ca="1" si="5"/>
        <v>ECCBFR Q322 INDEX</v>
      </c>
      <c r="BD8" t="s">
        <v>388</v>
      </c>
      <c r="BE8" s="48" t="s">
        <v>701</v>
      </c>
      <c r="BF8" s="46">
        <v>-0.46300000000000002</v>
      </c>
      <c r="BH8" s="32" t="s">
        <v>398</v>
      </c>
      <c r="BI8" s="46">
        <v>0.4</v>
      </c>
      <c r="BJ8" s="46">
        <v>-0.5</v>
      </c>
      <c r="BK8" s="46">
        <v>-0.6</v>
      </c>
      <c r="BL8" s="46">
        <v>-1</v>
      </c>
      <c r="BM8" s="46">
        <v>0.1</v>
      </c>
      <c r="BO8" s="46" t="str">
        <f t="shared" si="29"/>
        <v>ECPIFR</v>
      </c>
      <c r="BP8" s="48" t="str">
        <f t="shared" ca="1" si="30"/>
        <v>ECPIFR Q321 INDEX</v>
      </c>
      <c r="BQ8" s="46">
        <v>0.15</v>
      </c>
      <c r="BS8" s="48" t="str">
        <f t="shared" ca="1" si="1"/>
        <v>ECPIFR Q421 INDEX</v>
      </c>
      <c r="BT8" s="46">
        <v>0</v>
      </c>
      <c r="BV8" s="48" t="str">
        <f t="shared" ca="1" si="6"/>
        <v>ECPIFR Q122 INDEX</v>
      </c>
      <c r="BW8" s="46">
        <v>0.2</v>
      </c>
      <c r="BY8" s="48" t="str">
        <f t="shared" ca="1" si="7"/>
        <v>ECPIFR Q222 INDEX</v>
      </c>
      <c r="BZ8" s="46">
        <v>0.4</v>
      </c>
      <c r="CB8" s="48" t="str">
        <f t="shared" ca="1" si="8"/>
        <v>ECPIFR Q322 INDEX</v>
      </c>
      <c r="CC8" s="46">
        <v>1.3</v>
      </c>
      <c r="CE8" s="48" t="str">
        <f t="shared" ca="1" si="9"/>
        <v>ECPIFR 21 INDEX</v>
      </c>
      <c r="CF8" s="46">
        <v>0.45</v>
      </c>
      <c r="CH8" s="48" t="str">
        <f t="shared" ca="1" si="10"/>
        <v>ECPIFR 22 INDEX</v>
      </c>
      <c r="CI8" s="46">
        <v>1</v>
      </c>
      <c r="CK8" s="48" t="str">
        <f t="shared" ca="1" si="11"/>
        <v>ECPIFR 23 INDEX</v>
      </c>
      <c r="CL8" s="46">
        <v>1.5</v>
      </c>
      <c r="CN8" s="32" t="s">
        <v>397</v>
      </c>
      <c r="CO8" s="46">
        <v>-5</v>
      </c>
      <c r="CP8" s="46">
        <v>0.9</v>
      </c>
      <c r="CQ8" s="46">
        <v>1.6</v>
      </c>
      <c r="CR8" s="46">
        <v>1.8</v>
      </c>
      <c r="CS8" s="46">
        <v>1.7</v>
      </c>
      <c r="CU8" s="46" t="str">
        <f t="shared" si="31"/>
        <v>ECGDFR</v>
      </c>
      <c r="CV8" s="48" t="str">
        <f t="shared" ca="1" si="12"/>
        <v>ECGDFR Q321 INDEX</v>
      </c>
      <c r="CW8" s="46">
        <v>-17.149999999999999</v>
      </c>
      <c r="CY8" s="48" t="str">
        <f t="shared" ca="1" si="13"/>
        <v>ECGDFR Q421 INDEX</v>
      </c>
      <c r="CZ8" s="46">
        <v>-8.69</v>
      </c>
      <c r="DB8" s="48" t="str">
        <f t="shared" ca="1" si="14"/>
        <v>ECGDFR Q122 INDEX</v>
      </c>
      <c r="DC8" s="46">
        <v>-5.29</v>
      </c>
      <c r="DE8" s="48" t="str">
        <f t="shared" ca="1" si="15"/>
        <v>ECGDFR Q222 INDEX</v>
      </c>
      <c r="DF8" s="46">
        <v>0.7</v>
      </c>
      <c r="DH8" s="48" t="str">
        <f t="shared" ca="1" si="16"/>
        <v>ECGDFR Q322 INDEX</v>
      </c>
      <c r="DI8" s="46">
        <v>15.24</v>
      </c>
      <c r="DK8" s="48" t="str">
        <f t="shared" ca="1" si="17"/>
        <v>ECGDFR 21 INDEX</v>
      </c>
      <c r="DL8" s="46">
        <v>-9</v>
      </c>
      <c r="DN8" s="48" t="str">
        <f t="shared" ca="1" si="18"/>
        <v>ECGDFR 22 INDEX</v>
      </c>
      <c r="DO8" s="46">
        <v>5.9</v>
      </c>
      <c r="DQ8" s="48" t="str">
        <f t="shared" ca="1" si="19"/>
        <v>ECGDFR 23 INDEX</v>
      </c>
      <c r="DR8" s="46">
        <v>1.8</v>
      </c>
      <c r="DT8" t="s">
        <v>117</v>
      </c>
      <c r="DU8" s="46">
        <v>40.6</v>
      </c>
      <c r="DV8" s="46">
        <v>31.5</v>
      </c>
      <c r="DW8" s="46">
        <v>49.8</v>
      </c>
      <c r="DX8" s="46">
        <v>51.7</v>
      </c>
      <c r="DY8" s="46">
        <v>50.6</v>
      </c>
      <c r="EA8" t="s">
        <v>118</v>
      </c>
      <c r="EB8">
        <v>31.1</v>
      </c>
      <c r="EC8">
        <v>10.199999999999999</v>
      </c>
      <c r="ED8">
        <v>52.5</v>
      </c>
      <c r="EE8">
        <v>52.2</v>
      </c>
      <c r="EF8" s="46">
        <v>51.5</v>
      </c>
      <c r="EG8"/>
      <c r="EH8" s="13" t="s">
        <v>891</v>
      </c>
      <c r="EI8" s="11">
        <v>8.6999999999999993</v>
      </c>
      <c r="EJ8" s="11">
        <v>1.1000000000000001</v>
      </c>
      <c r="EK8" s="11">
        <v>0.7</v>
      </c>
      <c r="EL8" s="11">
        <v>0.4</v>
      </c>
      <c r="EM8" s="11">
        <v>0.2</v>
      </c>
      <c r="EN8" s="11"/>
      <c r="EO8" s="13" t="str">
        <f t="shared" ref="EO8:EO45" si="32">"OE" &amp; B8 &amp; "KLAC Index"</f>
        <v>OEFRKLAC Index</v>
      </c>
      <c r="EP8" s="13" t="s">
        <v>1129</v>
      </c>
      <c r="EQ8" s="11">
        <v>96.759600000000006</v>
      </c>
      <c r="ER8" s="11">
        <v>-7.7600000000000002E-2</v>
      </c>
      <c r="ES8" s="11">
        <v>-2.8289999999999997</v>
      </c>
      <c r="ET8" s="11">
        <v>-2.8422999999999998</v>
      </c>
      <c r="EU8" s="11">
        <v>-2.7079</v>
      </c>
      <c r="EV8"/>
      <c r="EW8" s="13" t="s">
        <v>1028</v>
      </c>
      <c r="EX8" s="13" t="s">
        <v>1059</v>
      </c>
      <c r="EY8" s="11">
        <v>8.3000000000000007</v>
      </c>
      <c r="EZ8"/>
      <c r="FA8" t="s">
        <v>939</v>
      </c>
      <c r="FB8" s="11">
        <v>-34.200000000000003</v>
      </c>
      <c r="FC8" s="11">
        <v>-17.399999999999999</v>
      </c>
      <c r="FD8" s="11">
        <v>-3.1</v>
      </c>
      <c r="FE8" s="11">
        <v>-0.2</v>
      </c>
      <c r="FF8" s="11">
        <v>1</v>
      </c>
      <c r="FG8"/>
      <c r="FH8" s="33" t="s">
        <v>399</v>
      </c>
      <c r="FI8" s="46">
        <v>2777.5349999999999</v>
      </c>
      <c r="FK8" t="s">
        <v>400</v>
      </c>
      <c r="FL8" t="s">
        <v>993</v>
      </c>
      <c r="FM8" s="11">
        <v>-3</v>
      </c>
      <c r="FN8"/>
      <c r="FO8" s="46" t="str">
        <f t="shared" si="20"/>
        <v>EHCAFR</v>
      </c>
      <c r="FP8" t="str">
        <f t="shared" si="21"/>
        <v>EHCAFR Index</v>
      </c>
      <c r="FQ8" s="11">
        <v>-0.92</v>
      </c>
      <c r="FR8" s="11">
        <v>-0.69</v>
      </c>
      <c r="FS8" s="11">
        <v>-0.63</v>
      </c>
      <c r="FT8" s="11">
        <v>-0.42</v>
      </c>
      <c r="FU8" s="11">
        <v>-0.6</v>
      </c>
      <c r="FV8"/>
      <c r="FW8" t="s">
        <v>401</v>
      </c>
      <c r="FX8" t="s">
        <v>1023</v>
      </c>
      <c r="FY8">
        <v>88.92</v>
      </c>
      <c r="FZ8"/>
      <c r="GA8" t="str">
        <f t="shared" si="22"/>
        <v>TAYLFRB Index</v>
      </c>
      <c r="GB8" t="s">
        <v>1092</v>
      </c>
      <c r="GC8">
        <v>1.65</v>
      </c>
      <c r="GE8" s="43" t="s">
        <v>651</v>
      </c>
      <c r="GJ8" s="43" t="s">
        <v>651</v>
      </c>
      <c r="GO8" s="43" t="s">
        <v>651</v>
      </c>
    </row>
    <row r="9" spans="1:210" x14ac:dyDescent="0.35">
      <c r="A9" s="51" t="s">
        <v>23</v>
      </c>
      <c r="B9" s="44" t="s">
        <v>24</v>
      </c>
      <c r="H9" s="50" t="s">
        <v>743</v>
      </c>
      <c r="I9" s="44">
        <v>-0.55100000000000005</v>
      </c>
      <c r="K9" s="50" t="s">
        <v>777</v>
      </c>
      <c r="L9" s="44">
        <v>-0.56399999999999995</v>
      </c>
      <c r="N9" s="50" t="s">
        <v>816</v>
      </c>
      <c r="O9" s="44">
        <v>-0.21</v>
      </c>
      <c r="Q9" s="50" t="s">
        <v>651</v>
      </c>
      <c r="U9" s="44" t="s">
        <v>178</v>
      </c>
      <c r="V9" s="50" t="str">
        <f t="shared" si="2"/>
        <v>EUR Curncy</v>
      </c>
      <c r="W9" s="46">
        <v>1.1294999999999999</v>
      </c>
      <c r="Y9" s="50" t="str">
        <f t="shared" si="24"/>
        <v>EURUSD Curncy</v>
      </c>
      <c r="Z9" s="46">
        <v>1.1294999999999999</v>
      </c>
      <c r="AB9" s="46" t="str">
        <f t="shared" si="25"/>
        <v>FCUSNL</v>
      </c>
      <c r="AC9" s="48" t="str">
        <f t="shared" si="26"/>
        <v>FCUSNL Q418 INDEX</v>
      </c>
      <c r="AG9" s="43" t="s">
        <v>387</v>
      </c>
      <c r="AH9" s="46">
        <v>0</v>
      </c>
      <c r="AI9" s="46">
        <v>0</v>
      </c>
      <c r="AJ9" s="46">
        <v>0</v>
      </c>
      <c r="AK9" s="46">
        <v>0</v>
      </c>
      <c r="AL9" s="46">
        <v>0</v>
      </c>
      <c r="AN9" s="46" t="str">
        <f t="shared" si="27"/>
        <v>ECCBNL</v>
      </c>
      <c r="AO9" s="48" t="str">
        <f t="shared" ca="1" si="28"/>
        <v>ECCBNL Q321 INDEX</v>
      </c>
      <c r="AR9" s="48" t="str">
        <f t="shared" ca="1" si="0"/>
        <v>ECCBNL Q421 INDEX</v>
      </c>
      <c r="AU9" s="48" t="str">
        <f t="shared" ca="1" si="3"/>
        <v>ECCBNL Q122 INDEX</v>
      </c>
      <c r="AX9" s="48" t="str">
        <f t="shared" ca="1" si="4"/>
        <v>ECCBNL Q222 INDEX</v>
      </c>
      <c r="BA9" s="48" t="str">
        <f t="shared" ca="1" si="5"/>
        <v>ECCBNL Q322 INDEX</v>
      </c>
      <c r="BD9" t="s">
        <v>388</v>
      </c>
      <c r="BE9" s="48" t="s">
        <v>701</v>
      </c>
      <c r="BF9" s="46">
        <v>-0.46300000000000002</v>
      </c>
      <c r="BH9" s="32" t="s">
        <v>403</v>
      </c>
      <c r="BI9" s="46">
        <v>1.2</v>
      </c>
      <c r="BJ9" s="46">
        <v>-1.2</v>
      </c>
      <c r="BK9" s="46">
        <v>-1.4</v>
      </c>
      <c r="BL9" s="46">
        <v>-0.4</v>
      </c>
      <c r="BM9" s="46">
        <v>0</v>
      </c>
      <c r="BO9" s="46" t="str">
        <f t="shared" si="29"/>
        <v>ECPINL</v>
      </c>
      <c r="BP9" s="48" t="str">
        <f t="shared" ca="1" si="30"/>
        <v>ECPINL Q321 INDEX</v>
      </c>
      <c r="BQ9" s="46">
        <v>1.75</v>
      </c>
      <c r="BS9" s="48" t="str">
        <f t="shared" ca="1" si="1"/>
        <v>ECPINL Q421 INDEX</v>
      </c>
      <c r="BT9" s="46">
        <v>-0.6</v>
      </c>
      <c r="BV9" s="48" t="str">
        <f t="shared" ca="1" si="6"/>
        <v>ECPINL Q122 INDEX</v>
      </c>
      <c r="BW9" s="46">
        <v>-0.1</v>
      </c>
      <c r="BY9" s="48" t="str">
        <f t="shared" ca="1" si="7"/>
        <v>ECPINL Q222 INDEX</v>
      </c>
      <c r="BZ9" s="46">
        <v>0.7</v>
      </c>
      <c r="CB9" s="48" t="str">
        <f t="shared" ca="1" si="8"/>
        <v>ECPINL Q322 INDEX</v>
      </c>
      <c r="CC9" s="46">
        <v>1.8</v>
      </c>
      <c r="CE9" s="48" t="str">
        <f t="shared" ca="1" si="9"/>
        <v>ECPINL 21 INDEX</v>
      </c>
      <c r="CF9" s="46">
        <v>0.7</v>
      </c>
      <c r="CH9" s="48" t="str">
        <f t="shared" ca="1" si="10"/>
        <v>ECPINL 22 INDEX</v>
      </c>
      <c r="CI9" s="46">
        <v>1.5</v>
      </c>
      <c r="CK9" s="48" t="str">
        <f t="shared" ca="1" si="11"/>
        <v>ECPINL 23 INDEX</v>
      </c>
      <c r="CL9" s="46">
        <v>1.55</v>
      </c>
      <c r="CN9" s="32" t="s">
        <v>402</v>
      </c>
      <c r="CO9" s="46">
        <v>-0.5</v>
      </c>
      <c r="CP9" s="46">
        <v>1.6</v>
      </c>
      <c r="CQ9" s="46">
        <v>1.9</v>
      </c>
      <c r="CR9" s="46">
        <v>1.9</v>
      </c>
      <c r="CS9" s="46">
        <v>1.8</v>
      </c>
      <c r="CU9" s="46" t="str">
        <f t="shared" si="31"/>
        <v>ECGDNL</v>
      </c>
      <c r="CV9" s="48" t="str">
        <f t="shared" ca="1" si="12"/>
        <v>ECGDNL Q321 INDEX</v>
      </c>
      <c r="CW9" s="46">
        <v>-11</v>
      </c>
      <c r="CY9" s="48" t="str">
        <f t="shared" ca="1" si="13"/>
        <v>ECGDNL Q421 INDEX</v>
      </c>
      <c r="CZ9" s="46">
        <v>-6.35</v>
      </c>
      <c r="DB9" s="48" t="str">
        <f t="shared" ca="1" si="14"/>
        <v>ECGDNL Q122 INDEX</v>
      </c>
      <c r="DC9" s="46">
        <v>-4.5999999999999996</v>
      </c>
      <c r="DE9" s="48" t="str">
        <f t="shared" ca="1" si="15"/>
        <v>ECGDNL Q222 INDEX</v>
      </c>
      <c r="DF9" s="46">
        <v>-0.4</v>
      </c>
      <c r="DH9" s="48" t="str">
        <f t="shared" ca="1" si="16"/>
        <v>ECGDNL Q322 INDEX</v>
      </c>
      <c r="DI9" s="46">
        <v>9.6</v>
      </c>
      <c r="DK9" s="48" t="str">
        <f t="shared" ca="1" si="17"/>
        <v>ECGDNL 21 INDEX</v>
      </c>
      <c r="DL9" s="46">
        <v>-5.7</v>
      </c>
      <c r="DN9" s="48" t="str">
        <f t="shared" ca="1" si="18"/>
        <v>ECGDNL 22 INDEX</v>
      </c>
      <c r="DO9" s="46">
        <v>4</v>
      </c>
      <c r="DQ9" s="48" t="str">
        <f t="shared" ca="1" si="19"/>
        <v>ECGDNL 23 INDEX</v>
      </c>
      <c r="DR9" s="46">
        <v>2.1</v>
      </c>
      <c r="DT9" t="s">
        <v>120</v>
      </c>
      <c r="DU9" s="46">
        <v>40.5</v>
      </c>
      <c r="DV9" s="46">
        <v>41.3</v>
      </c>
      <c r="DW9" s="46">
        <v>52.9</v>
      </c>
      <c r="DX9" s="46">
        <v>49.6</v>
      </c>
      <c r="DY9" s="46">
        <v>52.2</v>
      </c>
      <c r="EA9" t="s">
        <v>651</v>
      </c>
      <c r="EB9"/>
      <c r="EC9"/>
      <c r="ED9"/>
      <c r="EE9"/>
      <c r="EG9"/>
      <c r="EH9" s="13" t="s">
        <v>903</v>
      </c>
      <c r="EI9" s="11">
        <v>3.4</v>
      </c>
      <c r="EJ9" s="11">
        <v>0.5</v>
      </c>
      <c r="EK9" s="11">
        <v>0.4</v>
      </c>
      <c r="EL9" s="11">
        <v>-0.1</v>
      </c>
      <c r="EM9" s="11">
        <v>0.1</v>
      </c>
      <c r="EN9" s="11"/>
      <c r="EO9" s="13" t="str">
        <f t="shared" si="32"/>
        <v>OENLKLAC Index</v>
      </c>
      <c r="EP9" s="13" t="s">
        <v>1130</v>
      </c>
      <c r="EQ9" s="11">
        <v>95.466800000000006</v>
      </c>
      <c r="ER9" s="11">
        <v>-3.5342000000000002</v>
      </c>
      <c r="ES9" s="11">
        <v>-4.2950999999999997</v>
      </c>
      <c r="ET9" s="11">
        <v>-4.3667999999999996</v>
      </c>
      <c r="EU9" s="11">
        <v>-4.4884000000000004</v>
      </c>
      <c r="EV9"/>
      <c r="EW9" s="13" t="s">
        <v>1044</v>
      </c>
      <c r="EX9" s="13" t="s">
        <v>1060</v>
      </c>
      <c r="EY9" s="11">
        <v>4.45</v>
      </c>
      <c r="EZ9"/>
      <c r="FA9" t="s">
        <v>951</v>
      </c>
      <c r="FB9" s="11">
        <v>-11</v>
      </c>
      <c r="FC9" s="11">
        <v>-1.9</v>
      </c>
      <c r="FD9" s="11">
        <v>1.4</v>
      </c>
      <c r="FE9" s="11">
        <v>0.5</v>
      </c>
      <c r="FF9" s="11">
        <v>-0.3</v>
      </c>
      <c r="FG9"/>
      <c r="FH9" s="33" t="s">
        <v>404</v>
      </c>
      <c r="FI9" s="46">
        <v>913.65800000000002</v>
      </c>
      <c r="FK9" t="s">
        <v>405</v>
      </c>
      <c r="FL9" t="s">
        <v>994</v>
      </c>
      <c r="FM9" s="11">
        <v>1.7</v>
      </c>
      <c r="FN9"/>
      <c r="FO9" s="46" t="str">
        <f t="shared" si="20"/>
        <v>EHCANL</v>
      </c>
      <c r="FP9" t="str">
        <f t="shared" si="21"/>
        <v>EHCANL Index</v>
      </c>
      <c r="FQ9" s="11">
        <v>9.86</v>
      </c>
      <c r="FR9" s="11">
        <v>9.67</v>
      </c>
      <c r="FS9" s="11">
        <v>9.8800000000000008</v>
      </c>
      <c r="FT9" s="11">
        <v>10.65</v>
      </c>
      <c r="FU9" s="11">
        <v>10.87</v>
      </c>
      <c r="FV9"/>
      <c r="FW9" t="s">
        <v>406</v>
      </c>
      <c r="FX9" t="s">
        <v>1023</v>
      </c>
      <c r="FY9">
        <v>32.200000000000003</v>
      </c>
      <c r="FZ9"/>
      <c r="GA9" t="str">
        <f t="shared" si="22"/>
        <v>TAYLNLB Index</v>
      </c>
      <c r="GB9" t="s">
        <v>1092</v>
      </c>
      <c r="GC9">
        <v>4.8</v>
      </c>
      <c r="GE9" s="43" t="s">
        <v>651</v>
      </c>
      <c r="GJ9" s="43" t="s">
        <v>651</v>
      </c>
      <c r="GO9" s="43" t="s">
        <v>651</v>
      </c>
    </row>
    <row r="10" spans="1:210" x14ac:dyDescent="0.35">
      <c r="A10" s="51" t="s">
        <v>25</v>
      </c>
      <c r="B10" s="44" t="s">
        <v>26</v>
      </c>
      <c r="H10" s="50" t="s">
        <v>739</v>
      </c>
      <c r="I10" s="44">
        <v>-0.32900000000000001</v>
      </c>
      <c r="K10" s="50" t="s">
        <v>778</v>
      </c>
      <c r="L10" s="44">
        <v>-2.5000000000000001E-2</v>
      </c>
      <c r="N10" s="50" t="s">
        <v>817</v>
      </c>
      <c r="O10" s="44">
        <v>0.61599999999999999</v>
      </c>
      <c r="Q10" s="50" t="s">
        <v>1102</v>
      </c>
      <c r="R10" s="50" t="s">
        <v>1109</v>
      </c>
      <c r="S10" s="44">
        <v>0.73599999999999999</v>
      </c>
      <c r="U10" s="44" t="s">
        <v>178</v>
      </c>
      <c r="V10" s="50" t="str">
        <f t="shared" si="2"/>
        <v>EUR Curncy</v>
      </c>
      <c r="W10" s="46">
        <v>1.1294999999999999</v>
      </c>
      <c r="Y10" s="50" t="str">
        <f t="shared" si="24"/>
        <v>EURUSD Curncy</v>
      </c>
      <c r="Z10" s="46">
        <v>1.1294999999999999</v>
      </c>
      <c r="AB10" s="46" t="str">
        <f t="shared" si="25"/>
        <v>FCUSES</v>
      </c>
      <c r="AC10" s="48" t="str">
        <f t="shared" si="26"/>
        <v>FCUSES Q418 INDEX</v>
      </c>
      <c r="AG10" s="43" t="s">
        <v>387</v>
      </c>
      <c r="AH10" s="46">
        <v>0</v>
      </c>
      <c r="AI10" s="46">
        <v>0</v>
      </c>
      <c r="AJ10" s="46">
        <v>0</v>
      </c>
      <c r="AK10" s="46">
        <v>0</v>
      </c>
      <c r="AL10" s="46">
        <v>0</v>
      </c>
      <c r="AN10" s="46" t="str">
        <f t="shared" si="27"/>
        <v>ECCBES</v>
      </c>
      <c r="AO10" s="48" t="str">
        <f t="shared" ca="1" si="28"/>
        <v>ECCBES Q321 INDEX</v>
      </c>
      <c r="AR10" s="48" t="str">
        <f t="shared" ca="1" si="0"/>
        <v>ECCBES Q421 INDEX</v>
      </c>
      <c r="AU10" s="48" t="str">
        <f t="shared" ca="1" si="3"/>
        <v>ECCBES Q122 INDEX</v>
      </c>
      <c r="AX10" s="48" t="str">
        <f t="shared" ca="1" si="4"/>
        <v>ECCBES Q222 INDEX</v>
      </c>
      <c r="BA10" s="48" t="str">
        <f t="shared" ca="1" si="5"/>
        <v>ECCBES Q322 INDEX</v>
      </c>
      <c r="BD10" t="s">
        <v>388</v>
      </c>
      <c r="BE10" s="48" t="s">
        <v>701</v>
      </c>
      <c r="BF10" s="46">
        <v>-0.46300000000000002</v>
      </c>
      <c r="BH10" s="32" t="s">
        <v>408</v>
      </c>
      <c r="BI10" s="46">
        <v>-0.9</v>
      </c>
      <c r="BJ10" s="46">
        <v>-1.7</v>
      </c>
      <c r="BK10" s="46">
        <v>-1.3</v>
      </c>
      <c r="BL10" s="46">
        <v>-1.6</v>
      </c>
      <c r="BM10" s="46">
        <v>-0.2</v>
      </c>
      <c r="BO10" s="46" t="str">
        <f t="shared" si="29"/>
        <v>ECPIES</v>
      </c>
      <c r="BP10" s="48" t="str">
        <f t="shared" ca="1" si="30"/>
        <v>ECPIES Q321 INDEX</v>
      </c>
      <c r="BQ10" s="46">
        <v>-0.75</v>
      </c>
      <c r="BS10" s="48" t="str">
        <f t="shared" ca="1" si="1"/>
        <v>ECPIES Q421 INDEX</v>
      </c>
      <c r="BT10" s="46">
        <v>-0.45</v>
      </c>
      <c r="BV10" s="48" t="str">
        <f t="shared" ca="1" si="6"/>
        <v>ECPIES Q122 INDEX</v>
      </c>
      <c r="BW10" s="46">
        <v>-0.2</v>
      </c>
      <c r="BY10" s="48" t="str">
        <f t="shared" ca="1" si="7"/>
        <v>ECPIES Q222 INDEX</v>
      </c>
      <c r="BZ10" s="46">
        <v>0.25</v>
      </c>
      <c r="CB10" s="48" t="str">
        <f t="shared" ca="1" si="8"/>
        <v>ECPIES Q322 INDEX</v>
      </c>
      <c r="CC10" s="46">
        <v>1.35</v>
      </c>
      <c r="CE10" s="48" t="str">
        <f t="shared" ca="1" si="9"/>
        <v>ECPIES 21 INDEX</v>
      </c>
      <c r="CF10" s="46">
        <v>-0.1</v>
      </c>
      <c r="CH10" s="48" t="str">
        <f t="shared" ca="1" si="10"/>
        <v>ECPIES 22 INDEX</v>
      </c>
      <c r="CI10" s="46">
        <v>0.9</v>
      </c>
      <c r="CK10" s="48" t="str">
        <f t="shared" ca="1" si="11"/>
        <v>ECPIES 23 INDEX</v>
      </c>
      <c r="CL10" s="46">
        <v>1.3</v>
      </c>
      <c r="CN10" s="32" t="s">
        <v>407</v>
      </c>
      <c r="CO10" s="46">
        <v>-4.0999999999999996</v>
      </c>
      <c r="CP10" s="46">
        <v>1.8</v>
      </c>
      <c r="CQ10" s="46">
        <v>1.9</v>
      </c>
      <c r="CR10" s="46">
        <v>2</v>
      </c>
      <c r="CS10" s="46">
        <v>2.2000000000000002</v>
      </c>
      <c r="CU10" s="46" t="str">
        <f t="shared" si="31"/>
        <v>ECGDES</v>
      </c>
      <c r="CV10" s="48" t="str">
        <f t="shared" ca="1" si="12"/>
        <v>ECGDES Q321 INDEX</v>
      </c>
      <c r="CW10" s="46">
        <v>-17.899999999999999</v>
      </c>
      <c r="CY10" s="48" t="str">
        <f t="shared" ca="1" si="13"/>
        <v>ECGDES Q421 INDEX</v>
      </c>
      <c r="CZ10" s="46">
        <v>-9.6999999999999993</v>
      </c>
      <c r="DB10" s="48" t="str">
        <f t="shared" ca="1" si="14"/>
        <v>ECGDES Q122 INDEX</v>
      </c>
      <c r="DC10" s="46">
        <v>-6.85</v>
      </c>
      <c r="DE10" s="48" t="str">
        <f t="shared" ca="1" si="15"/>
        <v>ECGDES Q222 INDEX</v>
      </c>
      <c r="DF10" s="46">
        <v>0.3</v>
      </c>
      <c r="DH10" s="48" t="str">
        <f t="shared" ca="1" si="16"/>
        <v>ECGDES Q322 INDEX</v>
      </c>
      <c r="DI10" s="46">
        <v>18.100000000000001</v>
      </c>
      <c r="DK10" s="48" t="str">
        <f t="shared" ca="1" si="17"/>
        <v>ECGDES 21 INDEX</v>
      </c>
      <c r="DL10" s="46">
        <v>-9.3000000000000007</v>
      </c>
      <c r="DN10" s="48" t="str">
        <f t="shared" ca="1" si="18"/>
        <v>ECGDES 22 INDEX</v>
      </c>
      <c r="DO10" s="46">
        <v>5.85</v>
      </c>
      <c r="DQ10" s="48" t="str">
        <f t="shared" ca="1" si="19"/>
        <v>ECGDES 23 INDEX</v>
      </c>
      <c r="DR10" s="46">
        <v>2.2000000000000002</v>
      </c>
      <c r="DT10" t="s">
        <v>121</v>
      </c>
      <c r="DU10" s="46">
        <v>38.299999999999997</v>
      </c>
      <c r="DV10" s="46">
        <v>30.8</v>
      </c>
      <c r="DW10" s="46">
        <v>50.4</v>
      </c>
      <c r="DX10" s="46">
        <v>47.5</v>
      </c>
      <c r="DY10" s="46">
        <v>50.1</v>
      </c>
      <c r="EA10" t="s">
        <v>122</v>
      </c>
      <c r="EB10">
        <v>27.9</v>
      </c>
      <c r="EC10">
        <v>7.1</v>
      </c>
      <c r="ED10">
        <v>52.1</v>
      </c>
      <c r="EE10">
        <v>53.2</v>
      </c>
      <c r="EF10" s="46">
        <v>52.8</v>
      </c>
      <c r="EG10"/>
      <c r="EH10" s="13" t="s">
        <v>913</v>
      </c>
      <c r="EI10" s="11">
        <v>14.8</v>
      </c>
      <c r="EJ10" s="11">
        <v>0.6</v>
      </c>
      <c r="EK10" s="11">
        <v>0.9</v>
      </c>
      <c r="EL10" s="11">
        <v>0.8</v>
      </c>
      <c r="EM10" s="11">
        <v>0.6</v>
      </c>
      <c r="EN10" s="11"/>
      <c r="EO10" s="13" t="str">
        <f t="shared" si="32"/>
        <v>OEESKLAC Index</v>
      </c>
      <c r="EP10" s="13" t="s">
        <v>1131</v>
      </c>
      <c r="EQ10" s="11">
        <v>94.238200000000006</v>
      </c>
      <c r="ER10" s="11">
        <v>-1.7616000000000001</v>
      </c>
      <c r="ES10" s="11">
        <v>-4.7005999999999997</v>
      </c>
      <c r="ET10" s="11">
        <v>-5.37</v>
      </c>
      <c r="EU10" s="11">
        <v>-5.8346</v>
      </c>
      <c r="EV10"/>
      <c r="EW10" s="13" t="s">
        <v>1031</v>
      </c>
      <c r="EX10" s="13" t="s">
        <v>1061</v>
      </c>
      <c r="EY10" s="11">
        <v>14.6</v>
      </c>
      <c r="EZ10"/>
      <c r="FA10" t="s">
        <v>960</v>
      </c>
      <c r="FB10" s="11">
        <v>-33.6</v>
      </c>
      <c r="FC10" s="11">
        <v>-11.7</v>
      </c>
      <c r="FD10" s="11">
        <v>-3.8</v>
      </c>
      <c r="FE10" s="11">
        <v>0.9</v>
      </c>
      <c r="FF10" s="11">
        <v>-2</v>
      </c>
      <c r="FG10"/>
      <c r="FH10" s="33" t="s">
        <v>409</v>
      </c>
      <c r="FI10" s="46">
        <v>1419.0419999999999</v>
      </c>
      <c r="FK10" t="s">
        <v>410</v>
      </c>
      <c r="FL10" t="s">
        <v>995</v>
      </c>
      <c r="FM10" s="11">
        <v>-2.8</v>
      </c>
      <c r="FN10"/>
      <c r="FO10" s="46" t="str">
        <f t="shared" si="20"/>
        <v>EHCAES</v>
      </c>
      <c r="FP10" t="str">
        <f t="shared" si="21"/>
        <v>EHCAES Index</v>
      </c>
      <c r="FQ10" s="11">
        <v>2.06</v>
      </c>
      <c r="FR10" s="11">
        <v>2</v>
      </c>
      <c r="FS10" s="11">
        <v>1.8</v>
      </c>
      <c r="FT10" s="11">
        <v>1.75</v>
      </c>
      <c r="FU10" s="11">
        <v>1.65</v>
      </c>
      <c r="FV10"/>
      <c r="FW10" t="s">
        <v>411</v>
      </c>
      <c r="FX10" t="s">
        <v>1023</v>
      </c>
      <c r="FY10">
        <v>79.010000000000005</v>
      </c>
      <c r="FZ10"/>
      <c r="GA10" t="str">
        <f t="shared" si="22"/>
        <v>TAYLESB Index</v>
      </c>
      <c r="GB10" t="s">
        <v>1092</v>
      </c>
      <c r="GC10">
        <v>1.05</v>
      </c>
      <c r="GE10" s="43" t="s">
        <v>651</v>
      </c>
      <c r="GJ10" s="43" t="s">
        <v>651</v>
      </c>
      <c r="GO10" s="43" t="s">
        <v>651</v>
      </c>
    </row>
    <row r="11" spans="1:210" x14ac:dyDescent="0.35">
      <c r="A11" s="43" t="s">
        <v>27</v>
      </c>
      <c r="B11" s="44" t="s">
        <v>28</v>
      </c>
      <c r="H11" s="50" t="s">
        <v>744</v>
      </c>
      <c r="I11" s="44">
        <v>0.247</v>
      </c>
      <c r="K11" s="50" t="s">
        <v>779</v>
      </c>
      <c r="L11" s="44">
        <v>0.77500000000000002</v>
      </c>
      <c r="N11" s="50" t="s">
        <v>818</v>
      </c>
      <c r="O11" s="44">
        <v>1.4750000000000001</v>
      </c>
      <c r="Q11" s="50" t="s">
        <v>1096</v>
      </c>
      <c r="R11" s="50" t="s">
        <v>1110</v>
      </c>
      <c r="S11" s="44">
        <v>0.498</v>
      </c>
      <c r="U11" s="44" t="s">
        <v>178</v>
      </c>
      <c r="V11" s="50" t="str">
        <f t="shared" si="2"/>
        <v>EUR Curncy</v>
      </c>
      <c r="W11" s="46">
        <v>1.1294999999999999</v>
      </c>
      <c r="Y11" s="50" t="str">
        <f t="shared" si="24"/>
        <v>EURUSD Curncy</v>
      </c>
      <c r="Z11" s="46">
        <v>1.1294999999999999</v>
      </c>
      <c r="AB11" s="46" t="str">
        <f t="shared" si="25"/>
        <v>FCUSIT</v>
      </c>
      <c r="AC11" s="48" t="str">
        <f t="shared" si="26"/>
        <v>FCUSIT Q418 INDEX</v>
      </c>
      <c r="AG11" s="43" t="s">
        <v>387</v>
      </c>
      <c r="AH11" s="46">
        <v>0</v>
      </c>
      <c r="AI11" s="46">
        <v>0</v>
      </c>
      <c r="AJ11" s="46">
        <v>0</v>
      </c>
      <c r="AK11" s="46">
        <v>0</v>
      </c>
      <c r="AL11" s="46">
        <v>0</v>
      </c>
      <c r="AN11" s="46" t="str">
        <f t="shared" si="27"/>
        <v>ECCBIT</v>
      </c>
      <c r="AO11" s="48" t="str">
        <f t="shared" ca="1" si="28"/>
        <v>ECCBIT Q321 INDEX</v>
      </c>
      <c r="AR11" s="48" t="str">
        <f t="shared" ca="1" si="0"/>
        <v>ECCBIT Q421 INDEX</v>
      </c>
      <c r="AU11" s="48" t="str">
        <f t="shared" ca="1" si="3"/>
        <v>ECCBIT Q122 INDEX</v>
      </c>
      <c r="AX11" s="48" t="str">
        <f t="shared" ca="1" si="4"/>
        <v>ECCBIT Q222 INDEX</v>
      </c>
      <c r="BA11" s="48" t="str">
        <f t="shared" ca="1" si="5"/>
        <v>ECCBIT Q322 INDEX</v>
      </c>
      <c r="BD11" t="s">
        <v>388</v>
      </c>
      <c r="BE11" s="48" t="s">
        <v>701</v>
      </c>
      <c r="BF11" s="46">
        <v>-0.46300000000000002</v>
      </c>
      <c r="BH11" s="32" t="s">
        <v>413</v>
      </c>
      <c r="BI11" s="46">
        <v>-0.1</v>
      </c>
      <c r="BJ11" s="46">
        <v>-0.9</v>
      </c>
      <c r="BK11" s="46">
        <v>-0.3</v>
      </c>
      <c r="BL11" s="46">
        <v>-0.4</v>
      </c>
      <c r="BM11" s="46">
        <v>-0.1</v>
      </c>
      <c r="BO11" s="46" t="str">
        <f t="shared" si="29"/>
        <v>ECPIIT</v>
      </c>
      <c r="BP11" s="48" t="str">
        <f t="shared" ca="1" si="30"/>
        <v>ECPIIT Q321 INDEX</v>
      </c>
      <c r="BQ11" s="46">
        <v>-0.3</v>
      </c>
      <c r="BS11" s="48" t="str">
        <f t="shared" ca="1" si="1"/>
        <v>ECPIIT Q421 INDEX</v>
      </c>
      <c r="BT11" s="46">
        <v>-0.45</v>
      </c>
      <c r="BV11" s="48" t="str">
        <f t="shared" ca="1" si="6"/>
        <v>ECPIIT Q122 INDEX</v>
      </c>
      <c r="BW11" s="46">
        <v>-0.2</v>
      </c>
      <c r="BY11" s="48" t="str">
        <f t="shared" ca="1" si="7"/>
        <v>ECPIIT Q222 INDEX</v>
      </c>
      <c r="BZ11" s="46">
        <v>0.15</v>
      </c>
      <c r="CB11" s="48" t="str">
        <f t="shared" ca="1" si="8"/>
        <v>ECPIIT Q322 INDEX</v>
      </c>
      <c r="CC11" s="46">
        <v>0.7</v>
      </c>
      <c r="CE11" s="48" t="str">
        <f t="shared" ca="1" si="9"/>
        <v>ECPIIT 21 INDEX</v>
      </c>
      <c r="CF11" s="46">
        <v>-0.05</v>
      </c>
      <c r="CH11" s="48" t="str">
        <f t="shared" ca="1" si="10"/>
        <v>ECPIIT 22 INDEX</v>
      </c>
      <c r="CI11" s="46">
        <v>0.7</v>
      </c>
      <c r="CK11" s="48" t="str">
        <f t="shared" ca="1" si="11"/>
        <v>ECPIIT 23 INDEX</v>
      </c>
      <c r="CL11" s="46">
        <v>1.1000000000000001</v>
      </c>
      <c r="CN11" s="32" t="s">
        <v>412</v>
      </c>
      <c r="CO11" s="46">
        <v>-5.4459999999999997</v>
      </c>
      <c r="CP11" s="46">
        <v>7.1999999999999995E-2</v>
      </c>
      <c r="CQ11" s="46">
        <v>0.47</v>
      </c>
      <c r="CR11" s="46">
        <v>0.36899999999999999</v>
      </c>
      <c r="CS11" s="46">
        <v>0.28299999999999997</v>
      </c>
      <c r="CU11" s="46" t="str">
        <f t="shared" si="31"/>
        <v>ECGDIT</v>
      </c>
      <c r="CV11" s="48" t="str">
        <f t="shared" ca="1" si="12"/>
        <v>ECGDIT Q321 INDEX</v>
      </c>
      <c r="CW11" s="46">
        <v>-15.5</v>
      </c>
      <c r="CY11" s="48" t="str">
        <f t="shared" ca="1" si="13"/>
        <v>ECGDIT Q421 INDEX</v>
      </c>
      <c r="CZ11" s="46">
        <v>-10.1</v>
      </c>
      <c r="DB11" s="48" t="str">
        <f t="shared" ca="1" si="14"/>
        <v>ECGDIT Q122 INDEX</v>
      </c>
      <c r="DC11" s="46">
        <v>-6.9</v>
      </c>
      <c r="DE11" s="48" t="str">
        <f t="shared" ca="1" si="15"/>
        <v>ECGDIT Q222 INDEX</v>
      </c>
      <c r="DF11" s="46">
        <v>-0.6</v>
      </c>
      <c r="DH11" s="48" t="str">
        <f t="shared" ca="1" si="16"/>
        <v>ECGDIT Q322 INDEX</v>
      </c>
      <c r="DI11" s="46">
        <v>13</v>
      </c>
      <c r="DK11" s="48" t="str">
        <f t="shared" ca="1" si="17"/>
        <v>ECGDIT 21 INDEX</v>
      </c>
      <c r="DL11" s="46">
        <v>-10.050000000000001</v>
      </c>
      <c r="DN11" s="48" t="str">
        <f t="shared" ca="1" si="18"/>
        <v>ECGDIT 22 INDEX</v>
      </c>
      <c r="DO11" s="46">
        <v>5.5</v>
      </c>
      <c r="DQ11" s="48" t="str">
        <f t="shared" ca="1" si="19"/>
        <v>ECGDIT 23 INDEX</v>
      </c>
      <c r="DR11" s="46">
        <v>1.4</v>
      </c>
      <c r="DT11" t="s">
        <v>124</v>
      </c>
      <c r="DU11" s="46">
        <v>45.4</v>
      </c>
      <c r="DV11" s="46">
        <v>31.1</v>
      </c>
      <c r="DW11" s="46">
        <v>48.7</v>
      </c>
      <c r="DX11" s="46">
        <v>47.6</v>
      </c>
      <c r="DY11" s="46">
        <v>49.7</v>
      </c>
      <c r="EA11" t="s">
        <v>125</v>
      </c>
      <c r="EB11">
        <v>28.9</v>
      </c>
      <c r="EC11">
        <v>10.8</v>
      </c>
      <c r="ED11">
        <v>52.1</v>
      </c>
      <c r="EE11">
        <v>50.4</v>
      </c>
      <c r="EF11" s="46">
        <v>50</v>
      </c>
      <c r="EG11"/>
      <c r="EH11" s="13" t="s">
        <v>899</v>
      </c>
      <c r="EI11" s="11">
        <v>6.32</v>
      </c>
      <c r="EJ11" s="11">
        <v>-1.73</v>
      </c>
      <c r="EK11" s="11">
        <v>-3.1</v>
      </c>
      <c r="EL11" s="11">
        <v>-3.22</v>
      </c>
      <c r="EM11" s="11">
        <v>-3.88</v>
      </c>
      <c r="EN11" s="11"/>
      <c r="EO11" s="13" t="str">
        <f t="shared" si="32"/>
        <v>OEITKLAC Index</v>
      </c>
      <c r="EP11" s="13" t="s">
        <v>1132</v>
      </c>
      <c r="EQ11" s="11">
        <v>94.969399999999993</v>
      </c>
      <c r="ER11" s="11">
        <v>-1.0569</v>
      </c>
      <c r="ES11" s="11">
        <v>-4.5369999999999999</v>
      </c>
      <c r="ET11" s="11">
        <v>-4.5972</v>
      </c>
      <c r="EU11" s="11">
        <v>-4.6521999999999997</v>
      </c>
      <c r="EV11"/>
      <c r="EW11" s="13" t="s">
        <v>1033</v>
      </c>
      <c r="EX11" s="13" t="s">
        <v>1062</v>
      </c>
      <c r="EY11" s="11">
        <v>7.9850000000000003</v>
      </c>
      <c r="EZ11"/>
      <c r="FA11" t="s">
        <v>947</v>
      </c>
      <c r="FB11" s="11">
        <v>-42.5</v>
      </c>
      <c r="FC11" s="11">
        <v>-29.4</v>
      </c>
      <c r="FD11" s="11">
        <v>-0.2</v>
      </c>
      <c r="FE11" s="11">
        <v>-2.2000000000000002</v>
      </c>
      <c r="FF11" s="11">
        <v>-1.3</v>
      </c>
      <c r="FG11"/>
      <c r="FH11" s="33" t="s">
        <v>414</v>
      </c>
      <c r="FI11" s="46">
        <v>2083.864</v>
      </c>
      <c r="FK11" t="s">
        <v>415</v>
      </c>
      <c r="FL11" t="s">
        <v>996</v>
      </c>
      <c r="FM11" s="11">
        <v>-1.6</v>
      </c>
      <c r="FN11"/>
      <c r="FO11" s="46" t="str">
        <f t="shared" si="20"/>
        <v>EHCAIT</v>
      </c>
      <c r="FP11" t="str">
        <f t="shared" si="21"/>
        <v>EHCAIT Index</v>
      </c>
      <c r="FQ11" s="11">
        <v>3.26</v>
      </c>
      <c r="FR11" s="11">
        <v>2.96</v>
      </c>
      <c r="FS11" s="11">
        <v>2.57</v>
      </c>
      <c r="FT11" s="11">
        <v>2.56</v>
      </c>
      <c r="FU11" s="11">
        <v>2.4500000000000002</v>
      </c>
      <c r="FV11"/>
      <c r="FW11" t="s">
        <v>416</v>
      </c>
      <c r="FX11" t="s">
        <v>1023</v>
      </c>
      <c r="FY11">
        <v>123.17</v>
      </c>
      <c r="FZ11"/>
      <c r="GA11" t="str">
        <f t="shared" si="22"/>
        <v>TAYLITB Index</v>
      </c>
      <c r="GB11" t="s">
        <v>1092</v>
      </c>
      <c r="GC11">
        <v>3.8</v>
      </c>
      <c r="GE11" s="43" t="s">
        <v>651</v>
      </c>
      <c r="GJ11" s="43" t="s">
        <v>651</v>
      </c>
      <c r="GO11" s="43" t="s">
        <v>651</v>
      </c>
    </row>
    <row r="12" spans="1:210" x14ac:dyDescent="0.35">
      <c r="A12" s="51" t="s">
        <v>29</v>
      </c>
      <c r="B12" s="44" t="s">
        <v>30</v>
      </c>
      <c r="H12" s="50" t="s">
        <v>750</v>
      </c>
      <c r="I12" s="44">
        <v>-0.504</v>
      </c>
      <c r="K12" s="50" t="s">
        <v>780</v>
      </c>
      <c r="L12" s="44">
        <v>-0.44900000000000001</v>
      </c>
      <c r="N12" s="50" t="s">
        <v>819</v>
      </c>
      <c r="O12" s="44">
        <v>-1.7999999999999999E-2</v>
      </c>
      <c r="Q12" s="50" t="s">
        <v>651</v>
      </c>
      <c r="U12" s="44" t="s">
        <v>178</v>
      </c>
      <c r="V12" s="50" t="str">
        <f t="shared" si="2"/>
        <v>EUR Curncy</v>
      </c>
      <c r="W12" s="46">
        <v>1.1294999999999999</v>
      </c>
      <c r="Y12" s="50" t="str">
        <f t="shared" si="24"/>
        <v>EURUSD Curncy</v>
      </c>
      <c r="Z12" s="46">
        <v>1.1294999999999999</v>
      </c>
      <c r="AB12" s="46" t="str">
        <f t="shared" si="25"/>
        <v>FCUSBE</v>
      </c>
      <c r="AC12" s="48" t="str">
        <f t="shared" si="26"/>
        <v>FCUSBE Q418 INDEX</v>
      </c>
      <c r="AG12" s="43" t="s">
        <v>387</v>
      </c>
      <c r="AH12" s="46">
        <v>0</v>
      </c>
      <c r="AI12" s="46">
        <v>0</v>
      </c>
      <c r="AJ12" s="46">
        <v>0</v>
      </c>
      <c r="AK12" s="46">
        <v>0</v>
      </c>
      <c r="AL12" s="46">
        <v>0</v>
      </c>
      <c r="AN12" s="46" t="str">
        <f t="shared" si="27"/>
        <v>ECCBBE</v>
      </c>
      <c r="AO12" s="48" t="str">
        <f t="shared" ca="1" si="28"/>
        <v>ECCBBE Q321 INDEX</v>
      </c>
      <c r="AR12" s="48" t="str">
        <f t="shared" ca="1" si="0"/>
        <v>ECCBBE Q421 INDEX</v>
      </c>
      <c r="AU12" s="48" t="str">
        <f t="shared" ca="1" si="3"/>
        <v>ECCBBE Q122 INDEX</v>
      </c>
      <c r="AX12" s="48" t="str">
        <f t="shared" ca="1" si="4"/>
        <v>ECCBBE Q222 INDEX</v>
      </c>
      <c r="BA12" s="48" t="str">
        <f t="shared" ca="1" si="5"/>
        <v>ECCBBE Q322 INDEX</v>
      </c>
      <c r="BD12" t="s">
        <v>388</v>
      </c>
      <c r="BE12" s="48" t="s">
        <v>701</v>
      </c>
      <c r="BF12" s="46">
        <v>-0.46300000000000002</v>
      </c>
      <c r="BH12" s="32" t="s">
        <v>418</v>
      </c>
      <c r="BI12" s="46">
        <v>0.48</v>
      </c>
      <c r="BJ12" s="46">
        <v>-1.42</v>
      </c>
      <c r="BK12" s="46">
        <v>0.09</v>
      </c>
      <c r="BL12" s="46">
        <v>-0.62</v>
      </c>
      <c r="BM12" s="46">
        <v>-0.09</v>
      </c>
      <c r="BO12" s="46" t="str">
        <f t="shared" si="29"/>
        <v>ECPIBE</v>
      </c>
      <c r="BP12" s="48" t="str">
        <f t="shared" ca="1" si="30"/>
        <v>ECPIBE Q321 INDEX</v>
      </c>
      <c r="BQ12" s="46">
        <v>-0.2</v>
      </c>
      <c r="BS12" s="48" t="str">
        <f t="shared" ca="1" si="1"/>
        <v>ECPIBE Q421 INDEX</v>
      </c>
      <c r="BT12" s="46">
        <v>-0.2</v>
      </c>
      <c r="BV12" s="48" t="str">
        <f t="shared" ca="1" si="6"/>
        <v>ECPIBE Q122 INDEX</v>
      </c>
      <c r="BW12" s="46">
        <v>-0.2</v>
      </c>
      <c r="BY12" s="48" t="str">
        <f t="shared" ca="1" si="7"/>
        <v>ECPIBE Q222 INDEX</v>
      </c>
      <c r="BZ12" s="46">
        <v>0.2</v>
      </c>
      <c r="CB12" s="48" t="str">
        <f t="shared" ca="1" si="8"/>
        <v>ECPIBE Q322 INDEX</v>
      </c>
      <c r="CC12" s="46">
        <v>2.2999999999999998</v>
      </c>
      <c r="CE12" s="48" t="str">
        <f t="shared" ca="1" si="9"/>
        <v>ECPIBE 21 INDEX</v>
      </c>
      <c r="CF12" s="46">
        <v>0.5</v>
      </c>
      <c r="CH12" s="48" t="str">
        <f t="shared" ca="1" si="10"/>
        <v>ECPIBE 22 INDEX</v>
      </c>
      <c r="CI12" s="46">
        <v>1.5</v>
      </c>
      <c r="CK12" s="48" t="str">
        <f t="shared" ca="1" si="11"/>
        <v>ECPIBE 23 INDEX</v>
      </c>
      <c r="CL12" s="46">
        <v>1</v>
      </c>
      <c r="CN12" s="32" t="s">
        <v>417</v>
      </c>
      <c r="CO12" s="46">
        <v>-2.5</v>
      </c>
      <c r="CP12" s="46">
        <v>1.3</v>
      </c>
      <c r="CQ12" s="46">
        <v>1.6</v>
      </c>
      <c r="CR12" s="46">
        <v>1.4</v>
      </c>
      <c r="CS12" s="46">
        <v>1.4</v>
      </c>
      <c r="CU12" s="46" t="str">
        <f t="shared" si="31"/>
        <v>ECGDBE</v>
      </c>
      <c r="CV12" s="48" t="str">
        <f t="shared" ca="1" si="12"/>
        <v>ECGDBE Q321 INDEX</v>
      </c>
      <c r="CW12" s="46">
        <v>-12.25</v>
      </c>
      <c r="CY12" s="48" t="str">
        <f t="shared" ca="1" si="13"/>
        <v>ECGDBE Q421 INDEX</v>
      </c>
      <c r="CZ12" s="46">
        <v>-8.1999999999999993</v>
      </c>
      <c r="DB12" s="48" t="str">
        <f t="shared" ca="1" si="14"/>
        <v>ECGDBE Q122 INDEX</v>
      </c>
      <c r="DC12" s="46">
        <v>-5.65</v>
      </c>
      <c r="DE12" s="48" t="str">
        <f t="shared" ca="1" si="15"/>
        <v>ECGDBE Q222 INDEX</v>
      </c>
      <c r="DF12" s="46">
        <v>-1.2</v>
      </c>
      <c r="DH12" s="48" t="str">
        <f t="shared" ca="1" si="16"/>
        <v>ECGDBE Q322 INDEX</v>
      </c>
      <c r="DI12" s="46">
        <v>10.1</v>
      </c>
      <c r="DK12" s="48" t="str">
        <f t="shared" ca="1" si="17"/>
        <v>ECGDBE 21 INDEX</v>
      </c>
      <c r="DL12" s="46">
        <v>-6.55</v>
      </c>
      <c r="DN12" s="48" t="str">
        <f t="shared" ca="1" si="18"/>
        <v>ECGDBE 22 INDEX</v>
      </c>
      <c r="DO12" s="46">
        <v>4.4000000000000004</v>
      </c>
      <c r="DQ12" s="48" t="str">
        <f t="shared" ca="1" si="19"/>
        <v>ECGDBE 23 INDEX</v>
      </c>
      <c r="DR12" s="46">
        <v>2.2000000000000002</v>
      </c>
      <c r="DT12" t="s">
        <v>651</v>
      </c>
      <c r="EA12" t="s">
        <v>651</v>
      </c>
      <c r="EB12"/>
      <c r="EC12"/>
      <c r="ED12"/>
      <c r="EE12"/>
      <c r="EG12"/>
      <c r="EH12" s="13" t="s">
        <v>922</v>
      </c>
      <c r="EI12" s="11">
        <v>5.6</v>
      </c>
      <c r="EJ12" s="11">
        <v>0.3</v>
      </c>
      <c r="EK12" s="11">
        <v>0.4</v>
      </c>
      <c r="EL12" s="11">
        <v>0.4</v>
      </c>
      <c r="EM12" s="11">
        <v>0.1</v>
      </c>
      <c r="EN12" s="11"/>
      <c r="EO12" s="13" t="str">
        <f t="shared" si="32"/>
        <v>OEBEKLAC Index</v>
      </c>
      <c r="EP12" s="13" t="s">
        <v>1133</v>
      </c>
      <c r="EQ12" s="11">
        <v>95.5608</v>
      </c>
      <c r="ER12" s="11">
        <v>-2.1875999999999998</v>
      </c>
      <c r="ES12" s="11">
        <v>-4.2816999999999998</v>
      </c>
      <c r="ET12" s="11">
        <v>-4.1322000000000001</v>
      </c>
      <c r="EU12" s="11">
        <v>-4.2153999999999998</v>
      </c>
      <c r="EV12"/>
      <c r="EW12" s="13" t="s">
        <v>1036</v>
      </c>
      <c r="EX12" s="13" t="s">
        <v>1063</v>
      </c>
      <c r="EY12" s="11">
        <v>6.9472800000000001</v>
      </c>
      <c r="EZ12"/>
      <c r="FA12" t="s">
        <v>929</v>
      </c>
      <c r="FB12" s="11">
        <v>11.68</v>
      </c>
      <c r="FC12" s="11">
        <v>1.78</v>
      </c>
      <c r="FD12" s="11">
        <v>8.0500000000000007</v>
      </c>
      <c r="FE12" s="11">
        <v>9.7799999999999994</v>
      </c>
      <c r="FF12" s="11">
        <v>-0.37</v>
      </c>
      <c r="FG12"/>
      <c r="FH12" s="33" t="s">
        <v>419</v>
      </c>
      <c r="FI12" s="46">
        <v>542.76099999999997</v>
      </c>
      <c r="FK12" t="s">
        <v>420</v>
      </c>
      <c r="FL12" t="s">
        <v>997</v>
      </c>
      <c r="FM12" s="11">
        <v>-1.9</v>
      </c>
      <c r="FN12"/>
      <c r="FO12" s="46" t="str">
        <f t="shared" si="20"/>
        <v>EHCABE</v>
      </c>
      <c r="FP12" t="str">
        <f t="shared" si="21"/>
        <v>EHCABE Index</v>
      </c>
      <c r="FQ12" s="11">
        <v>-1.23</v>
      </c>
      <c r="FR12" s="11">
        <v>-1.6600000000000001</v>
      </c>
      <c r="FS12" s="11">
        <v>-1.92</v>
      </c>
      <c r="FT12" s="11">
        <v>-1.6600000000000001</v>
      </c>
      <c r="FU12" s="11">
        <v>-1.3900000000000001</v>
      </c>
      <c r="FV12"/>
      <c r="FW12" t="s">
        <v>421</v>
      </c>
      <c r="FX12" t="s">
        <v>1023</v>
      </c>
      <c r="FY12">
        <v>83.52</v>
      </c>
      <c r="FZ12"/>
      <c r="GA12" t="str">
        <f t="shared" si="22"/>
        <v>TAYLBEB Index</v>
      </c>
      <c r="GB12" t="s">
        <v>1092</v>
      </c>
      <c r="GC12">
        <v>5.35</v>
      </c>
      <c r="GE12" s="43" t="s">
        <v>651</v>
      </c>
      <c r="GJ12" s="43" t="s">
        <v>651</v>
      </c>
      <c r="GO12" s="43" t="s">
        <v>651</v>
      </c>
    </row>
    <row r="13" spans="1:210" x14ac:dyDescent="0.35">
      <c r="A13" s="43" t="s">
        <v>31</v>
      </c>
      <c r="B13" s="44" t="s">
        <v>32</v>
      </c>
      <c r="H13" s="50" t="s">
        <v>745</v>
      </c>
      <c r="I13" s="44">
        <v>-0.46899999999999997</v>
      </c>
      <c r="K13" s="50" t="s">
        <v>781</v>
      </c>
      <c r="L13" s="44">
        <v>-0.29099999999999998</v>
      </c>
      <c r="N13" s="50" t="s">
        <v>820</v>
      </c>
      <c r="O13" s="44">
        <v>0.16600000000000001</v>
      </c>
      <c r="Q13" s="50" t="s">
        <v>651</v>
      </c>
      <c r="U13" s="44" t="s">
        <v>178</v>
      </c>
      <c r="V13" s="50" t="str">
        <f t="shared" si="2"/>
        <v>EUR Curncy</v>
      </c>
      <c r="W13" s="46">
        <v>1.1294999999999999</v>
      </c>
      <c r="Y13" s="50" t="str">
        <f t="shared" si="24"/>
        <v>EURUSD Curncy</v>
      </c>
      <c r="Z13" s="46">
        <v>1.1294999999999999</v>
      </c>
      <c r="AB13" s="46" t="str">
        <f t="shared" si="25"/>
        <v>FCUSIE</v>
      </c>
      <c r="AC13" s="48" t="str">
        <f t="shared" si="26"/>
        <v>FCUSIE Q418 INDEX</v>
      </c>
      <c r="AG13" s="43" t="s">
        <v>387</v>
      </c>
      <c r="AH13" s="46">
        <v>0</v>
      </c>
      <c r="AI13" s="46">
        <v>0</v>
      </c>
      <c r="AJ13" s="46">
        <v>0</v>
      </c>
      <c r="AK13" s="46">
        <v>0</v>
      </c>
      <c r="AL13" s="46">
        <v>0</v>
      </c>
      <c r="AN13" s="46" t="str">
        <f t="shared" si="27"/>
        <v>ECCBIE</v>
      </c>
      <c r="AO13" s="48" t="str">
        <f t="shared" ca="1" si="28"/>
        <v>ECCBIE Q321 INDEX</v>
      </c>
      <c r="AR13" s="48" t="str">
        <f t="shared" ca="1" si="0"/>
        <v>ECCBIE Q421 INDEX</v>
      </c>
      <c r="AU13" s="48" t="str">
        <f t="shared" ca="1" si="3"/>
        <v>ECCBIE Q122 INDEX</v>
      </c>
      <c r="AX13" s="48" t="str">
        <f t="shared" ca="1" si="4"/>
        <v>ECCBIE Q222 INDEX</v>
      </c>
      <c r="BA13" s="48" t="str">
        <f t="shared" ca="1" si="5"/>
        <v>ECCBIE Q322 INDEX</v>
      </c>
      <c r="BD13" t="s">
        <v>388</v>
      </c>
      <c r="BE13" s="48" t="s">
        <v>701</v>
      </c>
      <c r="BF13" s="46">
        <v>-0.46300000000000002</v>
      </c>
      <c r="BH13" s="32" t="s">
        <v>423</v>
      </c>
      <c r="BI13" s="46">
        <v>-0.5</v>
      </c>
      <c r="BJ13" s="46">
        <v>-1.5</v>
      </c>
      <c r="BK13" s="46">
        <v>-1.6</v>
      </c>
      <c r="BL13" s="46">
        <v>-1.6</v>
      </c>
      <c r="BM13" s="46">
        <v>-0.4</v>
      </c>
      <c r="BO13" s="46" t="str">
        <f t="shared" si="29"/>
        <v>ECPIIE</v>
      </c>
      <c r="BP13" s="48" t="str">
        <f t="shared" ca="1" si="30"/>
        <v>ECPIIE Q321 INDEX</v>
      </c>
      <c r="BQ13" s="46">
        <v>0.85</v>
      </c>
      <c r="BS13" s="48" t="str">
        <f t="shared" ca="1" si="1"/>
        <v>ECPIIE Q421 INDEX</v>
      </c>
      <c r="BT13" s="46">
        <v>1.5</v>
      </c>
      <c r="BV13" s="48" t="str">
        <f t="shared" ca="1" si="6"/>
        <v>ECPIIE Q122 INDEX</v>
      </c>
      <c r="BW13" s="46">
        <v>1.7</v>
      </c>
      <c r="BY13" s="48" t="str">
        <f t="shared" ca="1" si="7"/>
        <v>ECPIIE Q222 INDEX</v>
      </c>
      <c r="BZ13" s="46">
        <v>1.7</v>
      </c>
      <c r="CB13" s="48" t="str">
        <f t="shared" ca="1" si="8"/>
        <v>ECPIIE Q322 INDEX</v>
      </c>
      <c r="CC13" s="46">
        <v>1.7</v>
      </c>
      <c r="CE13" s="48" t="str">
        <f t="shared" ca="1" si="9"/>
        <v>ECPIIE 21 INDEX</v>
      </c>
      <c r="CF13" s="46">
        <v>0.15</v>
      </c>
      <c r="CH13" s="48" t="str">
        <f t="shared" ca="1" si="10"/>
        <v>ECPIIE 22 INDEX</v>
      </c>
      <c r="CI13" s="46">
        <v>1</v>
      </c>
      <c r="CK13" s="48" t="str">
        <f t="shared" ca="1" si="11"/>
        <v>ECPIIE 23 INDEX</v>
      </c>
      <c r="CN13" s="32" t="s">
        <v>422</v>
      </c>
      <c r="CO13" s="46">
        <v>4.5999999999999996</v>
      </c>
      <c r="CP13" s="46">
        <v>6.2</v>
      </c>
      <c r="CQ13" s="46">
        <v>4.5</v>
      </c>
      <c r="CR13" s="46">
        <v>3.9</v>
      </c>
      <c r="CS13" s="46">
        <v>7.6</v>
      </c>
      <c r="CU13" s="46" t="str">
        <f t="shared" si="31"/>
        <v>ECGDIE</v>
      </c>
      <c r="CV13" s="48" t="str">
        <f t="shared" ca="1" si="12"/>
        <v>ECGDIE Q321 INDEX</v>
      </c>
      <c r="CW13" s="46">
        <v>-14.4</v>
      </c>
      <c r="CY13" s="48" t="str">
        <f t="shared" ca="1" si="13"/>
        <v>ECGDIE Q421 INDEX</v>
      </c>
      <c r="CZ13" s="46">
        <v>-6.3</v>
      </c>
      <c r="DB13" s="48" t="str">
        <f t="shared" ca="1" si="14"/>
        <v>ECGDIE Q122 INDEX</v>
      </c>
      <c r="DC13" s="46">
        <v>-6.9</v>
      </c>
      <c r="DE13" s="48" t="str">
        <f t="shared" ca="1" si="15"/>
        <v>ECGDIE Q222 INDEX</v>
      </c>
      <c r="DF13" s="46">
        <v>3.2</v>
      </c>
      <c r="DH13" s="48" t="str">
        <f t="shared" ca="1" si="16"/>
        <v>ECGDIE Q322 INDEX</v>
      </c>
      <c r="DI13" s="46">
        <v>3.2</v>
      </c>
      <c r="DK13" s="48" t="str">
        <f t="shared" ca="1" si="17"/>
        <v>ECGDIE 21 INDEX</v>
      </c>
      <c r="DL13" s="46">
        <v>-5.75</v>
      </c>
      <c r="DN13" s="48" t="str">
        <f t="shared" ca="1" si="18"/>
        <v>ECGDIE 22 INDEX</v>
      </c>
      <c r="DO13" s="46">
        <v>5.4</v>
      </c>
      <c r="DQ13" s="48" t="str">
        <f t="shared" ca="1" si="19"/>
        <v>ECGDIE 23 INDEX</v>
      </c>
      <c r="DT13" t="s">
        <v>127</v>
      </c>
      <c r="DU13" s="46">
        <v>39.200000000000003</v>
      </c>
      <c r="DV13" s="46">
        <v>36</v>
      </c>
      <c r="DW13" s="46">
        <v>51.2</v>
      </c>
      <c r="DX13" s="46">
        <v>49.7</v>
      </c>
      <c r="DY13" s="46">
        <v>50.4</v>
      </c>
      <c r="EA13" t="s">
        <v>128</v>
      </c>
      <c r="EB13">
        <v>23.4</v>
      </c>
      <c r="EC13">
        <v>13.9</v>
      </c>
      <c r="ED13">
        <v>59.9</v>
      </c>
      <c r="EE13">
        <v>53.7</v>
      </c>
      <c r="EF13" s="46">
        <v>57</v>
      </c>
      <c r="EG13"/>
      <c r="EH13" s="13" t="s">
        <v>898</v>
      </c>
      <c r="EI13" s="11">
        <v>5.6</v>
      </c>
      <c r="EJ13" s="11">
        <v>0.2</v>
      </c>
      <c r="EK13" s="11">
        <v>0.8</v>
      </c>
      <c r="EL13" s="11">
        <v>0.8</v>
      </c>
      <c r="EM13" s="11">
        <v>1.1000000000000001</v>
      </c>
      <c r="EN13" s="11"/>
      <c r="EO13" s="13" t="str">
        <f t="shared" si="32"/>
        <v>OEIEKLAC Index</v>
      </c>
      <c r="EP13" s="13" t="s">
        <v>1134</v>
      </c>
      <c r="EQ13" s="11">
        <v>96.305400000000006</v>
      </c>
      <c r="ER13" s="11">
        <v>-2.6844000000000001</v>
      </c>
      <c r="ES13" s="11">
        <v>-3.9318</v>
      </c>
      <c r="ET13" s="11">
        <v>-3.6703000000000001</v>
      </c>
      <c r="EU13" s="11">
        <v>-3.2637</v>
      </c>
      <c r="EV13"/>
      <c r="EW13" s="13" t="s">
        <v>1043</v>
      </c>
      <c r="EX13" s="13" t="s">
        <v>1064</v>
      </c>
      <c r="EY13" s="11">
        <v>7.1187100000000001</v>
      </c>
      <c r="EZ13"/>
      <c r="FA13" t="s">
        <v>946</v>
      </c>
      <c r="FB13" s="11">
        <v>5.5</v>
      </c>
      <c r="FC13" s="11">
        <v>26</v>
      </c>
      <c r="FD13" s="11">
        <v>1.3</v>
      </c>
      <c r="FE13" s="11">
        <v>11.1</v>
      </c>
      <c r="FF13" s="11">
        <v>5.9</v>
      </c>
      <c r="FG13"/>
      <c r="FH13" s="33" t="s">
        <v>424</v>
      </c>
      <c r="FI13" s="46">
        <v>382.48700000000002</v>
      </c>
      <c r="FK13" t="s">
        <v>425</v>
      </c>
      <c r="FL13" t="s">
        <v>998</v>
      </c>
      <c r="FM13" s="11">
        <v>0.4</v>
      </c>
      <c r="FN13"/>
      <c r="FO13" s="46" t="str">
        <f t="shared" si="20"/>
        <v>EHCAIE</v>
      </c>
      <c r="FP13" t="str">
        <f t="shared" si="21"/>
        <v>EHCAIE Index</v>
      </c>
      <c r="FQ13" s="11">
        <v>-9.4499999999999993</v>
      </c>
      <c r="FR13" s="11">
        <v>-1</v>
      </c>
      <c r="FS13" s="11">
        <v>-0.94</v>
      </c>
      <c r="FT13" s="11">
        <v>10.32</v>
      </c>
      <c r="FU13" s="11">
        <v>10.58</v>
      </c>
      <c r="FV13"/>
      <c r="FW13" t="s">
        <v>426</v>
      </c>
      <c r="FX13" t="s">
        <v>1023</v>
      </c>
      <c r="FY13">
        <v>41.42</v>
      </c>
      <c r="FZ13"/>
      <c r="GA13" t="str">
        <f t="shared" si="22"/>
        <v>TAYLIEB Index</v>
      </c>
      <c r="GB13" t="s">
        <v>1092</v>
      </c>
      <c r="GC13">
        <v>4.55</v>
      </c>
      <c r="GE13" s="43" t="s">
        <v>651</v>
      </c>
      <c r="GJ13" s="43" t="s">
        <v>651</v>
      </c>
      <c r="GO13" s="43" t="s">
        <v>651</v>
      </c>
    </row>
    <row r="14" spans="1:210" x14ac:dyDescent="0.35">
      <c r="A14" s="43" t="s">
        <v>33</v>
      </c>
      <c r="B14" s="44" t="s">
        <v>34</v>
      </c>
      <c r="H14" s="50" t="s">
        <v>751</v>
      </c>
      <c r="I14" s="44">
        <v>-0.53600000000000003</v>
      </c>
      <c r="K14" s="50" t="s">
        <v>782</v>
      </c>
      <c r="L14" s="44">
        <v>-0.439</v>
      </c>
      <c r="N14" s="50" t="s">
        <v>821</v>
      </c>
      <c r="O14" s="44">
        <v>-0.123</v>
      </c>
      <c r="Q14" s="50" t="s">
        <v>651</v>
      </c>
      <c r="U14" s="44" t="s">
        <v>178</v>
      </c>
      <c r="V14" s="50" t="str">
        <f t="shared" si="2"/>
        <v>EUR Curncy</v>
      </c>
      <c r="W14" s="46">
        <v>1.1294999999999999</v>
      </c>
      <c r="Y14" s="50" t="str">
        <f t="shared" si="24"/>
        <v>EURUSD Curncy</v>
      </c>
      <c r="Z14" s="46">
        <v>1.1294999999999999</v>
      </c>
      <c r="AB14" s="46" t="str">
        <f t="shared" si="25"/>
        <v>FCUSAT</v>
      </c>
      <c r="AC14" s="48" t="str">
        <f t="shared" si="26"/>
        <v>FCUSAT Q418 INDEX</v>
      </c>
      <c r="AG14" s="43" t="s">
        <v>387</v>
      </c>
      <c r="AH14" s="46">
        <v>0</v>
      </c>
      <c r="AI14" s="46">
        <v>0</v>
      </c>
      <c r="AJ14" s="46">
        <v>0</v>
      </c>
      <c r="AK14" s="46">
        <v>0</v>
      </c>
      <c r="AL14" s="46">
        <v>0</v>
      </c>
      <c r="AN14" s="46" t="str">
        <f t="shared" si="27"/>
        <v>ECCBAT</v>
      </c>
      <c r="AO14" s="48" t="str">
        <f t="shared" ca="1" si="28"/>
        <v>ECCBAT Q321 INDEX</v>
      </c>
      <c r="AR14" s="48" t="str">
        <f t="shared" ca="1" si="0"/>
        <v>ECCBAT Q421 INDEX</v>
      </c>
      <c r="AU14" s="48" t="str">
        <f t="shared" ca="1" si="3"/>
        <v>ECCBAT Q122 INDEX</v>
      </c>
      <c r="AX14" s="48" t="str">
        <f t="shared" ca="1" si="4"/>
        <v>ECCBAT Q222 INDEX</v>
      </c>
      <c r="BA14" s="48" t="str">
        <f t="shared" ca="1" si="5"/>
        <v>ECCBAT Q322 INDEX</v>
      </c>
      <c r="BD14" t="s">
        <v>388</v>
      </c>
      <c r="BE14" s="48" t="s">
        <v>701</v>
      </c>
      <c r="BF14" s="46">
        <v>-0.46300000000000002</v>
      </c>
      <c r="BH14" s="32" t="s">
        <v>428</v>
      </c>
      <c r="BI14" s="46">
        <v>1.5</v>
      </c>
      <c r="BJ14" s="46">
        <v>-0.2</v>
      </c>
      <c r="BK14" s="46">
        <v>0.4</v>
      </c>
      <c r="BL14" s="46">
        <v>-0.5</v>
      </c>
      <c r="BM14" s="46">
        <v>-0.1</v>
      </c>
      <c r="BO14" s="46" t="str">
        <f t="shared" si="29"/>
        <v>ECPIAT</v>
      </c>
      <c r="BP14" s="48" t="str">
        <f t="shared" ca="1" si="30"/>
        <v>ECPIAT Q321 INDEX</v>
      </c>
      <c r="BQ14" s="46">
        <v>0.95</v>
      </c>
      <c r="BS14" s="48" t="str">
        <f t="shared" ca="1" si="1"/>
        <v>ECPIAT Q421 INDEX</v>
      </c>
      <c r="BT14" s="46">
        <v>0.65</v>
      </c>
      <c r="BV14" s="48" t="str">
        <f t="shared" ca="1" si="6"/>
        <v>ECPIAT Q122 INDEX</v>
      </c>
      <c r="BW14" s="46">
        <v>0.75</v>
      </c>
      <c r="BY14" s="48" t="str">
        <f t="shared" ca="1" si="7"/>
        <v>ECPIAT Q222 INDEX</v>
      </c>
      <c r="BZ14" s="46">
        <v>1.1000000000000001</v>
      </c>
      <c r="CB14" s="48" t="str">
        <f t="shared" ca="1" si="8"/>
        <v>ECPIAT Q322 INDEX</v>
      </c>
      <c r="CC14" s="46">
        <v>1.65</v>
      </c>
      <c r="CE14" s="48" t="str">
        <f t="shared" ca="1" si="9"/>
        <v>ECPIAT 21 INDEX</v>
      </c>
      <c r="CF14" s="46">
        <v>1</v>
      </c>
      <c r="CH14" s="48" t="str">
        <f t="shared" ca="1" si="10"/>
        <v>ECPIAT 22 INDEX</v>
      </c>
      <c r="CI14" s="46">
        <v>1.5</v>
      </c>
      <c r="CK14" s="48" t="str">
        <f t="shared" ca="1" si="11"/>
        <v>ECPIAT 23 INDEX</v>
      </c>
      <c r="CL14" s="46">
        <v>1.75</v>
      </c>
      <c r="CN14" s="32" t="s">
        <v>427</v>
      </c>
      <c r="CO14" s="46">
        <v>-2.9</v>
      </c>
      <c r="CP14" s="46">
        <v>0.9</v>
      </c>
      <c r="CQ14" s="46">
        <v>1.7</v>
      </c>
      <c r="CR14" s="46">
        <v>1.9</v>
      </c>
      <c r="CS14" s="46">
        <v>2</v>
      </c>
      <c r="CU14" s="46" t="str">
        <f t="shared" si="31"/>
        <v>ECGDAT</v>
      </c>
      <c r="CV14" s="48" t="str">
        <f t="shared" ca="1" si="12"/>
        <v>ECGDAT Q321 INDEX</v>
      </c>
      <c r="CW14" s="46">
        <v>-13.3</v>
      </c>
      <c r="CY14" s="48" t="str">
        <f t="shared" ca="1" si="13"/>
        <v>ECGDAT Q421 INDEX</v>
      </c>
      <c r="CZ14" s="46">
        <v>-7.3</v>
      </c>
      <c r="DB14" s="48" t="str">
        <f t="shared" ca="1" si="14"/>
        <v>ECGDAT Q122 INDEX</v>
      </c>
      <c r="DC14" s="46">
        <v>-4.7</v>
      </c>
      <c r="DE14" s="48" t="str">
        <f t="shared" ca="1" si="15"/>
        <v>ECGDAT Q222 INDEX</v>
      </c>
      <c r="DF14" s="46">
        <v>-0.8</v>
      </c>
      <c r="DH14" s="48" t="str">
        <f t="shared" ca="1" si="16"/>
        <v>ECGDAT Q322 INDEX</v>
      </c>
      <c r="DI14" s="46">
        <v>13.8</v>
      </c>
      <c r="DK14" s="48" t="str">
        <f t="shared" ca="1" si="17"/>
        <v>ECGDAT 21 INDEX</v>
      </c>
      <c r="DL14" s="46">
        <v>-6.5</v>
      </c>
      <c r="DN14" s="48" t="str">
        <f t="shared" ca="1" si="18"/>
        <v>ECGDAT 22 INDEX</v>
      </c>
      <c r="DO14" s="46">
        <v>4.5</v>
      </c>
      <c r="DQ14" s="48" t="str">
        <f t="shared" ca="1" si="19"/>
        <v>ECGDAT 23 INDEX</v>
      </c>
      <c r="DR14" s="46">
        <v>2.2000000000000002</v>
      </c>
      <c r="DT14" t="s">
        <v>130</v>
      </c>
      <c r="DU14" s="46">
        <v>40.4</v>
      </c>
      <c r="DV14" s="46">
        <v>31.6</v>
      </c>
      <c r="DW14" s="46">
        <v>50.2</v>
      </c>
      <c r="DX14" s="46">
        <v>46</v>
      </c>
      <c r="DY14" s="46">
        <v>48.3</v>
      </c>
      <c r="EA14" t="s">
        <v>651</v>
      </c>
      <c r="EB14"/>
      <c r="EC14"/>
      <c r="ED14"/>
      <c r="EE14"/>
      <c r="EG14"/>
      <c r="EH14" s="13" t="s">
        <v>921</v>
      </c>
      <c r="EI14" s="11">
        <v>4.8</v>
      </c>
      <c r="EJ14" s="11">
        <v>0</v>
      </c>
      <c r="EK14" s="11">
        <v>0.5</v>
      </c>
      <c r="EL14" s="11">
        <v>0.5</v>
      </c>
      <c r="EM14" s="11">
        <v>0.2</v>
      </c>
      <c r="EN14" s="11"/>
      <c r="EO14" s="13" t="str">
        <f t="shared" si="32"/>
        <v>OEATKLAC Index</v>
      </c>
      <c r="EP14" s="13" t="s">
        <v>1135</v>
      </c>
      <c r="EQ14" s="11">
        <v>95.980199999999996</v>
      </c>
      <c r="ER14" s="11">
        <v>-2.0709</v>
      </c>
      <c r="ES14" s="11">
        <v>-3.4647999999999999</v>
      </c>
      <c r="ET14" s="11">
        <v>-3.7269000000000001</v>
      </c>
      <c r="EU14" s="11">
        <v>-4.0072000000000001</v>
      </c>
      <c r="EV14"/>
      <c r="EW14" s="13" t="s">
        <v>1039</v>
      </c>
      <c r="EX14" s="13" t="s">
        <v>1065</v>
      </c>
      <c r="EY14" s="11">
        <v>5.1286899999999997</v>
      </c>
      <c r="EZ14"/>
      <c r="FA14" t="s">
        <v>928</v>
      </c>
      <c r="FB14" s="11">
        <v>-12.1</v>
      </c>
      <c r="FC14" s="11">
        <v>-2.83</v>
      </c>
      <c r="FD14" s="11">
        <v>-3.03</v>
      </c>
      <c r="FE14" s="11">
        <v>0.74</v>
      </c>
      <c r="FF14" s="11">
        <v>6.95</v>
      </c>
      <c r="FG14"/>
      <c r="FH14" s="33" t="s">
        <v>429</v>
      </c>
      <c r="FI14" s="46">
        <v>455.286</v>
      </c>
      <c r="FK14" t="s">
        <v>430</v>
      </c>
      <c r="FL14" t="s">
        <v>999</v>
      </c>
      <c r="FM14" s="11">
        <v>0.7</v>
      </c>
      <c r="FN14"/>
      <c r="FO14" s="46" t="str">
        <f t="shared" si="20"/>
        <v>EHCAAT</v>
      </c>
      <c r="FP14" t="str">
        <f t="shared" si="21"/>
        <v>EHCAAT Index</v>
      </c>
      <c r="FQ14" s="11">
        <v>2.62</v>
      </c>
      <c r="FR14" s="11">
        <v>1.85</v>
      </c>
      <c r="FS14" s="11">
        <v>1.76</v>
      </c>
      <c r="FT14" s="11">
        <v>2.13</v>
      </c>
      <c r="FU14" s="11">
        <v>2.2999999999999998</v>
      </c>
      <c r="FV14"/>
      <c r="FW14" t="s">
        <v>431</v>
      </c>
      <c r="FX14" t="s">
        <v>1023</v>
      </c>
      <c r="FY14">
        <v>37.32</v>
      </c>
      <c r="FZ14"/>
      <c r="GA14" t="str">
        <f t="shared" si="22"/>
        <v>TAYLATB Index</v>
      </c>
      <c r="GB14" t="s">
        <v>1092</v>
      </c>
      <c r="GC14">
        <v>3.55</v>
      </c>
      <c r="GE14" s="43" t="s">
        <v>651</v>
      </c>
      <c r="GJ14" s="43" t="s">
        <v>651</v>
      </c>
      <c r="GO14" s="43" t="s">
        <v>651</v>
      </c>
    </row>
    <row r="15" spans="1:210" x14ac:dyDescent="0.35">
      <c r="A15" s="43" t="s">
        <v>35</v>
      </c>
      <c r="B15" s="44" t="s">
        <v>36</v>
      </c>
      <c r="H15" s="50" t="s">
        <v>740</v>
      </c>
      <c r="I15" s="44">
        <v>-0.34899999999999998</v>
      </c>
      <c r="K15" s="50" t="s">
        <v>783</v>
      </c>
      <c r="L15" s="44">
        <v>6.6000000000000003E-2</v>
      </c>
      <c r="N15" s="50" t="s">
        <v>822</v>
      </c>
      <c r="O15" s="44">
        <v>0.59</v>
      </c>
      <c r="Q15" s="50" t="s">
        <v>651</v>
      </c>
      <c r="U15" s="44" t="s">
        <v>178</v>
      </c>
      <c r="V15" s="50" t="str">
        <f t="shared" si="2"/>
        <v>EUR Curncy</v>
      </c>
      <c r="W15" s="46">
        <v>1.1294999999999999</v>
      </c>
      <c r="Y15" s="50" t="str">
        <f t="shared" si="24"/>
        <v>EURUSD Curncy</v>
      </c>
      <c r="Z15" s="46">
        <v>1.1294999999999999</v>
      </c>
      <c r="AB15" s="46" t="str">
        <f t="shared" si="25"/>
        <v>FCUSPT</v>
      </c>
      <c r="AC15" s="48" t="str">
        <f t="shared" si="26"/>
        <v>FCUSPT Q418 INDEX</v>
      </c>
      <c r="AG15" s="43" t="s">
        <v>387</v>
      </c>
      <c r="AH15" s="46">
        <v>0</v>
      </c>
      <c r="AI15" s="46">
        <v>0</v>
      </c>
      <c r="AJ15" s="46">
        <v>0</v>
      </c>
      <c r="AK15" s="46">
        <v>0</v>
      </c>
      <c r="AL15" s="46">
        <v>0</v>
      </c>
      <c r="AN15" s="46" t="str">
        <f t="shared" si="27"/>
        <v>ECCBPT</v>
      </c>
      <c r="AO15" s="48" t="str">
        <f t="shared" ca="1" si="28"/>
        <v>ECCBPT Q321 INDEX</v>
      </c>
      <c r="AR15" s="48" t="str">
        <f t="shared" ca="1" si="0"/>
        <v>ECCBPT Q421 INDEX</v>
      </c>
      <c r="AU15" s="48" t="str">
        <f t="shared" ca="1" si="3"/>
        <v>ECCBPT Q122 INDEX</v>
      </c>
      <c r="AX15" s="48" t="str">
        <f t="shared" ca="1" si="4"/>
        <v>ECCBPT Q222 INDEX</v>
      </c>
      <c r="BA15" s="48" t="str">
        <f t="shared" ca="1" si="5"/>
        <v>ECCBPT Q322 INDEX</v>
      </c>
      <c r="BD15" t="s">
        <v>388</v>
      </c>
      <c r="BE15" s="48" t="s">
        <v>701</v>
      </c>
      <c r="BF15" s="46">
        <v>-0.46300000000000002</v>
      </c>
      <c r="BH15" s="32" t="s">
        <v>433</v>
      </c>
      <c r="BI15" s="46">
        <v>-0.72</v>
      </c>
      <c r="BJ15" s="46">
        <v>-1.1400000000000001</v>
      </c>
      <c r="BK15" s="46">
        <v>-1.04</v>
      </c>
      <c r="BL15" s="46">
        <v>-1.1000000000000001</v>
      </c>
      <c r="BM15" s="46">
        <v>-0.5</v>
      </c>
      <c r="BO15" s="46" t="str">
        <f t="shared" si="29"/>
        <v>ECPIPT</v>
      </c>
      <c r="BP15" s="48" t="str">
        <f t="shared" ca="1" si="30"/>
        <v>ECPIPT Q321 INDEX</v>
      </c>
      <c r="BQ15" s="46">
        <v>0.55000000000000004</v>
      </c>
      <c r="BS15" s="48" t="str">
        <f t="shared" ca="1" si="1"/>
        <v>ECPIPT Q421 INDEX</v>
      </c>
      <c r="BT15" s="46">
        <v>0.9</v>
      </c>
      <c r="BV15" s="48" t="str">
        <f t="shared" ca="1" si="6"/>
        <v>ECPIPT Q122 INDEX</v>
      </c>
      <c r="BW15" s="46">
        <v>1</v>
      </c>
      <c r="BY15" s="48" t="str">
        <f t="shared" ca="1" si="7"/>
        <v>ECPIPT Q222 INDEX</v>
      </c>
      <c r="BZ15" s="46">
        <v>1.1000000000000001</v>
      </c>
      <c r="CB15" s="48" t="str">
        <f t="shared" ca="1" si="8"/>
        <v>ECPIPT Q322 INDEX</v>
      </c>
      <c r="CC15" s="46">
        <v>1.2</v>
      </c>
      <c r="CE15" s="48" t="str">
        <f t="shared" ca="1" si="9"/>
        <v>ECPIPT 21 INDEX</v>
      </c>
      <c r="CF15" s="46">
        <v>0.3</v>
      </c>
      <c r="CH15" s="48" t="str">
        <f t="shared" ca="1" si="10"/>
        <v>ECPIPT 22 INDEX</v>
      </c>
      <c r="CI15" s="46">
        <v>0.7</v>
      </c>
      <c r="CK15" s="48" t="str">
        <f t="shared" ca="1" si="11"/>
        <v>ECPIPT 23 INDEX</v>
      </c>
      <c r="CL15" s="46">
        <v>0.9</v>
      </c>
      <c r="CN15" s="32" t="s">
        <v>432</v>
      </c>
      <c r="CO15" s="46">
        <v>-2.2999999999999998</v>
      </c>
      <c r="CP15" s="46">
        <v>2.2000000000000002</v>
      </c>
      <c r="CQ15" s="46">
        <v>1.9</v>
      </c>
      <c r="CR15" s="46">
        <v>2.1</v>
      </c>
      <c r="CS15" s="46">
        <v>2.4</v>
      </c>
      <c r="CU15" s="46" t="str">
        <f t="shared" si="31"/>
        <v>ECGDPT</v>
      </c>
      <c r="CV15" s="48" t="str">
        <f t="shared" ca="1" si="12"/>
        <v>ECGDPT Q321 INDEX</v>
      </c>
      <c r="CW15" s="46">
        <v>-13.4</v>
      </c>
      <c r="CY15" s="48" t="str">
        <f t="shared" ca="1" si="13"/>
        <v>ECGDPT Q421 INDEX</v>
      </c>
      <c r="CZ15" s="46">
        <v>-7.65</v>
      </c>
      <c r="DB15" s="48" t="str">
        <f t="shared" ca="1" si="14"/>
        <v>ECGDPT Q122 INDEX</v>
      </c>
      <c r="DC15" s="46">
        <v>-6</v>
      </c>
      <c r="DE15" s="48" t="str">
        <f t="shared" ca="1" si="15"/>
        <v>ECGDPT Q222 INDEX</v>
      </c>
      <c r="DF15" s="46">
        <v>-1</v>
      </c>
      <c r="DH15" s="48" t="str">
        <f t="shared" ca="1" si="16"/>
        <v>ECGDPT Q322 INDEX</v>
      </c>
      <c r="DI15" s="46">
        <v>14.2</v>
      </c>
      <c r="DK15" s="48" t="str">
        <f t="shared" ca="1" si="17"/>
        <v>ECGDPT 21 INDEX</v>
      </c>
      <c r="DL15" s="46">
        <v>-6.5</v>
      </c>
      <c r="DN15" s="48" t="str">
        <f t="shared" ca="1" si="18"/>
        <v>ECGDPT 22 INDEX</v>
      </c>
      <c r="DO15" s="46">
        <v>3.6</v>
      </c>
      <c r="DQ15" s="48" t="str">
        <f t="shared" ca="1" si="19"/>
        <v>ECGDPT 23 INDEX</v>
      </c>
      <c r="DR15" s="46">
        <v>2.2000000000000002</v>
      </c>
      <c r="DT15" t="s">
        <v>651</v>
      </c>
      <c r="EA15" t="s">
        <v>651</v>
      </c>
      <c r="EB15"/>
      <c r="EC15"/>
      <c r="ED15"/>
      <c r="EE15"/>
      <c r="EG15"/>
      <c r="EH15" s="13" t="s">
        <v>908</v>
      </c>
      <c r="EI15" s="11">
        <v>6.3</v>
      </c>
      <c r="EJ15" s="11">
        <v>0.1</v>
      </c>
      <c r="EK15" s="11">
        <v>-0.5</v>
      </c>
      <c r="EL15" s="11">
        <v>-0.2</v>
      </c>
      <c r="EM15" s="11">
        <v>-0.3</v>
      </c>
      <c r="EN15" s="11"/>
      <c r="EO15" s="13" t="str">
        <f t="shared" si="32"/>
        <v>OEPTKLAC Index</v>
      </c>
      <c r="EP15" s="13" t="s">
        <v>1136</v>
      </c>
      <c r="EQ15" s="11">
        <v>92.820899999999995</v>
      </c>
      <c r="ER15" s="11">
        <v>-5.4021999999999997</v>
      </c>
      <c r="ES15" s="11">
        <v>-6.8772000000000002</v>
      </c>
      <c r="ET15" s="11">
        <v>-6.9534000000000002</v>
      </c>
      <c r="EU15" s="11">
        <v>-6.6212999999999997</v>
      </c>
      <c r="EV15"/>
      <c r="EW15" s="13" t="s">
        <v>1046</v>
      </c>
      <c r="EX15" s="13" t="s">
        <v>1066</v>
      </c>
      <c r="EY15" s="11">
        <v>6.8</v>
      </c>
      <c r="EZ15"/>
      <c r="FA15" t="s">
        <v>955</v>
      </c>
      <c r="FB15" s="11">
        <v>-25.9</v>
      </c>
      <c r="FC15" s="11">
        <v>-6.8</v>
      </c>
      <c r="FD15" s="11">
        <v>2.2999999999999998</v>
      </c>
      <c r="FE15" s="11">
        <v>-2.1</v>
      </c>
      <c r="FF15" s="11">
        <v>-0.9</v>
      </c>
      <c r="FG15"/>
      <c r="FH15" s="33" t="s">
        <v>434</v>
      </c>
      <c r="FI15" s="46">
        <v>240.67500000000001</v>
      </c>
      <c r="FK15" t="s">
        <v>435</v>
      </c>
      <c r="FL15" t="s">
        <v>1000</v>
      </c>
      <c r="FM15" s="11">
        <v>0.2</v>
      </c>
      <c r="FN15"/>
      <c r="FO15" s="46" t="str">
        <f t="shared" si="20"/>
        <v>EHCAPT</v>
      </c>
      <c r="FP15" t="str">
        <f t="shared" si="21"/>
        <v>EHCAPT Index</v>
      </c>
      <c r="FQ15" s="11">
        <v>-0.28000000000000003</v>
      </c>
      <c r="FR15" s="11">
        <v>-0.09</v>
      </c>
      <c r="FS15" s="11">
        <v>-0.3</v>
      </c>
      <c r="FT15" s="11">
        <v>-0.11</v>
      </c>
      <c r="FU15" s="11">
        <v>-0.2</v>
      </c>
      <c r="FV15"/>
      <c r="FW15" t="s">
        <v>436</v>
      </c>
      <c r="FX15" t="s">
        <v>1023</v>
      </c>
      <c r="FY15">
        <v>93.87</v>
      </c>
      <c r="FZ15"/>
      <c r="GA15" t="str">
        <f t="shared" si="22"/>
        <v>TAYLPTB Index</v>
      </c>
      <c r="GB15" t="s">
        <v>1092</v>
      </c>
      <c r="GC15">
        <v>1.9</v>
      </c>
      <c r="GE15" s="43" t="s">
        <v>651</v>
      </c>
      <c r="GJ15" s="43" t="s">
        <v>651</v>
      </c>
      <c r="GO15" s="43" t="s">
        <v>651</v>
      </c>
    </row>
    <row r="16" spans="1:210" x14ac:dyDescent="0.35">
      <c r="A16" s="43" t="s">
        <v>43</v>
      </c>
      <c r="B16" s="44" t="s">
        <v>44</v>
      </c>
      <c r="H16" s="50" t="s">
        <v>748</v>
      </c>
      <c r="I16" s="44">
        <v>-0.45600000000000002</v>
      </c>
      <c r="K16" s="50" t="s">
        <v>784</v>
      </c>
      <c r="L16" s="44">
        <v>-0.51600000000000001</v>
      </c>
      <c r="N16" s="50" t="s">
        <v>823</v>
      </c>
      <c r="O16" s="44">
        <v>-0.16500000000000001</v>
      </c>
      <c r="Q16" s="50" t="s">
        <v>651</v>
      </c>
      <c r="U16" s="44" t="s">
        <v>178</v>
      </c>
      <c r="V16" s="50" t="str">
        <f>U16 &amp; " Curncy"</f>
        <v>EUR Curncy</v>
      </c>
      <c r="W16" s="46">
        <v>1.1294999999999999</v>
      </c>
      <c r="Y16" s="50" t="str">
        <f>U16 &amp; Y$2 &amp; " Curncy"</f>
        <v>EURUSD Curncy</v>
      </c>
      <c r="Z16" s="46">
        <v>1.1294999999999999</v>
      </c>
      <c r="AB16" s="46" t="str">
        <f t="shared" si="25"/>
        <v>FCUSFI</v>
      </c>
      <c r="AC16" s="48" t="str">
        <f t="shared" si="26"/>
        <v>FCUSFI Q418 INDEX</v>
      </c>
      <c r="AG16" s="43" t="s">
        <v>387</v>
      </c>
      <c r="AH16" s="46">
        <v>0</v>
      </c>
      <c r="AI16" s="46">
        <v>0</v>
      </c>
      <c r="AJ16" s="46">
        <v>0</v>
      </c>
      <c r="AK16" s="46">
        <v>0</v>
      </c>
      <c r="AL16" s="46">
        <v>0</v>
      </c>
      <c r="AN16" s="46" t="str">
        <f t="shared" si="27"/>
        <v>ECCBFI</v>
      </c>
      <c r="AO16" s="48" t="str">
        <f t="shared" ca="1" si="28"/>
        <v>ECCBFI Q321 INDEX</v>
      </c>
      <c r="AR16" s="48" t="str">
        <f t="shared" ca="1" si="0"/>
        <v>ECCBFI Q421 INDEX</v>
      </c>
      <c r="AU16" s="48" t="str">
        <f t="shared" ca="1" si="3"/>
        <v>ECCBFI Q122 INDEX</v>
      </c>
      <c r="AX16" s="48" t="str">
        <f t="shared" ca="1" si="4"/>
        <v>ECCBFI Q222 INDEX</v>
      </c>
      <c r="BA16" s="48" t="str">
        <f t="shared" ca="1" si="5"/>
        <v>ECCBFI Q322 INDEX</v>
      </c>
      <c r="BD16" t="s">
        <v>388</v>
      </c>
      <c r="BE16" s="48" t="s">
        <v>701</v>
      </c>
      <c r="BF16" s="46">
        <v>-0.46300000000000002</v>
      </c>
      <c r="BH16" s="32" t="s">
        <v>459</v>
      </c>
      <c r="BI16" s="46">
        <v>-0.3</v>
      </c>
      <c r="BJ16" s="46">
        <v>-1.8</v>
      </c>
      <c r="BK16" s="46">
        <v>-1</v>
      </c>
      <c r="BL16" s="46">
        <v>-1.3</v>
      </c>
      <c r="BM16" s="46">
        <v>-0.9</v>
      </c>
      <c r="BO16" s="46" t="str">
        <f t="shared" si="29"/>
        <v>ECPIFI</v>
      </c>
      <c r="BP16" s="48" t="str">
        <f t="shared" ca="1" si="30"/>
        <v>ECPIFI Q321 INDEX</v>
      </c>
      <c r="BS16" s="48" t="str">
        <f t="shared" ca="1" si="1"/>
        <v>ECPIFI Q421 INDEX</v>
      </c>
      <c r="BV16" s="48" t="str">
        <f t="shared" ca="1" si="6"/>
        <v>ECPIFI Q122 INDEX</v>
      </c>
      <c r="BY16" s="48" t="str">
        <f t="shared" ca="1" si="7"/>
        <v>ECPIFI Q222 INDEX</v>
      </c>
      <c r="CB16" s="48" t="str">
        <f t="shared" ca="1" si="8"/>
        <v>ECPIFI Q322 INDEX</v>
      </c>
      <c r="CE16" s="48" t="str">
        <f t="shared" ca="1" si="9"/>
        <v>ECPIFI 21 INDEX</v>
      </c>
      <c r="CF16" s="46">
        <v>0.4</v>
      </c>
      <c r="CH16" s="48" t="str">
        <f t="shared" ca="1" si="10"/>
        <v>ECPIFI 22 INDEX</v>
      </c>
      <c r="CI16" s="46">
        <v>1.1499999999999999</v>
      </c>
      <c r="CK16" s="48" t="str">
        <f t="shared" ca="1" si="11"/>
        <v>ECPIFI 23 INDEX</v>
      </c>
      <c r="CN16" s="32" t="s">
        <v>458</v>
      </c>
      <c r="CO16" s="46">
        <v>-0.7</v>
      </c>
      <c r="CP16" s="46">
        <v>0.6</v>
      </c>
      <c r="CQ16" s="46">
        <v>1.6</v>
      </c>
      <c r="CR16" s="46">
        <v>1.1000000000000001</v>
      </c>
      <c r="CS16" s="46">
        <v>0.5</v>
      </c>
      <c r="CU16" s="46" t="str">
        <f t="shared" si="31"/>
        <v>ECGDFI</v>
      </c>
      <c r="CV16" s="48" t="str">
        <f t="shared" ca="1" si="12"/>
        <v>ECGDFI Q321 INDEX</v>
      </c>
      <c r="CY16" s="48" t="str">
        <f t="shared" ca="1" si="13"/>
        <v>ECGDFI Q421 INDEX</v>
      </c>
      <c r="DB16" s="48" t="str">
        <f t="shared" ca="1" si="14"/>
        <v>ECGDFI Q122 INDEX</v>
      </c>
      <c r="DE16" s="48" t="str">
        <f t="shared" ca="1" si="15"/>
        <v>ECGDFI Q222 INDEX</v>
      </c>
      <c r="DH16" s="48" t="str">
        <f t="shared" ca="1" si="16"/>
        <v>ECGDFI Q322 INDEX</v>
      </c>
      <c r="DK16" s="48" t="str">
        <f t="shared" ca="1" si="17"/>
        <v>ECGDFI 21 INDEX</v>
      </c>
      <c r="DL16" s="46">
        <v>-5.45</v>
      </c>
      <c r="DN16" s="48" t="str">
        <f t="shared" ca="1" si="18"/>
        <v>ECGDFI 22 INDEX</v>
      </c>
      <c r="DO16" s="46">
        <v>2.9</v>
      </c>
      <c r="DQ16" s="48" t="str">
        <f t="shared" ca="1" si="19"/>
        <v>ECGDFI 23 INDEX</v>
      </c>
      <c r="DR16" s="46">
        <v>1.5</v>
      </c>
      <c r="DT16" t="s">
        <v>651</v>
      </c>
      <c r="EA16" t="s">
        <v>651</v>
      </c>
      <c r="EB16"/>
      <c r="EC16"/>
      <c r="ED16"/>
      <c r="EE16"/>
      <c r="EG16"/>
      <c r="EH16" s="13" t="s">
        <v>890</v>
      </c>
      <c r="EI16" s="11">
        <v>6.6</v>
      </c>
      <c r="EJ16" s="11">
        <v>0</v>
      </c>
      <c r="EK16" s="11">
        <v>0</v>
      </c>
      <c r="EL16" s="11">
        <v>-0.2</v>
      </c>
      <c r="EM16" s="11">
        <v>-0.1</v>
      </c>
      <c r="EN16" s="11"/>
      <c r="EO16" s="13" t="str">
        <f t="shared" si="32"/>
        <v>OEFIKLAC Index</v>
      </c>
      <c r="EP16" s="13" t="s">
        <v>1137</v>
      </c>
      <c r="EQ16" s="11">
        <v>97.932100000000005</v>
      </c>
      <c r="ER16" s="11">
        <v>-1.1094999999999999</v>
      </c>
      <c r="ES16" s="11">
        <v>-1.4873000000000001</v>
      </c>
      <c r="ET16" s="11">
        <v>-1.4161999999999999</v>
      </c>
      <c r="EU16" s="11">
        <v>-1.5289999999999999</v>
      </c>
      <c r="EV16"/>
      <c r="EW16" s="13" t="s">
        <v>1041</v>
      </c>
      <c r="EX16" s="13" t="s">
        <v>1067</v>
      </c>
      <c r="EY16" s="11">
        <v>7.9</v>
      </c>
      <c r="EZ16"/>
      <c r="FA16" t="s">
        <v>938</v>
      </c>
      <c r="FB16" s="11">
        <v>-3.1</v>
      </c>
      <c r="FC16" s="11">
        <v>3.3</v>
      </c>
      <c r="FD16" s="11">
        <v>-2.7</v>
      </c>
      <c r="FE16" s="11">
        <v>1.5</v>
      </c>
      <c r="FF16" s="11">
        <v>6.8</v>
      </c>
      <c r="FG16"/>
      <c r="FH16" s="33" t="s">
        <v>460</v>
      </c>
      <c r="FI16" s="46">
        <v>276.74299999999999</v>
      </c>
      <c r="FK16" t="s">
        <v>461</v>
      </c>
      <c r="FL16" t="s">
        <v>1001</v>
      </c>
      <c r="FM16" s="11">
        <v>-1.1000000000000001</v>
      </c>
      <c r="FN16"/>
      <c r="FO16" s="46" t="str">
        <f t="shared" si="20"/>
        <v>EHCAFI</v>
      </c>
      <c r="FP16" t="str">
        <f t="shared" si="21"/>
        <v>EHCAFI Index</v>
      </c>
      <c r="FQ16" s="11">
        <v>-1.38</v>
      </c>
      <c r="FR16" s="11">
        <v>-0.75</v>
      </c>
      <c r="FS16" s="11">
        <v>-1.1000000000000001</v>
      </c>
      <c r="FT16" s="11">
        <v>-1.6400000000000001</v>
      </c>
      <c r="FU16" s="11">
        <v>-1.1499999999999999</v>
      </c>
      <c r="FV16"/>
      <c r="FW16" t="s">
        <v>462</v>
      </c>
      <c r="FX16" t="s">
        <v>1023</v>
      </c>
      <c r="FY16">
        <v>24.75</v>
      </c>
      <c r="FZ16"/>
      <c r="GA16" t="str">
        <f t="shared" si="22"/>
        <v>TAYLFIB Index</v>
      </c>
      <c r="GB16" t="s">
        <v>1092</v>
      </c>
      <c r="GC16">
        <v>3.6</v>
      </c>
      <c r="GE16" s="43" t="s">
        <v>651</v>
      </c>
      <c r="GJ16" s="43" t="s">
        <v>651</v>
      </c>
      <c r="GO16" s="43" t="s">
        <v>651</v>
      </c>
    </row>
    <row r="17" spans="1:199" x14ac:dyDescent="0.35">
      <c r="A17" s="43" t="s">
        <v>37</v>
      </c>
      <c r="B17" s="44" t="s">
        <v>38</v>
      </c>
      <c r="H17" s="50" t="s">
        <v>737</v>
      </c>
      <c r="I17" s="44">
        <v>-0.67900000000000005</v>
      </c>
      <c r="K17" s="50" t="s">
        <v>785</v>
      </c>
      <c r="L17" s="44">
        <v>-0.59799999999999998</v>
      </c>
      <c r="N17" s="50" t="s">
        <v>824</v>
      </c>
      <c r="O17" s="44">
        <v>-0.68700000000000006</v>
      </c>
      <c r="Q17" s="50" t="s">
        <v>651</v>
      </c>
      <c r="U17" s="44" t="s">
        <v>174</v>
      </c>
      <c r="V17" s="50" t="str">
        <f t="shared" si="2"/>
        <v>CHF Curncy</v>
      </c>
      <c r="W17" s="46">
        <v>0.94710000000000005</v>
      </c>
      <c r="Y17" s="50" t="str">
        <f t="shared" si="24"/>
        <v>CHFUSD Curncy</v>
      </c>
      <c r="Z17" s="46">
        <v>1.0559000000000001</v>
      </c>
      <c r="AB17" s="46" t="str">
        <f t="shared" si="25"/>
        <v>FCUSCH</v>
      </c>
      <c r="AC17" s="48" t="str">
        <f t="shared" si="26"/>
        <v>FCUSCH Q418 INDEX</v>
      </c>
      <c r="AD17" s="48" t="s">
        <v>665</v>
      </c>
      <c r="AE17" s="46">
        <v>1</v>
      </c>
      <c r="AG17" s="43" t="s">
        <v>438</v>
      </c>
      <c r="AH17" s="46">
        <v>-0.75</v>
      </c>
      <c r="AI17" s="46">
        <v>0</v>
      </c>
      <c r="AJ17" s="46">
        <v>0</v>
      </c>
      <c r="AK17" s="46">
        <v>0</v>
      </c>
      <c r="AL17" s="46">
        <v>0</v>
      </c>
      <c r="AN17" s="46" t="str">
        <f t="shared" si="27"/>
        <v>ECCBCH</v>
      </c>
      <c r="AO17" s="48" t="str">
        <f t="shared" ca="1" si="28"/>
        <v>ECCBCH Q321 INDEX</v>
      </c>
      <c r="AP17" s="46">
        <v>-0.75</v>
      </c>
      <c r="AR17" s="48" t="str">
        <f t="shared" ca="1" si="0"/>
        <v>ECCBCH Q421 INDEX</v>
      </c>
      <c r="AS17" s="46">
        <v>-0.75</v>
      </c>
      <c r="AU17" s="48" t="str">
        <f t="shared" ca="1" si="3"/>
        <v>ECCBCH Q122 INDEX</v>
      </c>
      <c r="AV17" s="46">
        <v>-0.75</v>
      </c>
      <c r="AX17" s="48" t="str">
        <f t="shared" ca="1" si="4"/>
        <v>ECCBCH Q222 INDEX</v>
      </c>
      <c r="AY17" s="46">
        <v>-0.75</v>
      </c>
      <c r="BA17" s="48" t="str">
        <f t="shared" ca="1" si="5"/>
        <v>ECCBCH Q322 INDEX</v>
      </c>
      <c r="BB17" s="46">
        <v>-0.75</v>
      </c>
      <c r="BD17" t="s">
        <v>439</v>
      </c>
      <c r="BE17" s="48" t="s">
        <v>702</v>
      </c>
      <c r="BH17" s="32" t="s">
        <v>440</v>
      </c>
      <c r="BI17" s="46">
        <v>-1.3</v>
      </c>
      <c r="BJ17" s="46">
        <v>-1.9</v>
      </c>
      <c r="BK17" s="46">
        <v>-1.2</v>
      </c>
      <c r="BL17" s="46">
        <v>-1.2</v>
      </c>
      <c r="BM17" s="46">
        <v>-0.2</v>
      </c>
      <c r="BO17" s="46" t="str">
        <f t="shared" si="29"/>
        <v>ECPICH</v>
      </c>
      <c r="BP17" s="48" t="str">
        <f t="shared" ca="1" si="30"/>
        <v>ECPICH Q321 INDEX</v>
      </c>
      <c r="BQ17" s="46">
        <v>-1</v>
      </c>
      <c r="BS17" s="48" t="str">
        <f t="shared" ca="1" si="1"/>
        <v>ECPICH Q421 INDEX</v>
      </c>
      <c r="BT17" s="46">
        <v>-0.7</v>
      </c>
      <c r="BV17" s="48" t="str">
        <f t="shared" ca="1" si="6"/>
        <v>ECPICH Q122 INDEX</v>
      </c>
      <c r="BW17" s="46">
        <v>-0.5</v>
      </c>
      <c r="BY17" s="48" t="str">
        <f t="shared" ca="1" si="7"/>
        <v>ECPICH Q222 INDEX</v>
      </c>
      <c r="BZ17" s="46">
        <v>-0.2</v>
      </c>
      <c r="CB17" s="48" t="str">
        <f t="shared" ca="1" si="8"/>
        <v>ECPICH Q322 INDEX</v>
      </c>
      <c r="CC17" s="46">
        <v>0.5</v>
      </c>
      <c r="CE17" s="48" t="str">
        <f t="shared" ca="1" si="9"/>
        <v>ECPICH 21 INDEX</v>
      </c>
      <c r="CF17" s="46">
        <v>-0.5</v>
      </c>
      <c r="CH17" s="48" t="str">
        <f t="shared" ca="1" si="10"/>
        <v>ECPICH 22 INDEX</v>
      </c>
      <c r="CI17" s="46">
        <v>0.3</v>
      </c>
      <c r="CK17" s="48" t="str">
        <f t="shared" ca="1" si="11"/>
        <v>ECPICH 23 INDEX</v>
      </c>
      <c r="CL17" s="46">
        <v>0.65</v>
      </c>
      <c r="CN17" s="32" t="s">
        <v>437</v>
      </c>
      <c r="CO17" s="46">
        <v>-1.3</v>
      </c>
      <c r="CP17" s="46">
        <v>1.6</v>
      </c>
      <c r="CQ17" s="46">
        <v>1.1000000000000001</v>
      </c>
      <c r="CR17" s="46">
        <v>0.2</v>
      </c>
      <c r="CS17" s="46">
        <v>0.9</v>
      </c>
      <c r="CU17" s="46" t="str">
        <f t="shared" si="31"/>
        <v>ECGDCH</v>
      </c>
      <c r="CV17" s="48" t="str">
        <f t="shared" ca="1" si="12"/>
        <v>ECGDCH Q321 INDEX</v>
      </c>
      <c r="CW17" s="46">
        <v>-11.25</v>
      </c>
      <c r="CY17" s="48" t="str">
        <f t="shared" ca="1" si="13"/>
        <v>ECGDCH Q421 INDEX</v>
      </c>
      <c r="CZ17" s="46">
        <v>-5.4</v>
      </c>
      <c r="DB17" s="48" t="str">
        <f t="shared" ca="1" si="14"/>
        <v>ECGDCH Q122 INDEX</v>
      </c>
      <c r="DC17" s="46">
        <v>-3.85</v>
      </c>
      <c r="DE17" s="48" t="str">
        <f t="shared" ca="1" si="15"/>
        <v>ECGDCH Q222 INDEX</v>
      </c>
      <c r="DF17" s="46">
        <v>-0.2</v>
      </c>
      <c r="DH17" s="48" t="str">
        <f t="shared" ca="1" si="16"/>
        <v>ECGDCH Q322 INDEX</v>
      </c>
      <c r="DI17" s="46">
        <v>10.3</v>
      </c>
      <c r="DK17" s="48" t="str">
        <f t="shared" ca="1" si="17"/>
        <v>ECGDCH 21 INDEX</v>
      </c>
      <c r="DL17" s="46">
        <v>-5.4</v>
      </c>
      <c r="DN17" s="48" t="str">
        <f t="shared" ca="1" si="18"/>
        <v>ECGDCH 22 INDEX</v>
      </c>
      <c r="DO17" s="46">
        <v>4</v>
      </c>
      <c r="DQ17" s="48" t="str">
        <f t="shared" ca="1" si="19"/>
        <v>ECGDCH 23 INDEX</v>
      </c>
      <c r="DR17" s="46">
        <v>2.4</v>
      </c>
      <c r="DT17" t="s">
        <v>651</v>
      </c>
      <c r="EA17" t="s">
        <v>651</v>
      </c>
      <c r="EB17"/>
      <c r="EC17"/>
      <c r="ED17"/>
      <c r="EE17"/>
      <c r="EG17"/>
      <c r="EH17" s="13" t="s">
        <v>915</v>
      </c>
      <c r="EI17" s="11">
        <v>3.4</v>
      </c>
      <c r="EJ17" s="11">
        <v>0.3</v>
      </c>
      <c r="EK17" s="11">
        <v>0.8</v>
      </c>
      <c r="EL17" s="11">
        <v>1.1000000000000001</v>
      </c>
      <c r="EM17" s="11">
        <v>1.1000000000000001</v>
      </c>
      <c r="EN17" s="11"/>
      <c r="EO17" s="13" t="str">
        <f t="shared" si="32"/>
        <v>OECHKLAC Index</v>
      </c>
      <c r="EP17" s="13" t="s">
        <v>1138</v>
      </c>
      <c r="EQ17" s="11">
        <v>95.468800000000002</v>
      </c>
      <c r="ER17" s="11">
        <v>-2.7446000000000002</v>
      </c>
      <c r="ES17" s="11">
        <v>-4.9256000000000002</v>
      </c>
      <c r="ET17" s="11">
        <v>-5.1715999999999998</v>
      </c>
      <c r="EU17" s="11">
        <v>-4.9013999999999998</v>
      </c>
      <c r="EV17"/>
      <c r="EW17" s="13" t="s">
        <v>1047</v>
      </c>
      <c r="EX17" s="13" t="s">
        <v>1068</v>
      </c>
      <c r="EY17" s="11">
        <v>4.54216</v>
      </c>
      <c r="EZ17"/>
      <c r="FA17" t="s">
        <v>962</v>
      </c>
      <c r="FB17" s="11">
        <v>0.8</v>
      </c>
      <c r="FC17" s="11"/>
      <c r="FD17" s="11">
        <v>1.2</v>
      </c>
      <c r="FE17" s="11">
        <v>6</v>
      </c>
      <c r="FF17" s="11">
        <v>4</v>
      </c>
      <c r="FG17"/>
      <c r="FH17" s="33" t="s">
        <v>441</v>
      </c>
      <c r="FI17" s="46">
        <v>705.14</v>
      </c>
      <c r="FK17" t="s">
        <v>442</v>
      </c>
      <c r="FL17" t="s">
        <v>1002</v>
      </c>
      <c r="FM17" s="11">
        <v>0.441</v>
      </c>
      <c r="FN17"/>
      <c r="FO17" s="46" t="str">
        <f t="shared" si="20"/>
        <v>EHCACH</v>
      </c>
      <c r="FP17" t="str">
        <f t="shared" si="21"/>
        <v>EHCACH Index</v>
      </c>
      <c r="FQ17" s="11">
        <v>12.24</v>
      </c>
      <c r="FR17" s="11">
        <v>10.68</v>
      </c>
      <c r="FS17" s="11">
        <v>9.66</v>
      </c>
      <c r="FT17" s="11">
        <v>9.3800000000000008</v>
      </c>
      <c r="FU17" s="11">
        <v>8.2100000000000009</v>
      </c>
      <c r="FV17"/>
      <c r="FW17" t="s">
        <v>443</v>
      </c>
      <c r="FX17" t="s">
        <v>1023</v>
      </c>
      <c r="FY17">
        <v>12.44</v>
      </c>
      <c r="FZ17"/>
      <c r="GA17" t="str">
        <f t="shared" si="22"/>
        <v>TAYLCHB Index</v>
      </c>
      <c r="GB17" t="s">
        <v>1092</v>
      </c>
      <c r="GC17">
        <v>0.13</v>
      </c>
      <c r="GE17" s="43" t="str">
        <f>GE$2 &amp; $U17 &amp; " Index"</f>
        <v>CESICHF Index</v>
      </c>
      <c r="GF17" s="44">
        <v>16.5</v>
      </c>
      <c r="GG17" s="44">
        <v>17.16</v>
      </c>
      <c r="GH17" s="44">
        <v>19.98</v>
      </c>
      <c r="GJ17" s="43" t="str">
        <f t="shared" si="23"/>
        <v>CSIICHF Index</v>
      </c>
      <c r="GK17" s="44">
        <v>-34.76</v>
      </c>
      <c r="GL17" s="44">
        <v>2.7</v>
      </c>
      <c r="GM17" s="44">
        <v>-7.89</v>
      </c>
      <c r="GO17" s="43" t="s">
        <v>651</v>
      </c>
    </row>
    <row r="18" spans="1:199" x14ac:dyDescent="0.35">
      <c r="A18" s="43" t="s">
        <v>39</v>
      </c>
      <c r="B18" s="44" t="s">
        <v>40</v>
      </c>
      <c r="H18" s="50" t="s">
        <v>738</v>
      </c>
      <c r="I18" s="44">
        <v>-0.254</v>
      </c>
      <c r="K18" s="50" t="s">
        <v>786</v>
      </c>
      <c r="L18" s="44">
        <v>-0.189</v>
      </c>
      <c r="N18" s="50" t="s">
        <v>825</v>
      </c>
      <c r="O18" s="44">
        <v>4.9000000000000002E-2</v>
      </c>
      <c r="Q18" s="50" t="s">
        <v>1101</v>
      </c>
      <c r="R18" s="50" t="s">
        <v>1111</v>
      </c>
      <c r="S18" s="44">
        <v>1.3320000000000001</v>
      </c>
      <c r="U18" s="44" t="s">
        <v>191</v>
      </c>
      <c r="V18" s="50" t="str">
        <f t="shared" si="2"/>
        <v>SEK Curncy</v>
      </c>
      <c r="W18" s="46">
        <v>9.2932000000000006</v>
      </c>
      <c r="Y18" s="50" t="str">
        <f t="shared" si="24"/>
        <v>SEKUSD Curncy</v>
      </c>
      <c r="Z18" s="46">
        <v>0.107584</v>
      </c>
      <c r="AB18" s="46" t="str">
        <f t="shared" si="25"/>
        <v>FCUSSE</v>
      </c>
      <c r="AC18" s="48" t="str">
        <f t="shared" si="26"/>
        <v>FCUSSE Q418 INDEX</v>
      </c>
      <c r="AD18" s="48" t="s">
        <v>666</v>
      </c>
      <c r="AE18" s="46">
        <v>8.92</v>
      </c>
      <c r="AG18" s="43" t="s">
        <v>445</v>
      </c>
      <c r="AH18" s="46">
        <v>0</v>
      </c>
      <c r="AI18" s="46">
        <v>0.25</v>
      </c>
      <c r="AJ18" s="46">
        <v>0.25</v>
      </c>
      <c r="AK18" s="46">
        <v>0</v>
      </c>
      <c r="AL18" s="46">
        <v>0</v>
      </c>
      <c r="AN18" s="46" t="str">
        <f t="shared" si="27"/>
        <v>ECCBSE</v>
      </c>
      <c r="AO18" s="48" t="str">
        <f t="shared" ca="1" si="28"/>
        <v>ECCBSE Q321 INDEX</v>
      </c>
      <c r="AP18" s="46">
        <v>-0.05</v>
      </c>
      <c r="AR18" s="48" t="str">
        <f t="shared" ca="1" si="0"/>
        <v>ECCBSE Q421 INDEX</v>
      </c>
      <c r="AS18" s="46">
        <v>-0.1</v>
      </c>
      <c r="AU18" s="48" t="str">
        <f t="shared" ca="1" si="3"/>
        <v>ECCBSE Q122 INDEX</v>
      </c>
      <c r="AV18" s="46">
        <v>-0.1</v>
      </c>
      <c r="AX18" s="48" t="str">
        <f t="shared" ca="1" si="4"/>
        <v>ECCBSE Q222 INDEX</v>
      </c>
      <c r="AY18" s="46">
        <v>-0.1</v>
      </c>
      <c r="BA18" s="48" t="str">
        <f t="shared" ca="1" si="5"/>
        <v>ECCBSE Q322 INDEX</v>
      </c>
      <c r="BB18" s="46">
        <v>-0.1</v>
      </c>
      <c r="BD18" t="s">
        <v>446</v>
      </c>
      <c r="BE18" s="48" t="s">
        <v>703</v>
      </c>
      <c r="BF18" s="46">
        <v>0.114</v>
      </c>
      <c r="BH18" s="32" t="s">
        <v>447</v>
      </c>
      <c r="BI18" s="46">
        <v>0</v>
      </c>
      <c r="BJ18" s="46">
        <v>-2.2000000000000002</v>
      </c>
      <c r="BK18" s="46">
        <v>-1.8</v>
      </c>
      <c r="BL18" s="46">
        <v>-1</v>
      </c>
      <c r="BM18" s="46">
        <v>0.4</v>
      </c>
      <c r="BO18" s="46" t="str">
        <f t="shared" si="29"/>
        <v>ECPISE</v>
      </c>
      <c r="BP18" s="48" t="str">
        <f t="shared" ca="1" si="30"/>
        <v>ECPISE Q321 INDEX</v>
      </c>
      <c r="BQ18" s="46">
        <v>1.4</v>
      </c>
      <c r="BS18" s="48" t="str">
        <f t="shared" ca="1" si="1"/>
        <v>ECPISE Q421 INDEX</v>
      </c>
      <c r="BT18" s="46">
        <v>1.1000000000000001</v>
      </c>
      <c r="BV18" s="48" t="str">
        <f t="shared" ca="1" si="6"/>
        <v>ECPISE Q122 INDEX</v>
      </c>
      <c r="BW18" s="46">
        <v>1.3</v>
      </c>
      <c r="BY18" s="48" t="str">
        <f t="shared" ca="1" si="7"/>
        <v>ECPISE Q222 INDEX</v>
      </c>
      <c r="BZ18" s="46">
        <v>1.6</v>
      </c>
      <c r="CB18" s="48" t="str">
        <f t="shared" ca="1" si="8"/>
        <v>ECPISE Q322 INDEX</v>
      </c>
      <c r="CC18" s="46">
        <v>1.6</v>
      </c>
      <c r="CE18" s="48" t="str">
        <f t="shared" ca="1" si="9"/>
        <v>ECPISE 21 INDEX</v>
      </c>
      <c r="CF18" s="46">
        <v>0.4</v>
      </c>
      <c r="CH18" s="48" t="str">
        <f t="shared" ca="1" si="10"/>
        <v>ECPISE 22 INDEX</v>
      </c>
      <c r="CI18" s="46">
        <v>1.4</v>
      </c>
      <c r="CK18" s="48" t="str">
        <f t="shared" ca="1" si="11"/>
        <v>ECPISE 23 INDEX</v>
      </c>
      <c r="CL18" s="46">
        <v>1.5</v>
      </c>
      <c r="CN18" s="32" t="s">
        <v>444</v>
      </c>
      <c r="CO18" s="46">
        <v>0.4</v>
      </c>
      <c r="CP18" s="46">
        <v>0.5</v>
      </c>
      <c r="CQ18" s="46">
        <v>1.7</v>
      </c>
      <c r="CR18" s="46">
        <v>1</v>
      </c>
      <c r="CS18" s="46">
        <v>1.7</v>
      </c>
      <c r="CU18" s="46" t="str">
        <f t="shared" si="31"/>
        <v>ECGDSE</v>
      </c>
      <c r="CV18" s="48" t="str">
        <f t="shared" ca="1" si="12"/>
        <v>ECGDSE Q321 INDEX</v>
      </c>
      <c r="CW18" s="46">
        <v>-9.35</v>
      </c>
      <c r="CY18" s="48" t="str">
        <f t="shared" ca="1" si="13"/>
        <v>ECGDSE Q421 INDEX</v>
      </c>
      <c r="CZ18" s="46">
        <v>-7</v>
      </c>
      <c r="DB18" s="48" t="str">
        <f t="shared" ca="1" si="14"/>
        <v>ECGDSE Q122 INDEX</v>
      </c>
      <c r="DC18" s="46">
        <v>-4.5</v>
      </c>
      <c r="DE18" s="48" t="str">
        <f t="shared" ca="1" si="15"/>
        <v>ECGDSE Q222 INDEX</v>
      </c>
      <c r="DF18" s="46">
        <v>0.2</v>
      </c>
      <c r="DH18" s="48" t="str">
        <f t="shared" ca="1" si="16"/>
        <v>ECGDSE Q322 INDEX</v>
      </c>
      <c r="DI18" s="46">
        <v>11.7</v>
      </c>
      <c r="DK18" s="48" t="str">
        <f t="shared" ca="1" si="17"/>
        <v>ECGDSE 21 INDEX</v>
      </c>
      <c r="DL18" s="46">
        <v>-4.9000000000000004</v>
      </c>
      <c r="DN18" s="48" t="str">
        <f t="shared" ca="1" si="18"/>
        <v>ECGDSE 22 INDEX</v>
      </c>
      <c r="DO18" s="46">
        <v>4.2</v>
      </c>
      <c r="DQ18" s="48" t="str">
        <f t="shared" ca="1" si="19"/>
        <v>ECGDSE 23 INDEX</v>
      </c>
      <c r="DR18" s="46">
        <v>2.4</v>
      </c>
      <c r="DT18" t="s">
        <v>651</v>
      </c>
      <c r="EA18" t="s">
        <v>651</v>
      </c>
      <c r="EB18"/>
      <c r="EC18"/>
      <c r="ED18"/>
      <c r="EE18"/>
      <c r="EG18"/>
      <c r="EH18" s="13" t="s">
        <v>914</v>
      </c>
      <c r="EI18" s="11">
        <v>7.9</v>
      </c>
      <c r="EJ18" s="11">
        <v>1.2</v>
      </c>
      <c r="EK18" s="11">
        <v>0.7</v>
      </c>
      <c r="EL18" s="11">
        <v>1.2</v>
      </c>
      <c r="EM18" s="11">
        <v>1.5</v>
      </c>
      <c r="EN18" s="11"/>
      <c r="EO18" s="13" t="str">
        <f t="shared" si="32"/>
        <v>OESEKLAC Index</v>
      </c>
      <c r="EP18" s="13" t="s">
        <v>1139</v>
      </c>
      <c r="EQ18" s="11">
        <v>96.002499999999998</v>
      </c>
      <c r="ER18" s="11">
        <v>-1.8847</v>
      </c>
      <c r="ES18" s="11">
        <v>-2.8788999999999998</v>
      </c>
      <c r="ET18" s="11">
        <v>-2.9842</v>
      </c>
      <c r="EU18" s="11">
        <v>-3.2361</v>
      </c>
      <c r="EV18"/>
      <c r="EW18" s="13" t="s">
        <v>1048</v>
      </c>
      <c r="EX18" s="13" t="s">
        <v>1069</v>
      </c>
      <c r="EY18" s="11">
        <v>6.4531400000000003</v>
      </c>
      <c r="EZ18"/>
      <c r="FA18" t="s">
        <v>961</v>
      </c>
      <c r="FB18" s="11">
        <v>-16.7</v>
      </c>
      <c r="FC18" s="11">
        <v>0.8</v>
      </c>
      <c r="FD18" s="11">
        <v>-0.8</v>
      </c>
      <c r="FE18" s="11">
        <v>-2.1</v>
      </c>
      <c r="FF18" s="11">
        <v>4</v>
      </c>
      <c r="FG18"/>
      <c r="FH18" s="33" t="s">
        <v>448</v>
      </c>
      <c r="FI18" s="46">
        <v>556.08600000000001</v>
      </c>
      <c r="FK18" t="s">
        <v>449</v>
      </c>
      <c r="FL18" t="s">
        <v>1003</v>
      </c>
      <c r="FM18" s="11">
        <v>0.5</v>
      </c>
      <c r="FN18"/>
      <c r="FO18" s="46" t="str">
        <f t="shared" si="20"/>
        <v>EHCASE</v>
      </c>
      <c r="FP18" t="str">
        <f t="shared" si="21"/>
        <v>EHCASE Index</v>
      </c>
      <c r="FQ18" s="11">
        <v>4.5600000000000005</v>
      </c>
      <c r="FR18" s="11">
        <v>4.2</v>
      </c>
      <c r="FS18" s="11">
        <v>4.1100000000000003</v>
      </c>
      <c r="FT18" s="11">
        <v>3.66</v>
      </c>
      <c r="FU18" s="11">
        <v>3.17</v>
      </c>
      <c r="FV18"/>
      <c r="FW18" t="s">
        <v>450</v>
      </c>
      <c r="FX18" t="s">
        <v>1023</v>
      </c>
      <c r="FY18">
        <v>3</v>
      </c>
      <c r="FZ18"/>
      <c r="GA18" t="str">
        <f t="shared" si="22"/>
        <v>TAYLSEB Index</v>
      </c>
      <c r="GB18" t="s">
        <v>1092</v>
      </c>
      <c r="GC18">
        <v>1.7</v>
      </c>
      <c r="GE18" s="43" t="str">
        <f>GE$2 &amp; $U18 &amp; " Index"</f>
        <v>CESISEK Index</v>
      </c>
      <c r="GF18" s="44">
        <v>46</v>
      </c>
      <c r="GG18" s="44">
        <v>12</v>
      </c>
      <c r="GH18" s="44">
        <v>-12.09</v>
      </c>
      <c r="GJ18" s="43" t="str">
        <f t="shared" si="23"/>
        <v>CSIISEK Index</v>
      </c>
      <c r="GK18" s="44">
        <v>-40</v>
      </c>
      <c r="GL18" s="44">
        <v>-1.23</v>
      </c>
      <c r="GM18" s="44">
        <v>-16.190000000000001</v>
      </c>
      <c r="GO18" s="43" t="s">
        <v>651</v>
      </c>
    </row>
    <row r="19" spans="1:199" x14ac:dyDescent="0.35">
      <c r="A19" s="43" t="s">
        <v>41</v>
      </c>
      <c r="B19" s="44" t="s">
        <v>42</v>
      </c>
      <c r="H19" s="50" t="s">
        <v>749</v>
      </c>
      <c r="I19" s="44">
        <v>-0.50900000000000001</v>
      </c>
      <c r="K19" s="50" t="s">
        <v>787</v>
      </c>
      <c r="L19" s="44">
        <v>-0.436</v>
      </c>
      <c r="N19" s="50" t="s">
        <v>826</v>
      </c>
      <c r="O19" s="44">
        <v>-0.245</v>
      </c>
      <c r="Q19" s="50" t="s">
        <v>651</v>
      </c>
      <c r="U19" s="44" t="s">
        <v>196</v>
      </c>
      <c r="V19" s="50" t="str">
        <f t="shared" si="2"/>
        <v>DKK Curncy</v>
      </c>
      <c r="W19" s="46">
        <v>6.6001000000000003</v>
      </c>
      <c r="Y19" s="50" t="str">
        <f t="shared" si="24"/>
        <v>DKKUSD Curncy</v>
      </c>
      <c r="Z19" s="46">
        <v>0.1515</v>
      </c>
      <c r="AB19" s="46" t="str">
        <f t="shared" si="25"/>
        <v>FCUSDK</v>
      </c>
      <c r="AC19" s="48" t="str">
        <f t="shared" si="26"/>
        <v>FCUSDK Q418 INDEX</v>
      </c>
      <c r="AD19" s="48" t="s">
        <v>667</v>
      </c>
      <c r="AE19" s="46">
        <v>6.54</v>
      </c>
      <c r="AG19" s="43" t="s">
        <v>452</v>
      </c>
      <c r="AH19" s="46">
        <v>0</v>
      </c>
      <c r="AI19" s="46">
        <v>0</v>
      </c>
      <c r="AJ19" s="46">
        <v>0</v>
      </c>
      <c r="AK19" s="46">
        <v>0</v>
      </c>
      <c r="AL19" s="46">
        <v>0</v>
      </c>
      <c r="AN19" s="46" t="str">
        <f t="shared" si="27"/>
        <v>ECCBDK</v>
      </c>
      <c r="AO19" s="48" t="str">
        <f t="shared" ca="1" si="28"/>
        <v>ECCBDK Q321 INDEX</v>
      </c>
      <c r="AP19" s="46">
        <v>-0.65</v>
      </c>
      <c r="AR19" s="48" t="str">
        <f t="shared" ca="1" si="0"/>
        <v>ECCBDK Q421 INDEX</v>
      </c>
      <c r="AS19" s="46">
        <v>-0.65</v>
      </c>
      <c r="AU19" s="48" t="str">
        <f t="shared" ca="1" si="3"/>
        <v>ECCBDK Q122 INDEX</v>
      </c>
      <c r="AV19" s="46">
        <v>-0.65</v>
      </c>
      <c r="AX19" s="48" t="str">
        <f t="shared" ca="1" si="4"/>
        <v>ECCBDK Q222 INDEX</v>
      </c>
      <c r="AY19" s="46">
        <v>-0.65</v>
      </c>
      <c r="BA19" s="48" t="str">
        <f t="shared" ca="1" si="5"/>
        <v>ECCBDK Q322 INDEX</v>
      </c>
      <c r="BB19" s="46">
        <v>-0.65</v>
      </c>
      <c r="BD19" t="s">
        <v>453</v>
      </c>
      <c r="BE19" s="48" t="s">
        <v>704</v>
      </c>
      <c r="BF19" s="46">
        <v>-0.40329999999999999</v>
      </c>
      <c r="BH19" s="32" t="s">
        <v>454</v>
      </c>
      <c r="BI19" s="46">
        <v>0</v>
      </c>
      <c r="BJ19" s="46">
        <v>-0.7</v>
      </c>
      <c r="BK19" s="46">
        <v>-0.7</v>
      </c>
      <c r="BL19" s="46">
        <v>-0.8</v>
      </c>
      <c r="BM19" s="46">
        <v>0</v>
      </c>
      <c r="BO19" s="46" t="str">
        <f t="shared" si="29"/>
        <v>ECPIDK</v>
      </c>
      <c r="BP19" s="48" t="str">
        <f t="shared" ca="1" si="30"/>
        <v>ECPIDK Q321 INDEX</v>
      </c>
      <c r="BS19" s="48" t="str">
        <f t="shared" ca="1" si="1"/>
        <v>ECPIDK Q421 INDEX</v>
      </c>
      <c r="BV19" s="48" t="str">
        <f t="shared" ca="1" si="6"/>
        <v>ECPIDK Q122 INDEX</v>
      </c>
      <c r="BY19" s="48" t="str">
        <f t="shared" ca="1" si="7"/>
        <v>ECPIDK Q222 INDEX</v>
      </c>
      <c r="CB19" s="48" t="str">
        <f t="shared" ca="1" si="8"/>
        <v>ECPIDK Q322 INDEX</v>
      </c>
      <c r="CE19" s="48" t="str">
        <f t="shared" ca="1" si="9"/>
        <v>ECPIDK 21 INDEX</v>
      </c>
      <c r="CF19" s="46">
        <v>0.4</v>
      </c>
      <c r="CH19" s="48" t="str">
        <f t="shared" ca="1" si="10"/>
        <v>ECPIDK 22 INDEX</v>
      </c>
      <c r="CI19" s="46">
        <v>1</v>
      </c>
      <c r="CK19" s="48" t="str">
        <f t="shared" ca="1" si="11"/>
        <v>ECPIDK 23 INDEX</v>
      </c>
      <c r="CN19" s="32" t="s">
        <v>451</v>
      </c>
      <c r="CO19" s="46">
        <v>-0.3</v>
      </c>
      <c r="CP19" s="46">
        <v>2.2000000000000002</v>
      </c>
      <c r="CQ19" s="46">
        <v>2.6</v>
      </c>
      <c r="CR19" s="46">
        <v>2.7</v>
      </c>
      <c r="CS19" s="46">
        <v>2</v>
      </c>
      <c r="CU19" s="46" t="str">
        <f t="shared" si="31"/>
        <v>ECGDDK</v>
      </c>
      <c r="CV19" s="48" t="str">
        <f t="shared" ca="1" si="12"/>
        <v>ECGDDK Q321 INDEX</v>
      </c>
      <c r="CY19" s="48" t="str">
        <f t="shared" ca="1" si="13"/>
        <v>ECGDDK Q421 INDEX</v>
      </c>
      <c r="DB19" s="48" t="str">
        <f t="shared" ca="1" si="14"/>
        <v>ECGDDK Q122 INDEX</v>
      </c>
      <c r="DE19" s="48" t="str">
        <f t="shared" ca="1" si="15"/>
        <v>ECGDDK Q222 INDEX</v>
      </c>
      <c r="DH19" s="48" t="str">
        <f t="shared" ca="1" si="16"/>
        <v>ECGDDK Q322 INDEX</v>
      </c>
      <c r="DK19" s="48" t="str">
        <f t="shared" ca="1" si="17"/>
        <v>ECGDDK 21 INDEX</v>
      </c>
      <c r="DL19" s="46">
        <v>-4.1500000000000004</v>
      </c>
      <c r="DN19" s="48" t="str">
        <f t="shared" ca="1" si="18"/>
        <v>ECGDDK 22 INDEX</v>
      </c>
      <c r="DO19" s="46">
        <v>3.35</v>
      </c>
      <c r="DQ19" s="48" t="str">
        <f t="shared" ca="1" si="19"/>
        <v>ECGDDK 23 INDEX</v>
      </c>
      <c r="DR19" s="46">
        <v>2</v>
      </c>
      <c r="DT19" t="s">
        <v>651</v>
      </c>
      <c r="EA19" t="s">
        <v>651</v>
      </c>
      <c r="EB19"/>
      <c r="EC19"/>
      <c r="ED19"/>
      <c r="EE19"/>
      <c r="EG19"/>
      <c r="EH19" s="13" t="s">
        <v>888</v>
      </c>
      <c r="EI19" s="11">
        <v>4.5999999999999996</v>
      </c>
      <c r="EJ19" s="11">
        <v>-0.1</v>
      </c>
      <c r="EK19" s="11">
        <v>-0.3</v>
      </c>
      <c r="EL19" s="11">
        <v>-0.6</v>
      </c>
      <c r="EM19" s="11">
        <v>-0.6</v>
      </c>
      <c r="EN19" s="11"/>
      <c r="EO19" s="13" t="str">
        <f t="shared" si="32"/>
        <v>OEDKKLAC Index</v>
      </c>
      <c r="EP19" s="13" t="s">
        <v>1140</v>
      </c>
      <c r="EQ19" s="11">
        <v>96.067899999999995</v>
      </c>
      <c r="ER19" s="11">
        <v>-1.5581</v>
      </c>
      <c r="ES19" s="11">
        <v>-3.6649000000000003</v>
      </c>
      <c r="ET19" s="11">
        <v>-3.8425000000000002</v>
      </c>
      <c r="EU19" s="11">
        <v>-3.9910999999999999</v>
      </c>
      <c r="EV19"/>
      <c r="EW19" s="13" t="s">
        <v>1040</v>
      </c>
      <c r="EX19" s="13" t="s">
        <v>1070</v>
      </c>
      <c r="EY19" s="11">
        <v>5.63</v>
      </c>
      <c r="EZ19"/>
      <c r="FA19" t="s">
        <v>936</v>
      </c>
      <c r="FB19" s="11">
        <v>-6.3</v>
      </c>
      <c r="FC19" s="11">
        <v>0.3</v>
      </c>
      <c r="FD19" s="11">
        <v>-2.2000000000000002</v>
      </c>
      <c r="FE19" s="11">
        <v>5.3</v>
      </c>
      <c r="FF19" s="11">
        <v>6.8</v>
      </c>
      <c r="FG19"/>
      <c r="FH19" s="33" t="s">
        <v>455</v>
      </c>
      <c r="FI19" s="46">
        <v>355.67500000000001</v>
      </c>
      <c r="FK19" t="s">
        <v>456</v>
      </c>
      <c r="FL19" t="s">
        <v>1004</v>
      </c>
      <c r="FM19" s="11">
        <v>3.7</v>
      </c>
      <c r="FN19"/>
      <c r="FO19" s="46" t="str">
        <f t="shared" si="20"/>
        <v>EHCADK</v>
      </c>
      <c r="FP19" t="str">
        <f t="shared" si="21"/>
        <v>EHCADK Index</v>
      </c>
      <c r="FQ19" s="11">
        <v>8.2899999999999991</v>
      </c>
      <c r="FR19" s="11">
        <v>7.79</v>
      </c>
      <c r="FS19" s="11">
        <v>7.79</v>
      </c>
      <c r="FT19" s="11">
        <v>7.55</v>
      </c>
      <c r="FU19" s="11">
        <v>6.64</v>
      </c>
      <c r="FV19"/>
      <c r="FW19" t="s">
        <v>457</v>
      </c>
      <c r="FX19" t="s">
        <v>1023</v>
      </c>
      <c r="FY19">
        <v>11.14</v>
      </c>
      <c r="FZ19"/>
      <c r="GA19" t="str">
        <f t="shared" si="22"/>
        <v>TAYLDKB Index</v>
      </c>
      <c r="GB19" t="s">
        <v>1092</v>
      </c>
      <c r="GC19">
        <v>3.2</v>
      </c>
      <c r="GE19" s="43" t="s">
        <v>651</v>
      </c>
      <c r="GJ19" s="43" t="s">
        <v>651</v>
      </c>
      <c r="GO19" s="43" t="s">
        <v>651</v>
      </c>
    </row>
    <row r="20" spans="1:199" x14ac:dyDescent="0.35">
      <c r="A20" s="43" t="s">
        <v>45</v>
      </c>
      <c r="B20" s="44" t="s">
        <v>46</v>
      </c>
      <c r="H20" s="50" t="s">
        <v>742</v>
      </c>
      <c r="I20" s="44">
        <v>1.3980000000000001</v>
      </c>
      <c r="K20" s="50" t="s">
        <v>788</v>
      </c>
      <c r="L20" s="44">
        <v>0.34499999999999997</v>
      </c>
      <c r="N20" s="50" t="s">
        <v>827</v>
      </c>
      <c r="O20" s="44">
        <v>0.61399999999999999</v>
      </c>
      <c r="Q20" s="50" t="s">
        <v>651</v>
      </c>
      <c r="U20" s="44" t="s">
        <v>172</v>
      </c>
      <c r="V20" s="50" t="str">
        <f t="shared" si="2"/>
        <v>NOK Curncy</v>
      </c>
      <c r="W20" s="46">
        <v>9.5878999999999994</v>
      </c>
      <c r="Y20" s="50" t="str">
        <f t="shared" si="24"/>
        <v>NOKUSD Curncy</v>
      </c>
      <c r="Z20" s="46">
        <v>0.1043</v>
      </c>
      <c r="AB20" s="46" t="str">
        <f t="shared" si="25"/>
        <v>FCUSNO</v>
      </c>
      <c r="AC20" s="48" t="str">
        <f t="shared" si="26"/>
        <v>FCUSNO Q418 INDEX</v>
      </c>
      <c r="AD20" s="48" t="s">
        <v>668</v>
      </c>
      <c r="AE20" s="46">
        <v>8.3000000000000007</v>
      </c>
      <c r="AG20" s="43" t="s">
        <v>464</v>
      </c>
      <c r="AH20" s="46">
        <v>0</v>
      </c>
      <c r="AI20" s="46">
        <v>-1</v>
      </c>
      <c r="AJ20" s="46">
        <v>-1.5</v>
      </c>
      <c r="AK20" s="46">
        <v>-1.5</v>
      </c>
      <c r="AL20" s="46">
        <v>0</v>
      </c>
      <c r="AN20" s="46" t="str">
        <f t="shared" si="27"/>
        <v>ECCBNO</v>
      </c>
      <c r="AO20" s="48" t="str">
        <f t="shared" ca="1" si="28"/>
        <v>ECCBNO Q321 INDEX</v>
      </c>
      <c r="AP20" s="46">
        <v>0</v>
      </c>
      <c r="AR20" s="48" t="str">
        <f t="shared" ca="1" si="0"/>
        <v>ECCBNO Q421 INDEX</v>
      </c>
      <c r="AS20" s="46">
        <v>0</v>
      </c>
      <c r="AU20" s="48" t="str">
        <f t="shared" ca="1" si="3"/>
        <v>ECCBNO Q122 INDEX</v>
      </c>
      <c r="AV20" s="46">
        <v>0</v>
      </c>
      <c r="AX20" s="48" t="str">
        <f t="shared" ca="1" si="4"/>
        <v>ECCBNO Q222 INDEX</v>
      </c>
      <c r="AY20" s="46">
        <v>0</v>
      </c>
      <c r="BA20" s="48" t="str">
        <f t="shared" ca="1" si="5"/>
        <v>ECCBNO Q322 INDEX</v>
      </c>
      <c r="BB20" s="46">
        <v>0</v>
      </c>
      <c r="BD20" t="s">
        <v>465</v>
      </c>
      <c r="BE20" s="48" t="s">
        <v>705</v>
      </c>
      <c r="BF20" s="46">
        <v>0.47</v>
      </c>
      <c r="BH20" s="32" t="s">
        <v>466</v>
      </c>
      <c r="BI20" s="46">
        <v>1.3</v>
      </c>
      <c r="BJ20" s="46">
        <v>-1.2</v>
      </c>
      <c r="BK20" s="46">
        <v>-0.3</v>
      </c>
      <c r="BL20" s="46">
        <v>0.4</v>
      </c>
      <c r="BM20" s="46">
        <v>0.5</v>
      </c>
      <c r="BO20" s="46" t="str">
        <f t="shared" si="29"/>
        <v>ECPINO</v>
      </c>
      <c r="BP20" s="48" t="str">
        <f t="shared" ca="1" si="30"/>
        <v>ECPINO Q321 INDEX</v>
      </c>
      <c r="BQ20" s="46">
        <v>2</v>
      </c>
      <c r="BS20" s="48" t="str">
        <f t="shared" ca="1" si="1"/>
        <v>ECPINO Q421 INDEX</v>
      </c>
      <c r="BV20" s="48" t="str">
        <f t="shared" ca="1" si="6"/>
        <v>ECPINO Q122 INDEX</v>
      </c>
      <c r="BY20" s="48" t="str">
        <f t="shared" ca="1" si="7"/>
        <v>ECPINO Q222 INDEX</v>
      </c>
      <c r="CB20" s="48" t="str">
        <f t="shared" ca="1" si="8"/>
        <v>ECPINO Q322 INDEX</v>
      </c>
      <c r="CE20" s="48" t="str">
        <f t="shared" ca="1" si="9"/>
        <v>ECPINO 21 INDEX</v>
      </c>
      <c r="CF20" s="46">
        <v>1.2</v>
      </c>
      <c r="CH20" s="48" t="str">
        <f t="shared" ca="1" si="10"/>
        <v>ECPINO 22 INDEX</v>
      </c>
      <c r="CI20" s="46">
        <v>2</v>
      </c>
      <c r="CK20" s="48" t="str">
        <f t="shared" ca="1" si="11"/>
        <v>ECPINO 23 INDEX</v>
      </c>
      <c r="CL20" s="46">
        <v>1.9</v>
      </c>
      <c r="CN20" s="32" t="s">
        <v>463</v>
      </c>
      <c r="CO20" s="46">
        <v>0.2</v>
      </c>
      <c r="CP20" s="46">
        <v>1.8</v>
      </c>
      <c r="CQ20" s="46">
        <v>0.5</v>
      </c>
      <c r="CR20" s="46">
        <v>1.2</v>
      </c>
      <c r="CS20" s="46">
        <v>1.2</v>
      </c>
      <c r="CU20" s="46" t="str">
        <f t="shared" si="31"/>
        <v>ECGDNO</v>
      </c>
      <c r="CV20" s="48" t="str">
        <f t="shared" ca="1" si="12"/>
        <v>ECGDNO Q321 INDEX</v>
      </c>
      <c r="CW20" s="46">
        <v>-9.85</v>
      </c>
      <c r="CY20" s="48" t="str">
        <f t="shared" ca="1" si="13"/>
        <v>ECGDNO Q421 INDEX</v>
      </c>
      <c r="CZ20" s="46">
        <v>-6.65</v>
      </c>
      <c r="DB20" s="48" t="str">
        <f t="shared" ca="1" si="14"/>
        <v>ECGDNO Q122 INDEX</v>
      </c>
      <c r="DC20" s="46">
        <v>-4.25</v>
      </c>
      <c r="DE20" s="48" t="str">
        <f t="shared" ca="1" si="15"/>
        <v>ECGDNO Q222 INDEX</v>
      </c>
      <c r="DF20" s="46">
        <v>1</v>
      </c>
      <c r="DH20" s="48" t="str">
        <f t="shared" ca="1" si="16"/>
        <v>ECGDNO Q322 INDEX</v>
      </c>
      <c r="DI20" s="46">
        <v>8.6</v>
      </c>
      <c r="DK20" s="48" t="str">
        <f t="shared" ca="1" si="17"/>
        <v>ECGDNO 21 INDEX</v>
      </c>
      <c r="DL20" s="46">
        <v>-5.4</v>
      </c>
      <c r="DN20" s="48" t="str">
        <f t="shared" ca="1" si="18"/>
        <v>ECGDNO 22 INDEX</v>
      </c>
      <c r="DO20" s="46">
        <v>3.75</v>
      </c>
      <c r="DQ20" s="48" t="str">
        <f t="shared" ca="1" si="19"/>
        <v>ECGDNO 23 INDEX</v>
      </c>
      <c r="DR20" s="46">
        <v>3.5</v>
      </c>
      <c r="DT20" t="s">
        <v>651</v>
      </c>
      <c r="EA20" t="s">
        <v>651</v>
      </c>
      <c r="EB20"/>
      <c r="EC20"/>
      <c r="ED20"/>
      <c r="EE20"/>
      <c r="EG20"/>
      <c r="EH20" s="13" t="s">
        <v>905</v>
      </c>
      <c r="EI20" s="11">
        <v>3.6</v>
      </c>
      <c r="EJ20" s="11">
        <v>0.1</v>
      </c>
      <c r="EK20" s="11">
        <v>-0.3</v>
      </c>
      <c r="EL20" s="11">
        <v>-0.3</v>
      </c>
      <c r="EM20" s="11">
        <v>0</v>
      </c>
      <c r="EN20" s="11"/>
      <c r="EO20" s="13" t="str">
        <f t="shared" si="32"/>
        <v>OENOKLAC Index</v>
      </c>
      <c r="EP20" s="13" t="s">
        <v>1141</v>
      </c>
      <c r="EQ20" s="11">
        <v>94.221900000000005</v>
      </c>
      <c r="ER20" s="11">
        <v>-5.4352999999999998</v>
      </c>
      <c r="ES20" s="11">
        <v>-5.5015000000000001</v>
      </c>
      <c r="ET20" s="11">
        <v>-5.7986000000000004</v>
      </c>
      <c r="EU20" s="11">
        <v>-6.2389999999999999</v>
      </c>
      <c r="EV20"/>
      <c r="EW20" s="13" t="s">
        <v>1038</v>
      </c>
      <c r="EX20" s="13" t="s">
        <v>1071</v>
      </c>
      <c r="EY20" s="11">
        <v>3.4428800000000002</v>
      </c>
      <c r="EZ20"/>
      <c r="FA20" t="s">
        <v>952</v>
      </c>
      <c r="FB20" s="11">
        <v>5.4</v>
      </c>
      <c r="FC20" s="11">
        <v>7.6</v>
      </c>
      <c r="FD20" s="11">
        <v>0.3</v>
      </c>
      <c r="FE20" s="11">
        <v>-5.7</v>
      </c>
      <c r="FF20" s="11">
        <v>-4.2</v>
      </c>
      <c r="FG20"/>
      <c r="FH20" s="33" t="s">
        <v>467</v>
      </c>
      <c r="FI20" s="46">
        <v>434.16699999999997</v>
      </c>
      <c r="FK20" t="s">
        <v>468</v>
      </c>
      <c r="FL20" t="s">
        <v>1002</v>
      </c>
      <c r="FM20" s="11">
        <v>10.782</v>
      </c>
      <c r="FN20"/>
      <c r="FO20" s="46" t="str">
        <f t="shared" si="20"/>
        <v>EHCANO</v>
      </c>
      <c r="FP20" t="str">
        <f t="shared" si="21"/>
        <v>EHCANO Index</v>
      </c>
      <c r="FQ20" s="11">
        <v>4.09</v>
      </c>
      <c r="FR20" s="11">
        <v>4.0999999999999996</v>
      </c>
      <c r="FS20" s="11">
        <v>4.51</v>
      </c>
      <c r="FT20" s="11">
        <v>6.09</v>
      </c>
      <c r="FU20" s="11">
        <v>6.97</v>
      </c>
      <c r="FV20"/>
      <c r="FW20" t="s">
        <v>469</v>
      </c>
      <c r="FX20" t="s">
        <v>1023</v>
      </c>
      <c r="FY20">
        <v>-111.11</v>
      </c>
      <c r="FZ20"/>
      <c r="GA20" t="str">
        <f t="shared" si="22"/>
        <v>TAYLNOB Index</v>
      </c>
      <c r="GB20" t="s">
        <v>1092</v>
      </c>
      <c r="GC20">
        <v>3.9</v>
      </c>
      <c r="GE20" s="43" t="str">
        <f t="shared" ref="GE20:GE45" si="33">GE$2 &amp; $U20 &amp; " Index"</f>
        <v>CESINOK Index</v>
      </c>
      <c r="GF20" s="44">
        <v>209.2</v>
      </c>
      <c r="GG20" s="44">
        <v>211.74</v>
      </c>
      <c r="GH20" s="44">
        <v>171.35</v>
      </c>
      <c r="GJ20" s="43" t="str">
        <f t="shared" si="23"/>
        <v>CSIINOK Index</v>
      </c>
      <c r="GK20" s="44">
        <v>-0.51</v>
      </c>
      <c r="GL20" s="44">
        <v>-20.54</v>
      </c>
      <c r="GM20" s="44">
        <v>25.59</v>
      </c>
      <c r="GO20" s="43" t="s">
        <v>651</v>
      </c>
    </row>
    <row r="21" spans="1:199" x14ac:dyDescent="0.35">
      <c r="A21" s="43" t="s">
        <v>47</v>
      </c>
      <c r="B21" s="44" t="s">
        <v>11</v>
      </c>
      <c r="H21" s="50" t="s">
        <v>171</v>
      </c>
      <c r="I21" s="44">
        <v>-0.14099999999999999</v>
      </c>
      <c r="K21" s="50" t="s">
        <v>789</v>
      </c>
      <c r="L21" s="44">
        <v>-0.10299999999999999</v>
      </c>
      <c r="N21" s="50" t="s">
        <v>159</v>
      </c>
      <c r="O21" s="44">
        <v>1.2999999999999999E-2</v>
      </c>
      <c r="Q21" s="50" t="s">
        <v>646</v>
      </c>
      <c r="R21" s="50" t="s">
        <v>1112</v>
      </c>
      <c r="S21" s="44">
        <v>-0.13900000000000001</v>
      </c>
      <c r="U21" s="44" t="s">
        <v>176</v>
      </c>
      <c r="V21" s="50" t="str">
        <f t="shared" si="2"/>
        <v>JPY Curncy</v>
      </c>
      <c r="W21" s="46">
        <v>107.44</v>
      </c>
      <c r="Y21" s="50" t="str">
        <f t="shared" si="24"/>
        <v>JPYUSD Curncy</v>
      </c>
      <c r="Z21" s="46">
        <v>9.3080000000000003E-3</v>
      </c>
      <c r="AB21" s="46" t="str">
        <f t="shared" si="25"/>
        <v>FCUSJP</v>
      </c>
      <c r="AC21" s="48" t="str">
        <f t="shared" si="26"/>
        <v>FCUSJP Q418 INDEX</v>
      </c>
      <c r="AD21" s="48" t="s">
        <v>669</v>
      </c>
      <c r="AE21" s="46">
        <v>113</v>
      </c>
      <c r="AG21" s="43" t="s">
        <v>471</v>
      </c>
      <c r="AH21" s="46">
        <v>-3.1E-2</v>
      </c>
      <c r="AI21" s="46">
        <v>2.5999999999999999E-2</v>
      </c>
      <c r="AJ21" s="46">
        <v>-2.3E-2</v>
      </c>
      <c r="AK21" s="46">
        <v>3.4000000000000002E-2</v>
      </c>
      <c r="AL21" s="46">
        <v>-1.2E-2</v>
      </c>
      <c r="AN21" s="46" t="str">
        <f t="shared" si="27"/>
        <v>ECCBJP</v>
      </c>
      <c r="AO21" s="48" t="str">
        <f t="shared" ca="1" si="28"/>
        <v>ECCBJP Q321 INDEX</v>
      </c>
      <c r="AP21" s="46">
        <v>-0.1</v>
      </c>
      <c r="AR21" s="48" t="str">
        <f t="shared" ca="1" si="0"/>
        <v>ECCBJP Q421 INDEX</v>
      </c>
      <c r="AS21" s="46">
        <v>-0.1</v>
      </c>
      <c r="AU21" s="48" t="str">
        <f t="shared" ca="1" si="3"/>
        <v>ECCBJP Q122 INDEX</v>
      </c>
      <c r="AV21" s="46">
        <v>-0.1</v>
      </c>
      <c r="AX21" s="48" t="str">
        <f t="shared" ca="1" si="4"/>
        <v>ECCBJP Q222 INDEX</v>
      </c>
      <c r="AY21" s="46">
        <v>-0.1</v>
      </c>
      <c r="BA21" s="48" t="str">
        <f t="shared" ca="1" si="5"/>
        <v>ECCBJP Q322 INDEX</v>
      </c>
      <c r="BB21" s="46">
        <v>0</v>
      </c>
      <c r="BD21" t="s">
        <v>472</v>
      </c>
      <c r="BE21" s="48" t="s">
        <v>1210</v>
      </c>
      <c r="BF21" s="46">
        <v>-5.5E-2</v>
      </c>
      <c r="BH21" s="32" t="s">
        <v>167</v>
      </c>
      <c r="BI21" s="46">
        <v>0.1</v>
      </c>
      <c r="BJ21" s="46">
        <v>-0.8</v>
      </c>
      <c r="BK21" s="46">
        <v>-0.1</v>
      </c>
      <c r="BL21" s="46">
        <v>-0.6</v>
      </c>
      <c r="BM21" s="46">
        <v>-0.3</v>
      </c>
      <c r="BO21" s="46" t="str">
        <f t="shared" si="29"/>
        <v>ECPIJP</v>
      </c>
      <c r="BP21" s="48" t="str">
        <f t="shared" ca="1" si="30"/>
        <v>ECPIJP Q321 INDEX</v>
      </c>
      <c r="BQ21" s="46">
        <v>-0.1</v>
      </c>
      <c r="BS21" s="48" t="str">
        <f t="shared" ca="1" si="1"/>
        <v>ECPIJP Q421 INDEX</v>
      </c>
      <c r="BT21" s="46">
        <v>-0.3</v>
      </c>
      <c r="BV21" s="48" t="str">
        <f t="shared" ca="1" si="6"/>
        <v>ECPIJP Q122 INDEX</v>
      </c>
      <c r="BW21" s="46">
        <v>-0.6</v>
      </c>
      <c r="BY21" s="48" t="str">
        <f t="shared" ca="1" si="7"/>
        <v>ECPIJP Q222 INDEX</v>
      </c>
      <c r="BZ21" s="46">
        <v>-0.35</v>
      </c>
      <c r="CB21" s="48" t="str">
        <f t="shared" ca="1" si="8"/>
        <v>ECPIJP Q322 INDEX</v>
      </c>
      <c r="CC21" s="46">
        <v>0.1</v>
      </c>
      <c r="CE21" s="48" t="str">
        <f t="shared" ca="1" si="9"/>
        <v>ECPIJP 21 INDEX</v>
      </c>
      <c r="CF21" s="46">
        <v>0</v>
      </c>
      <c r="CH21" s="48" t="str">
        <f t="shared" ca="1" si="10"/>
        <v>ECPIJP 22 INDEX</v>
      </c>
      <c r="CI21" s="46">
        <v>0.3</v>
      </c>
      <c r="CK21" s="48" t="str">
        <f t="shared" ca="1" si="11"/>
        <v>ECPIJP 23 INDEX</v>
      </c>
      <c r="CL21" s="46">
        <v>0.7</v>
      </c>
      <c r="CN21" s="32" t="s">
        <v>470</v>
      </c>
      <c r="CO21" s="46">
        <v>-1.7</v>
      </c>
      <c r="CP21" s="46">
        <v>-0.7</v>
      </c>
      <c r="CQ21" s="46">
        <v>1.7</v>
      </c>
      <c r="CR21" s="46">
        <v>0.9</v>
      </c>
      <c r="CS21" s="46">
        <v>0.8</v>
      </c>
      <c r="CU21" s="46" t="str">
        <f t="shared" si="31"/>
        <v>ECGDJP</v>
      </c>
      <c r="CV21" s="48" t="str">
        <f t="shared" ca="1" si="12"/>
        <v>ECGDJP Q321 INDEX</v>
      </c>
      <c r="CW21" s="46">
        <v>-22.3</v>
      </c>
      <c r="CY21" s="48" t="str">
        <f t="shared" ca="1" si="13"/>
        <v>ECGDJP Q421 INDEX</v>
      </c>
      <c r="CZ21" s="46">
        <v>8.5</v>
      </c>
      <c r="DB21" s="48" t="str">
        <f t="shared" ca="1" si="14"/>
        <v>ECGDJP Q122 INDEX</v>
      </c>
      <c r="DC21" s="46">
        <v>4.9000000000000004</v>
      </c>
      <c r="DE21" s="48" t="str">
        <f t="shared" ca="1" si="15"/>
        <v>ECGDJP Q222 INDEX</v>
      </c>
      <c r="DF21" s="46">
        <v>3.35</v>
      </c>
      <c r="DH21" s="48" t="str">
        <f t="shared" ca="1" si="16"/>
        <v>ECGDJP Q322 INDEX</v>
      </c>
      <c r="DI21" s="46">
        <v>2.7</v>
      </c>
      <c r="DK21" s="48" t="str">
        <f t="shared" ca="1" si="17"/>
        <v>ECGDJP 21 INDEX</v>
      </c>
      <c r="DL21" s="46">
        <v>-4.9000000000000004</v>
      </c>
      <c r="DN21" s="48" t="str">
        <f t="shared" ca="1" si="18"/>
        <v>ECGDJP 22 INDEX</v>
      </c>
      <c r="DO21" s="46">
        <v>2.25</v>
      </c>
      <c r="DQ21" s="48" t="str">
        <f t="shared" ca="1" si="19"/>
        <v>ECGDJP 23 INDEX</v>
      </c>
      <c r="DR21" s="46">
        <v>1.2</v>
      </c>
      <c r="DT21" t="s">
        <v>107</v>
      </c>
      <c r="DU21" s="46">
        <v>38.4</v>
      </c>
      <c r="DV21" s="46">
        <v>41.9</v>
      </c>
      <c r="DW21" s="46">
        <v>47.8</v>
      </c>
      <c r="DX21" s="46">
        <v>48.9</v>
      </c>
      <c r="DY21" s="46">
        <v>49.8</v>
      </c>
      <c r="EA21" t="s">
        <v>108</v>
      </c>
      <c r="EB21">
        <v>26.5</v>
      </c>
      <c r="EC21">
        <v>21.5</v>
      </c>
      <c r="ED21">
        <v>46.8</v>
      </c>
      <c r="EE21">
        <v>50.3</v>
      </c>
      <c r="EF21" s="46">
        <v>51.7</v>
      </c>
      <c r="EG21"/>
      <c r="EH21" s="13" t="s">
        <v>900</v>
      </c>
      <c r="EI21" s="11">
        <v>2.6</v>
      </c>
      <c r="EJ21" s="11">
        <v>0.1</v>
      </c>
      <c r="EK21" s="11">
        <v>0.2</v>
      </c>
      <c r="EL21" s="11">
        <v>0.2</v>
      </c>
      <c r="EM21" s="11">
        <v>0.2</v>
      </c>
      <c r="EN21" s="11"/>
      <c r="EO21" s="13" t="str">
        <f t="shared" si="32"/>
        <v>OEJPKLAC Index</v>
      </c>
      <c r="EP21" s="13" t="s">
        <v>1142</v>
      </c>
      <c r="EQ21" s="11">
        <v>97.634200000000007</v>
      </c>
      <c r="ER21" s="11">
        <v>-1.2345999999999999</v>
      </c>
      <c r="ES21" s="11">
        <v>-1.8456000000000001</v>
      </c>
      <c r="ET21" s="11">
        <v>-2.1135999999999999</v>
      </c>
      <c r="EU21" s="11">
        <v>-2.3420999999999998</v>
      </c>
      <c r="EV21"/>
      <c r="EW21" s="13" t="s">
        <v>1032</v>
      </c>
      <c r="EX21" s="13" t="s">
        <v>1072</v>
      </c>
      <c r="EY21" s="11">
        <v>3.4699999999999998</v>
      </c>
      <c r="EZ21"/>
      <c r="FA21" t="s">
        <v>948</v>
      </c>
      <c r="FB21" s="11">
        <v>-15</v>
      </c>
      <c r="FC21" s="11">
        <v>-5.2</v>
      </c>
      <c r="FD21" s="11">
        <v>-2.4</v>
      </c>
      <c r="FE21" s="11">
        <v>-8.1999999999999993</v>
      </c>
      <c r="FF21" s="11">
        <v>-0.7</v>
      </c>
      <c r="FG21"/>
      <c r="FH21" s="33" t="s">
        <v>473</v>
      </c>
      <c r="FI21" s="46">
        <v>4971.3230000000003</v>
      </c>
      <c r="FK21" t="s">
        <v>474</v>
      </c>
      <c r="FL21" t="s">
        <v>1005</v>
      </c>
      <c r="FM21" s="11">
        <v>-1.8599999999999999</v>
      </c>
      <c r="FN21"/>
      <c r="FO21" s="46" t="str">
        <f t="shared" si="20"/>
        <v>EHCAJP</v>
      </c>
      <c r="FP21" t="str">
        <f t="shared" si="21"/>
        <v>EHCAJP Index</v>
      </c>
      <c r="FQ21" s="11">
        <v>3.58</v>
      </c>
      <c r="FR21" s="11">
        <v>3.63</v>
      </c>
      <c r="FS21" s="11">
        <v>3.43</v>
      </c>
      <c r="FT21" s="11">
        <v>3.46</v>
      </c>
      <c r="FU21" s="11">
        <v>3.55</v>
      </c>
      <c r="FV21"/>
      <c r="FW21" t="s">
        <v>475</v>
      </c>
      <c r="FX21" t="s">
        <v>1023</v>
      </c>
      <c r="FY21">
        <v>153.63</v>
      </c>
      <c r="FZ21"/>
      <c r="GA21" t="str">
        <f t="shared" si="22"/>
        <v>TAYLJPB Index</v>
      </c>
      <c r="GB21" t="s">
        <v>1092</v>
      </c>
      <c r="GC21">
        <v>2.1</v>
      </c>
      <c r="GE21" s="43" t="str">
        <f t="shared" si="33"/>
        <v>CESIJPY Index</v>
      </c>
      <c r="GF21" s="44">
        <v>-4.0999999999999996</v>
      </c>
      <c r="GG21" s="44">
        <v>2.02</v>
      </c>
      <c r="GH21" s="44">
        <v>38.54</v>
      </c>
      <c r="GJ21" s="43" t="str">
        <f t="shared" si="23"/>
        <v>CSIIJPY Index</v>
      </c>
      <c r="GK21" s="44">
        <v>-28.92</v>
      </c>
      <c r="GL21" s="44">
        <v>-4.21</v>
      </c>
      <c r="GM21" s="44">
        <v>2.34</v>
      </c>
      <c r="GO21" s="43" t="s">
        <v>651</v>
      </c>
    </row>
    <row r="22" spans="1:199" x14ac:dyDescent="0.35">
      <c r="A22" s="51" t="s">
        <v>48</v>
      </c>
      <c r="B22" s="44" t="s">
        <v>49</v>
      </c>
      <c r="H22" s="50" t="s">
        <v>753</v>
      </c>
      <c r="I22" s="44">
        <v>0.26900000000000002</v>
      </c>
      <c r="K22" s="50" t="s">
        <v>790</v>
      </c>
      <c r="L22" s="44">
        <v>0.371</v>
      </c>
      <c r="N22" s="50" t="s">
        <v>828</v>
      </c>
      <c r="O22" s="44">
        <v>0.90900000000000003</v>
      </c>
      <c r="Q22" s="50" t="s">
        <v>1095</v>
      </c>
      <c r="R22" s="50" t="s">
        <v>1113</v>
      </c>
      <c r="S22" s="44">
        <v>1.052</v>
      </c>
      <c r="U22" s="44" t="s">
        <v>194</v>
      </c>
      <c r="V22" s="50" t="str">
        <f t="shared" si="2"/>
        <v>AUD Curncy</v>
      </c>
      <c r="W22" s="46">
        <v>0.68910000000000005</v>
      </c>
      <c r="Y22" s="50" t="str">
        <f t="shared" si="24"/>
        <v>AUDUSD Curncy</v>
      </c>
      <c r="Z22" s="46">
        <v>0.68910000000000005</v>
      </c>
      <c r="AB22" s="46" t="str">
        <f t="shared" si="25"/>
        <v>FCUSAU</v>
      </c>
      <c r="AC22" s="48" t="str">
        <f t="shared" si="26"/>
        <v>FCUSAU Q418 INDEX</v>
      </c>
      <c r="AD22" s="48" t="s">
        <v>670</v>
      </c>
      <c r="AE22" s="46">
        <v>0.72</v>
      </c>
      <c r="AG22" s="43" t="s">
        <v>477</v>
      </c>
      <c r="AH22" s="46">
        <v>0.25</v>
      </c>
      <c r="AI22" s="46">
        <v>-1.25</v>
      </c>
      <c r="AJ22" s="46">
        <v>-0.5</v>
      </c>
      <c r="AK22" s="46">
        <v>-0.5</v>
      </c>
      <c r="AL22" s="46">
        <v>0</v>
      </c>
      <c r="AN22" s="46" t="str">
        <f t="shared" si="27"/>
        <v>ECCBAU</v>
      </c>
      <c r="AO22" s="48" t="str">
        <f t="shared" ca="1" si="28"/>
        <v>ECCBAU Q321 INDEX</v>
      </c>
      <c r="AP22" s="46">
        <v>0.25</v>
      </c>
      <c r="AR22" s="48" t="str">
        <f t="shared" ca="1" si="0"/>
        <v>ECCBAU Q421 INDEX</v>
      </c>
      <c r="AS22" s="46">
        <v>0.25</v>
      </c>
      <c r="AU22" s="48" t="str">
        <f t="shared" ca="1" si="3"/>
        <v>ECCBAU Q122 INDEX</v>
      </c>
      <c r="AV22" s="46">
        <v>0.25</v>
      </c>
      <c r="AX22" s="48" t="str">
        <f t="shared" ca="1" si="4"/>
        <v>ECCBAU Q222 INDEX</v>
      </c>
      <c r="AY22" s="46">
        <v>0.25</v>
      </c>
      <c r="BA22" s="48" t="str">
        <f t="shared" ca="1" si="5"/>
        <v>ECCBAU Q322 INDEX</v>
      </c>
      <c r="BB22" s="46">
        <v>0.25</v>
      </c>
      <c r="BD22" t="s">
        <v>478</v>
      </c>
      <c r="BE22" s="48" t="s">
        <v>1211</v>
      </c>
      <c r="BF22" s="46">
        <v>0.1515</v>
      </c>
      <c r="BH22" s="32" t="s">
        <v>479</v>
      </c>
      <c r="BI22" s="46">
        <v>2.2000000000000002</v>
      </c>
      <c r="BJ22" s="46">
        <v>0.9</v>
      </c>
      <c r="BK22" s="46">
        <v>0.5</v>
      </c>
      <c r="BL22" s="46">
        <v>0.4</v>
      </c>
      <c r="BO22" s="46" t="str">
        <f t="shared" si="29"/>
        <v>ECPIAU</v>
      </c>
      <c r="BP22" s="48" t="str">
        <f t="shared" ca="1" si="30"/>
        <v>ECPIAU Q321 INDEX</v>
      </c>
      <c r="BQ22" s="46">
        <v>-0.1</v>
      </c>
      <c r="BS22" s="48" t="str">
        <f t="shared" ca="1" si="1"/>
        <v>ECPIAU Q421 INDEX</v>
      </c>
      <c r="BT22" s="46">
        <v>0.1</v>
      </c>
      <c r="BV22" s="48" t="str">
        <f t="shared" ca="1" si="6"/>
        <v>ECPIAU Q122 INDEX</v>
      </c>
      <c r="BW22" s="46">
        <v>0.3</v>
      </c>
      <c r="BY22" s="48" t="str">
        <f t="shared" ca="1" si="7"/>
        <v>ECPIAU Q222 INDEX</v>
      </c>
      <c r="BZ22" s="46">
        <v>0.4</v>
      </c>
      <c r="CB22" s="48" t="str">
        <f t="shared" ca="1" si="8"/>
        <v>ECPIAU Q322 INDEX</v>
      </c>
      <c r="CC22" s="46">
        <v>1.95</v>
      </c>
      <c r="CE22" s="48" t="str">
        <f t="shared" ca="1" si="9"/>
        <v>ECPIAU 21 INDEX</v>
      </c>
      <c r="CF22" s="46">
        <v>0.8</v>
      </c>
      <c r="CH22" s="48" t="str">
        <f t="shared" ca="1" si="10"/>
        <v>ECPIAU 22 INDEX</v>
      </c>
      <c r="CI22" s="46">
        <v>1.6</v>
      </c>
      <c r="CK22" s="48" t="str">
        <f t="shared" ca="1" si="11"/>
        <v>ECPIAU 23 INDEX</v>
      </c>
      <c r="CL22" s="46">
        <v>2.2999999999999998</v>
      </c>
      <c r="CN22" s="32" t="s">
        <v>476</v>
      </c>
      <c r="CO22" s="46">
        <v>1.4</v>
      </c>
      <c r="CP22" s="46">
        <v>2.2000000000000002</v>
      </c>
      <c r="CQ22" s="46">
        <v>1.8</v>
      </c>
      <c r="CR22" s="46">
        <v>1.6</v>
      </c>
      <c r="CS22" s="46">
        <v>1.7</v>
      </c>
      <c r="CU22" s="46" t="str">
        <f t="shared" si="31"/>
        <v>ECGDAU</v>
      </c>
      <c r="CV22" s="48" t="str">
        <f t="shared" ca="1" si="12"/>
        <v>ECGDAU Q321 INDEX</v>
      </c>
      <c r="CW22" s="46">
        <v>-8</v>
      </c>
      <c r="CY22" s="48" t="str">
        <f t="shared" ca="1" si="13"/>
        <v>ECGDAU Q421 INDEX</v>
      </c>
      <c r="CZ22" s="46">
        <v>-6.9</v>
      </c>
      <c r="DB22" s="48" t="str">
        <f t="shared" ca="1" si="14"/>
        <v>ECGDAU Q122 INDEX</v>
      </c>
      <c r="DC22" s="46">
        <v>-4.7</v>
      </c>
      <c r="DE22" s="48" t="str">
        <f t="shared" ca="1" si="15"/>
        <v>ECGDAU Q222 INDEX</v>
      </c>
      <c r="DF22" s="46">
        <v>-1.95</v>
      </c>
      <c r="DH22" s="48" t="str">
        <f t="shared" ca="1" si="16"/>
        <v>ECGDAU Q322 INDEX</v>
      </c>
      <c r="DI22" s="46">
        <v>6.5</v>
      </c>
      <c r="DK22" s="48" t="str">
        <f t="shared" ca="1" si="17"/>
        <v>ECGDAU 21 INDEX</v>
      </c>
      <c r="DL22" s="46">
        <v>-4.5</v>
      </c>
      <c r="DN22" s="48" t="str">
        <f t="shared" ca="1" si="18"/>
        <v>ECGDAU 22 INDEX</v>
      </c>
      <c r="DO22" s="46">
        <v>3.9</v>
      </c>
      <c r="DQ22" s="48" t="str">
        <f t="shared" ca="1" si="19"/>
        <v>ECGDAU 23 INDEX</v>
      </c>
      <c r="DR22" s="46">
        <v>3.4</v>
      </c>
      <c r="DT22" t="s">
        <v>651</v>
      </c>
      <c r="EA22" t="s">
        <v>651</v>
      </c>
      <c r="EB22"/>
      <c r="EC22"/>
      <c r="ED22"/>
      <c r="EE22"/>
      <c r="EG22"/>
      <c r="EH22" s="13" t="s">
        <v>920</v>
      </c>
      <c r="EI22" s="11">
        <v>6.2</v>
      </c>
      <c r="EJ22" s="11">
        <v>1</v>
      </c>
      <c r="EK22" s="11">
        <v>0.9</v>
      </c>
      <c r="EL22" s="11">
        <v>0.9</v>
      </c>
      <c r="EM22" s="11">
        <v>1</v>
      </c>
      <c r="EN22" s="11"/>
      <c r="EO22" s="13" t="str">
        <f t="shared" si="32"/>
        <v>OEAUKLAC Index</v>
      </c>
      <c r="EP22" s="13" t="s">
        <v>1143</v>
      </c>
      <c r="EQ22" s="11">
        <v>98.922499999999999</v>
      </c>
      <c r="ER22" s="11">
        <v>-1.1457999999999999</v>
      </c>
      <c r="ES22" s="11">
        <v>-1.1940999999999999</v>
      </c>
      <c r="ET22" s="11">
        <v>-1.1714</v>
      </c>
      <c r="EU22" s="11">
        <v>-0.81030000000000002</v>
      </c>
      <c r="EV22"/>
      <c r="EW22" s="13" t="s">
        <v>1049</v>
      </c>
      <c r="EX22" s="13" t="s">
        <v>1073</v>
      </c>
      <c r="EY22" s="11">
        <v>5.2702999999999998</v>
      </c>
      <c r="EZ22"/>
      <c r="FA22" t="s">
        <v>927</v>
      </c>
      <c r="FB22" s="11">
        <v>2.5</v>
      </c>
      <c r="FC22" s="11"/>
      <c r="FD22" s="11"/>
      <c r="FE22" s="11"/>
      <c r="FF22" s="11">
        <v>3.3</v>
      </c>
      <c r="FG22"/>
      <c r="FH22" s="33" t="s">
        <v>480</v>
      </c>
      <c r="FI22" s="46">
        <v>1433.904</v>
      </c>
      <c r="FK22" t="s">
        <v>481</v>
      </c>
      <c r="FL22" t="s">
        <v>1006</v>
      </c>
      <c r="FM22" s="11">
        <v>0.06</v>
      </c>
      <c r="FN22"/>
      <c r="FO22" s="46" t="str">
        <f t="shared" si="20"/>
        <v>EHCAAU</v>
      </c>
      <c r="FP22" t="str">
        <f t="shared" si="21"/>
        <v>EHCAAU Index</v>
      </c>
      <c r="FQ22" s="11">
        <v>1.1000000000000001</v>
      </c>
      <c r="FR22" s="11">
        <v>0.53</v>
      </c>
      <c r="FS22" s="11">
        <v>0.13</v>
      </c>
      <c r="FT22" s="11">
        <v>-0.73</v>
      </c>
      <c r="FU22" s="11">
        <v>-1.63</v>
      </c>
      <c r="FV22"/>
      <c r="FW22" t="s">
        <v>482</v>
      </c>
      <c r="FX22" t="s">
        <v>1023</v>
      </c>
      <c r="FY22">
        <v>17.05</v>
      </c>
      <c r="FZ22"/>
      <c r="GA22" t="str">
        <f t="shared" si="22"/>
        <v>TAYLAUB Index</v>
      </c>
      <c r="GB22" t="s">
        <v>1092</v>
      </c>
      <c r="GC22">
        <v>4.0199999999999996</v>
      </c>
      <c r="GE22" s="43" t="str">
        <f t="shared" si="33"/>
        <v>CESIAUD Index</v>
      </c>
      <c r="GF22" s="44">
        <v>101.4</v>
      </c>
      <c r="GG22" s="44">
        <v>96.74</v>
      </c>
      <c r="GH22" s="44">
        <v>82.09</v>
      </c>
      <c r="GJ22" s="43" t="str">
        <f t="shared" si="23"/>
        <v>CSIIAUD Index</v>
      </c>
      <c r="GK22" s="44">
        <v>13.34</v>
      </c>
      <c r="GL22" s="44">
        <v>15.87</v>
      </c>
      <c r="GM22" s="44">
        <v>7.46</v>
      </c>
      <c r="GO22" s="43" t="s">
        <v>651</v>
      </c>
    </row>
    <row r="23" spans="1:199" x14ac:dyDescent="0.35">
      <c r="A23" s="51" t="s">
        <v>50</v>
      </c>
      <c r="B23" s="44" t="s">
        <v>51</v>
      </c>
      <c r="H23" s="50" t="s">
        <v>754</v>
      </c>
      <c r="I23" s="44">
        <v>0.33</v>
      </c>
      <c r="K23" s="50" t="s">
        <v>791</v>
      </c>
      <c r="L23" s="44">
        <v>0.97099999999999997</v>
      </c>
      <c r="N23" s="50" t="s">
        <v>829</v>
      </c>
      <c r="O23" s="44">
        <v>1.417</v>
      </c>
      <c r="Q23" s="50" t="s">
        <v>651</v>
      </c>
      <c r="U23" s="44" t="s">
        <v>173</v>
      </c>
      <c r="V23" s="50" t="str">
        <f t="shared" si="2"/>
        <v>HKD Curncy</v>
      </c>
      <c r="W23" s="46">
        <v>7.7500999999999998</v>
      </c>
      <c r="Y23" s="50" t="str">
        <f t="shared" si="24"/>
        <v>HKDUSD Curncy</v>
      </c>
      <c r="Z23" s="46">
        <v>0.12903000000000001</v>
      </c>
      <c r="AB23" s="46" t="str">
        <f t="shared" si="25"/>
        <v>FCUSHK</v>
      </c>
      <c r="AC23" s="48" t="str">
        <f t="shared" si="26"/>
        <v>FCUSHK Q418 INDEX</v>
      </c>
      <c r="AD23" s="48" t="s">
        <v>671</v>
      </c>
      <c r="AE23" s="46">
        <v>7.84</v>
      </c>
      <c r="AG23" s="43" t="s">
        <v>484</v>
      </c>
      <c r="AH23" s="46">
        <v>0.5</v>
      </c>
      <c r="AI23" s="46">
        <v>-2.25</v>
      </c>
      <c r="AJ23" s="46">
        <v>-1.5</v>
      </c>
      <c r="AK23" s="46">
        <v>-1</v>
      </c>
      <c r="AL23" s="46">
        <v>0</v>
      </c>
      <c r="AN23" s="46" t="str">
        <f t="shared" si="27"/>
        <v>ECCBHK</v>
      </c>
      <c r="AO23" s="48" t="str">
        <f t="shared" ca="1" si="28"/>
        <v>ECCBHK Q321 INDEX</v>
      </c>
      <c r="AR23" s="48" t="str">
        <f t="shared" ca="1" si="0"/>
        <v>ECCBHK Q421 INDEX</v>
      </c>
      <c r="AU23" s="48" t="str">
        <f t="shared" ca="1" si="3"/>
        <v>ECCBHK Q122 INDEX</v>
      </c>
      <c r="AX23" s="48" t="str">
        <f t="shared" ca="1" si="4"/>
        <v>ECCBHK Q222 INDEX</v>
      </c>
      <c r="BA23" s="48" t="str">
        <f t="shared" ca="1" si="5"/>
        <v>ECCBHK Q322 INDEX</v>
      </c>
      <c r="BD23" t="s">
        <v>485</v>
      </c>
      <c r="BE23" s="48" t="s">
        <v>706</v>
      </c>
      <c r="BF23" s="46">
        <v>0.89410999999999996</v>
      </c>
      <c r="BH23" s="32" t="s">
        <v>486</v>
      </c>
      <c r="BI23" s="46">
        <v>1.9</v>
      </c>
      <c r="BJ23" s="46">
        <v>-1</v>
      </c>
      <c r="BK23" s="46">
        <v>-1.2</v>
      </c>
      <c r="BL23" s="46">
        <v>0.5</v>
      </c>
      <c r="BM23" s="46">
        <v>-0.4</v>
      </c>
      <c r="BO23" s="46" t="str">
        <f t="shared" si="29"/>
        <v>ECPIHK</v>
      </c>
      <c r="BP23" s="48" t="str">
        <f t="shared" ca="1" si="30"/>
        <v>ECPIHK Q321 INDEX</v>
      </c>
      <c r="BQ23" s="46">
        <v>1.4</v>
      </c>
      <c r="BS23" s="48" t="str">
        <f t="shared" ca="1" si="1"/>
        <v>ECPIHK Q421 INDEX</v>
      </c>
      <c r="BT23" s="46">
        <v>0.4</v>
      </c>
      <c r="BV23" s="48" t="str">
        <f t="shared" ca="1" si="6"/>
        <v>ECPIHK Q122 INDEX</v>
      </c>
      <c r="BW23" s="46">
        <v>0.8</v>
      </c>
      <c r="BY23" s="48" t="str">
        <f t="shared" ca="1" si="7"/>
        <v>ECPIHK Q222 INDEX</v>
      </c>
      <c r="BZ23" s="46">
        <v>1.3</v>
      </c>
      <c r="CB23" s="48" t="str">
        <f t="shared" ca="1" si="8"/>
        <v>ECPIHK Q322 INDEX</v>
      </c>
      <c r="CC23" s="46">
        <v>1.7</v>
      </c>
      <c r="CE23" s="48" t="str">
        <f t="shared" ca="1" si="9"/>
        <v>ECPIHK 21 INDEX</v>
      </c>
      <c r="CF23" s="46">
        <v>1.5</v>
      </c>
      <c r="CH23" s="48" t="str">
        <f t="shared" ca="1" si="10"/>
        <v>ECPIHK 22 INDEX</v>
      </c>
      <c r="CI23" s="46">
        <v>2.1</v>
      </c>
      <c r="CK23" s="48" t="str">
        <f t="shared" ca="1" si="11"/>
        <v>ECPIHK 23 INDEX</v>
      </c>
      <c r="CL23" s="46">
        <v>2.35</v>
      </c>
      <c r="CN23" s="32" t="s">
        <v>483</v>
      </c>
      <c r="CO23" s="46">
        <v>-8.9</v>
      </c>
      <c r="CP23" s="46">
        <v>-3</v>
      </c>
      <c r="CQ23" s="46">
        <v>-2.8</v>
      </c>
      <c r="CR23" s="46">
        <v>0.4</v>
      </c>
      <c r="CS23" s="46">
        <v>0.7</v>
      </c>
      <c r="CU23" s="46" t="str">
        <f t="shared" si="31"/>
        <v>ECGDHK</v>
      </c>
      <c r="CV23" s="48" t="str">
        <f t="shared" ca="1" si="12"/>
        <v>ECGDHK Q321 INDEX</v>
      </c>
      <c r="CW23" s="46">
        <v>-8.5</v>
      </c>
      <c r="CY23" s="48" t="str">
        <f t="shared" ca="1" si="13"/>
        <v>ECGDHK Q421 INDEX</v>
      </c>
      <c r="CZ23" s="46">
        <v>-3.2</v>
      </c>
      <c r="DB23" s="48" t="str">
        <f t="shared" ca="1" si="14"/>
        <v>ECGDHK Q122 INDEX</v>
      </c>
      <c r="DC23" s="46">
        <v>-0.3</v>
      </c>
      <c r="DE23" s="48" t="str">
        <f t="shared" ca="1" si="15"/>
        <v>ECGDHK Q222 INDEX</v>
      </c>
      <c r="DF23" s="46">
        <v>6</v>
      </c>
      <c r="DH23" s="48" t="str">
        <f t="shared" ca="1" si="16"/>
        <v>ECGDHK Q322 INDEX</v>
      </c>
      <c r="DI23" s="46">
        <v>6</v>
      </c>
      <c r="DK23" s="48" t="str">
        <f t="shared" ca="1" si="17"/>
        <v>ECGDHK 21 INDEX</v>
      </c>
      <c r="DL23" s="46">
        <v>-5.0999999999999996</v>
      </c>
      <c r="DN23" s="48" t="str">
        <f t="shared" ca="1" si="18"/>
        <v>ECGDHK 22 INDEX</v>
      </c>
      <c r="DO23" s="46">
        <v>4</v>
      </c>
      <c r="DQ23" s="48" t="str">
        <f t="shared" ca="1" si="19"/>
        <v>ECGDHK 23 INDEX</v>
      </c>
      <c r="DR23" s="46">
        <v>2.2999999999999998</v>
      </c>
      <c r="DT23" t="s">
        <v>651</v>
      </c>
      <c r="EA23" t="s">
        <v>651</v>
      </c>
      <c r="EB23"/>
      <c r="EC23"/>
      <c r="ED23"/>
      <c r="EE23"/>
      <c r="EG23"/>
      <c r="EH23" s="13" t="s">
        <v>894</v>
      </c>
      <c r="EI23" s="11">
        <v>5.2</v>
      </c>
      <c r="EJ23" s="11">
        <v>1</v>
      </c>
      <c r="EK23" s="11">
        <v>1.8</v>
      </c>
      <c r="EL23" s="11">
        <v>2.1</v>
      </c>
      <c r="EM23" s="11">
        <v>2.4</v>
      </c>
      <c r="EN23" s="11"/>
      <c r="EO23" s="13" t="s">
        <v>651</v>
      </c>
      <c r="EP23" s="13"/>
      <c r="EQ23" s="11"/>
      <c r="ER23" s="11"/>
      <c r="ES23" s="11"/>
      <c r="ET23" s="11"/>
      <c r="EU23" s="11"/>
      <c r="EV23"/>
      <c r="EW23" s="13" t="s">
        <v>651</v>
      </c>
      <c r="EX23" s="13"/>
      <c r="EY23" s="11"/>
      <c r="EZ23"/>
      <c r="FA23" t="s">
        <v>942</v>
      </c>
      <c r="FB23" s="11">
        <v>-4.5999999999999996</v>
      </c>
      <c r="FC23" s="11"/>
      <c r="FD23" s="11">
        <v>-0.5</v>
      </c>
      <c r="FE23" s="11">
        <v>0.5</v>
      </c>
      <c r="FF23" s="11">
        <v>1.4</v>
      </c>
      <c r="FG23"/>
      <c r="FH23" s="33" t="s">
        <v>487</v>
      </c>
      <c r="FI23" s="46">
        <v>362.68200000000002</v>
      </c>
      <c r="FK23" t="s">
        <v>488</v>
      </c>
      <c r="FL23" t="s">
        <v>1007</v>
      </c>
      <c r="FM23" s="11">
        <v>1.33</v>
      </c>
      <c r="FN23"/>
      <c r="FO23" s="46" t="str">
        <f t="shared" si="20"/>
        <v>EHCAHK</v>
      </c>
      <c r="FP23" t="str">
        <f t="shared" si="21"/>
        <v>EHCAHK Index</v>
      </c>
      <c r="FQ23" s="11">
        <v>6.14</v>
      </c>
      <c r="FR23" s="11">
        <v>5.93</v>
      </c>
      <c r="FS23" s="11">
        <v>5.03</v>
      </c>
      <c r="FT23" s="11">
        <v>4.32</v>
      </c>
      <c r="FU23" s="11">
        <v>3.74</v>
      </c>
      <c r="FV23"/>
      <c r="FW23" t="s">
        <v>489</v>
      </c>
      <c r="FX23" t="s">
        <v>1024</v>
      </c>
      <c r="FY23">
        <v>0.1</v>
      </c>
      <c r="FZ23"/>
      <c r="GA23" t="str">
        <f t="shared" si="22"/>
        <v>TAYLHKB Index</v>
      </c>
      <c r="GB23"/>
      <c r="GC23"/>
      <c r="GE23" s="43" t="str">
        <f t="shared" si="33"/>
        <v>CESIHKD Index</v>
      </c>
      <c r="GJ23" s="43" t="str">
        <f t="shared" si="23"/>
        <v>CSIIHKD Index</v>
      </c>
      <c r="GO23" s="43" t="s">
        <v>651</v>
      </c>
    </row>
    <row r="24" spans="1:199" x14ac:dyDescent="0.35">
      <c r="A24" s="43" t="s">
        <v>52</v>
      </c>
      <c r="B24" s="44" t="s">
        <v>53</v>
      </c>
      <c r="H24" s="50" t="s">
        <v>757</v>
      </c>
      <c r="I24" s="44">
        <v>0.28299999999999997</v>
      </c>
      <c r="K24" s="50" t="s">
        <v>792</v>
      </c>
      <c r="L24" s="44">
        <v>0.47099999999999997</v>
      </c>
      <c r="N24" s="50" t="s">
        <v>830</v>
      </c>
      <c r="O24" s="44">
        <v>0.93879999999999997</v>
      </c>
      <c r="Q24" s="50" t="s">
        <v>651</v>
      </c>
      <c r="U24" s="44" t="s">
        <v>197</v>
      </c>
      <c r="V24" s="50" t="str">
        <f t="shared" si="2"/>
        <v>SGD Curncy</v>
      </c>
      <c r="W24" s="46">
        <v>1.3905000000000001</v>
      </c>
      <c r="Y24" s="50" t="str">
        <f t="shared" si="24"/>
        <v>SGDUSD Curncy</v>
      </c>
      <c r="Z24" s="46">
        <v>0.71919999999999995</v>
      </c>
      <c r="AB24" s="46" t="str">
        <f t="shared" si="25"/>
        <v>FCUSSG</v>
      </c>
      <c r="AC24" s="48" t="str">
        <f t="shared" si="26"/>
        <v>FCUSSG Q418 INDEX</v>
      </c>
      <c r="AD24" s="48" t="s">
        <v>672</v>
      </c>
      <c r="AE24" s="46">
        <v>1.38</v>
      </c>
      <c r="AG24" s="43" t="s">
        <v>491</v>
      </c>
      <c r="AH24" s="46">
        <v>0.08</v>
      </c>
      <c r="AI24" s="46">
        <v>0.05</v>
      </c>
      <c r="AJ24" s="46">
        <v>0.04</v>
      </c>
      <c r="AK24" s="46">
        <v>0.05</v>
      </c>
      <c r="AL24" s="46">
        <v>0.03</v>
      </c>
      <c r="AN24" s="46" t="str">
        <f t="shared" si="27"/>
        <v>ECCBSG</v>
      </c>
      <c r="AO24" s="48" t="str">
        <f t="shared" ca="1" si="28"/>
        <v>ECCBSG Q321 INDEX</v>
      </c>
      <c r="AR24" s="48" t="str">
        <f t="shared" ca="1" si="0"/>
        <v>ECCBSG Q421 INDEX</v>
      </c>
      <c r="AU24" s="48" t="str">
        <f t="shared" ca="1" si="3"/>
        <v>ECCBSG Q122 INDEX</v>
      </c>
      <c r="AX24" s="48" t="str">
        <f t="shared" ca="1" si="4"/>
        <v>ECCBSG Q222 INDEX</v>
      </c>
      <c r="BA24" s="48" t="str">
        <f t="shared" ca="1" si="5"/>
        <v>ECCBSG Q322 INDEX</v>
      </c>
      <c r="BD24" t="s">
        <v>492</v>
      </c>
      <c r="BE24" s="48" t="s">
        <v>707</v>
      </c>
      <c r="BF24" s="46">
        <v>0.24454999999999999</v>
      </c>
      <c r="BH24" s="32" t="s">
        <v>493</v>
      </c>
      <c r="BI24" s="46">
        <v>-0.7</v>
      </c>
      <c r="BJ24" s="46">
        <v>-1.6</v>
      </c>
      <c r="BK24" s="46">
        <v>-1.2</v>
      </c>
      <c r="BL24" s="46">
        <v>-1.5</v>
      </c>
      <c r="BM24" s="46">
        <v>-0.7</v>
      </c>
      <c r="BO24" s="46" t="str">
        <f t="shared" si="29"/>
        <v>ECPISG</v>
      </c>
      <c r="BP24" s="48" t="str">
        <f t="shared" ca="1" si="30"/>
        <v>ECPISG Q321 INDEX</v>
      </c>
      <c r="BQ24" s="46">
        <v>-0.7</v>
      </c>
      <c r="BS24" s="48" t="str">
        <f t="shared" ca="1" si="1"/>
        <v>ECPISG Q421 INDEX</v>
      </c>
      <c r="BT24" s="46">
        <v>-0.8</v>
      </c>
      <c r="BV24" s="48" t="str">
        <f t="shared" ca="1" si="6"/>
        <v>ECPISG Q122 INDEX</v>
      </c>
      <c r="BW24" s="46">
        <v>-0.7</v>
      </c>
      <c r="BY24" s="48" t="str">
        <f t="shared" ca="1" si="7"/>
        <v>ECPISG Q222 INDEX</v>
      </c>
      <c r="BZ24" s="46">
        <v>-0.05</v>
      </c>
      <c r="CB24" s="48" t="str">
        <f t="shared" ca="1" si="8"/>
        <v>ECPISG Q322 INDEX</v>
      </c>
      <c r="CC24" s="46">
        <v>0.75</v>
      </c>
      <c r="CE24" s="48" t="str">
        <f t="shared" ca="1" si="9"/>
        <v>ECPISG 21 INDEX</v>
      </c>
      <c r="CF24" s="46">
        <v>-0.5</v>
      </c>
      <c r="CH24" s="48" t="str">
        <f t="shared" ca="1" si="10"/>
        <v>ECPISG 22 INDEX</v>
      </c>
      <c r="CI24" s="46">
        <v>0.95</v>
      </c>
      <c r="CK24" s="48" t="str">
        <f t="shared" ca="1" si="11"/>
        <v>ECPISG 23 INDEX</v>
      </c>
      <c r="CL24" s="46">
        <v>1.5</v>
      </c>
      <c r="CN24" s="32" t="s">
        <v>490</v>
      </c>
      <c r="CO24" s="46">
        <v>-0.7</v>
      </c>
      <c r="CP24" s="46">
        <v>1</v>
      </c>
      <c r="CQ24" s="46">
        <v>0.7</v>
      </c>
      <c r="CR24" s="46">
        <v>0.2</v>
      </c>
      <c r="CS24" s="46">
        <v>1</v>
      </c>
      <c r="CU24" s="46" t="str">
        <f t="shared" si="31"/>
        <v>ECGDSG</v>
      </c>
      <c r="CV24" s="48" t="str">
        <f t="shared" ca="1" si="12"/>
        <v>ECGDSG Q321 INDEX</v>
      </c>
      <c r="CW24" s="46">
        <v>-13.7</v>
      </c>
      <c r="CY24" s="48" t="str">
        <f t="shared" ca="1" si="13"/>
        <v>ECGDSG Q421 INDEX</v>
      </c>
      <c r="CZ24" s="46">
        <v>-6</v>
      </c>
      <c r="DB24" s="48" t="str">
        <f t="shared" ca="1" si="14"/>
        <v>ECGDSG Q122 INDEX</v>
      </c>
      <c r="DC24" s="46">
        <v>-2</v>
      </c>
      <c r="DE24" s="48" t="str">
        <f t="shared" ca="1" si="15"/>
        <v>ECGDSG Q222 INDEX</v>
      </c>
      <c r="DF24" s="46">
        <v>1</v>
      </c>
      <c r="DH24" s="48" t="str">
        <f t="shared" ca="1" si="16"/>
        <v>ECGDSG Q322 INDEX</v>
      </c>
      <c r="DI24" s="46">
        <v>12.5</v>
      </c>
      <c r="DK24" s="48" t="str">
        <f t="shared" ca="1" si="17"/>
        <v>ECGDSG 21 INDEX</v>
      </c>
      <c r="DL24" s="46">
        <v>-5.6</v>
      </c>
      <c r="DN24" s="48" t="str">
        <f t="shared" ca="1" si="18"/>
        <v>ECGDSG 22 INDEX</v>
      </c>
      <c r="DO24" s="46">
        <v>4.55</v>
      </c>
      <c r="DQ24" s="48" t="str">
        <f t="shared" ca="1" si="19"/>
        <v>ECGDSG 23 INDEX</v>
      </c>
      <c r="DR24" s="46">
        <v>3.25</v>
      </c>
      <c r="DT24" t="s">
        <v>651</v>
      </c>
      <c r="EA24" t="s">
        <v>651</v>
      </c>
      <c r="EB24"/>
      <c r="EC24"/>
      <c r="ED24"/>
      <c r="EE24"/>
      <c r="EG24"/>
      <c r="EH24" s="13" t="s">
        <v>910</v>
      </c>
      <c r="EI24" s="11">
        <v>2.4</v>
      </c>
      <c r="EJ24" s="11"/>
      <c r="EK24" s="11">
        <v>0.1</v>
      </c>
      <c r="EL24" s="11">
        <v>0.1</v>
      </c>
      <c r="EM24" s="11">
        <v>0.2</v>
      </c>
      <c r="EN24" s="11"/>
      <c r="EO24" s="13" t="s">
        <v>651</v>
      </c>
      <c r="EP24" s="13"/>
      <c r="EQ24" s="11"/>
      <c r="ER24" s="11"/>
      <c r="ES24" s="11"/>
      <c r="ET24" s="11"/>
      <c r="EU24" s="11"/>
      <c r="EV24"/>
      <c r="EW24" s="13" t="s">
        <v>651</v>
      </c>
      <c r="EX24" s="13"/>
      <c r="EY24" s="11"/>
      <c r="EZ24"/>
      <c r="FA24" t="s">
        <v>957</v>
      </c>
      <c r="FB24" s="11">
        <v>13</v>
      </c>
      <c r="FC24" s="11">
        <v>16.5</v>
      </c>
      <c r="FD24" s="11">
        <v>3.7</v>
      </c>
      <c r="FE24" s="11">
        <v>3.9</v>
      </c>
      <c r="FF24" s="11">
        <v>4.2</v>
      </c>
      <c r="FG24"/>
      <c r="FH24" s="33" t="s">
        <v>494</v>
      </c>
      <c r="FI24" s="46">
        <v>364.15699999999998</v>
      </c>
      <c r="FK24" t="s">
        <v>495</v>
      </c>
      <c r="FL24" t="s">
        <v>1002</v>
      </c>
      <c r="FM24" s="11">
        <v>8.6270000000000007</v>
      </c>
      <c r="FN24"/>
      <c r="FO24" s="46" t="str">
        <f t="shared" si="20"/>
        <v>EHCASG</v>
      </c>
      <c r="FP24" t="str">
        <f t="shared" si="21"/>
        <v>EHCASG Index</v>
      </c>
      <c r="FQ24" s="11">
        <v>16.64</v>
      </c>
      <c r="FR24" s="11">
        <v>16.97</v>
      </c>
      <c r="FS24" s="11">
        <v>16.989999999999998</v>
      </c>
      <c r="FT24" s="11">
        <v>17.3</v>
      </c>
      <c r="FU24" s="11">
        <v>16.93</v>
      </c>
      <c r="FV24"/>
      <c r="FW24" t="s">
        <v>496</v>
      </c>
      <c r="FX24" t="s">
        <v>1024</v>
      </c>
      <c r="FY24">
        <v>110.9</v>
      </c>
      <c r="FZ24"/>
      <c r="GA24" t="str">
        <f t="shared" si="22"/>
        <v>TAYLSGB Index</v>
      </c>
      <c r="GB24"/>
      <c r="GC24"/>
      <c r="GE24" s="43" t="str">
        <f t="shared" si="33"/>
        <v>CESISGD Index</v>
      </c>
      <c r="GJ24" s="43" t="str">
        <f t="shared" si="23"/>
        <v>CSIISGD Index</v>
      </c>
      <c r="GO24" s="43" t="s">
        <v>651</v>
      </c>
    </row>
    <row r="25" spans="1:199" x14ac:dyDescent="0.35">
      <c r="A25" s="43" t="s">
        <v>54</v>
      </c>
      <c r="B25" s="44" t="s">
        <v>55</v>
      </c>
      <c r="H25" s="50" t="s">
        <v>756</v>
      </c>
      <c r="I25" s="44">
        <v>0.32600000000000001</v>
      </c>
      <c r="K25" s="50" t="s">
        <v>793</v>
      </c>
      <c r="L25" s="44">
        <v>0.44700000000000001</v>
      </c>
      <c r="N25" s="50" t="s">
        <v>831</v>
      </c>
      <c r="O25" s="44">
        <v>0.80600000000000005</v>
      </c>
      <c r="Q25" s="50" t="s">
        <v>1103</v>
      </c>
      <c r="R25" s="50" t="s">
        <v>1114</v>
      </c>
      <c r="S25" s="44">
        <v>0.441</v>
      </c>
      <c r="U25" s="44" t="s">
        <v>198</v>
      </c>
      <c r="V25" s="50" t="str">
        <f t="shared" si="2"/>
        <v>NZD Curncy</v>
      </c>
      <c r="W25" s="46">
        <v>0.64529999999999998</v>
      </c>
      <c r="Y25" s="50" t="str">
        <f t="shared" si="24"/>
        <v>NZDUSD Curncy</v>
      </c>
      <c r="Z25" s="46">
        <v>0.64529999999999998</v>
      </c>
      <c r="AB25" s="46" t="str">
        <f t="shared" si="25"/>
        <v>FCUSNZ</v>
      </c>
      <c r="AC25" s="48" t="str">
        <f t="shared" si="26"/>
        <v>FCUSNZ Q418 INDEX</v>
      </c>
      <c r="AD25" s="48" t="s">
        <v>673</v>
      </c>
      <c r="AE25" s="46">
        <v>0.67</v>
      </c>
      <c r="AG25" s="43" t="s">
        <v>498</v>
      </c>
      <c r="AH25" s="46">
        <v>0.25</v>
      </c>
      <c r="AI25" s="46">
        <v>-1.25</v>
      </c>
      <c r="AJ25" s="46">
        <v>-0.75</v>
      </c>
      <c r="AK25" s="46">
        <v>-0.75</v>
      </c>
      <c r="AL25" s="46">
        <v>0</v>
      </c>
      <c r="AN25" s="46" t="str">
        <f t="shared" si="27"/>
        <v>ECCBNZ</v>
      </c>
      <c r="AO25" s="48" t="str">
        <f t="shared" ca="1" si="28"/>
        <v>ECCBNZ Q321 INDEX</v>
      </c>
      <c r="AP25" s="46">
        <v>0.25</v>
      </c>
      <c r="AR25" s="48" t="str">
        <f t="shared" ca="1" si="0"/>
        <v>ECCBNZ Q421 INDEX</v>
      </c>
      <c r="AS25" s="46">
        <v>0.2</v>
      </c>
      <c r="AU25" s="48" t="str">
        <f t="shared" ca="1" si="3"/>
        <v>ECCBNZ Q122 INDEX</v>
      </c>
      <c r="AV25" s="46">
        <v>0.1</v>
      </c>
      <c r="AX25" s="48" t="str">
        <f t="shared" ca="1" si="4"/>
        <v>ECCBNZ Q222 INDEX</v>
      </c>
      <c r="AY25" s="46">
        <v>0.1</v>
      </c>
      <c r="BA25" s="48" t="str">
        <f t="shared" ca="1" si="5"/>
        <v>ECCBNZ Q322 INDEX</v>
      </c>
      <c r="BB25" s="46">
        <v>0.1</v>
      </c>
      <c r="BD25" t="s">
        <v>499</v>
      </c>
      <c r="BE25" s="48" t="s">
        <v>1212</v>
      </c>
      <c r="BF25" s="46">
        <v>0.24729999999999999</v>
      </c>
      <c r="BH25" s="32" t="s">
        <v>500</v>
      </c>
      <c r="BI25" s="46">
        <v>2.5</v>
      </c>
      <c r="BJ25" s="46">
        <v>1</v>
      </c>
      <c r="BK25" s="46">
        <v>1</v>
      </c>
      <c r="BL25" s="46">
        <v>0.6</v>
      </c>
      <c r="BO25" s="46" t="str">
        <f t="shared" si="29"/>
        <v>ECPINZ</v>
      </c>
      <c r="BP25" s="48" t="str">
        <f t="shared" ca="1" si="30"/>
        <v>ECPINZ Q321 INDEX</v>
      </c>
      <c r="BQ25" s="46">
        <v>1.5</v>
      </c>
      <c r="BS25" s="48" t="str">
        <f t="shared" ca="1" si="1"/>
        <v>ECPINZ Q421 INDEX</v>
      </c>
      <c r="BT25" s="46">
        <v>1.05</v>
      </c>
      <c r="BV25" s="48" t="str">
        <f t="shared" ca="1" si="6"/>
        <v>ECPINZ Q122 INDEX</v>
      </c>
      <c r="BW25" s="46">
        <v>0.85</v>
      </c>
      <c r="BY25" s="48" t="str">
        <f t="shared" ca="1" si="7"/>
        <v>ECPINZ Q222 INDEX</v>
      </c>
      <c r="BZ25" s="46">
        <v>0.95</v>
      </c>
      <c r="CB25" s="48" t="str">
        <f t="shared" ca="1" si="8"/>
        <v>ECPINZ Q322 INDEX</v>
      </c>
      <c r="CC25" s="46">
        <v>1.5</v>
      </c>
      <c r="CE25" s="48" t="str">
        <f t="shared" ca="1" si="9"/>
        <v>ECPINZ 21 INDEX</v>
      </c>
      <c r="CF25" s="46">
        <v>1.5</v>
      </c>
      <c r="CH25" s="48" t="str">
        <f t="shared" ca="1" si="10"/>
        <v>ECPINZ 22 INDEX</v>
      </c>
      <c r="CI25" s="46">
        <v>1.6</v>
      </c>
      <c r="CK25" s="48" t="str">
        <f t="shared" ca="1" si="11"/>
        <v>ECPINZ 23 INDEX</v>
      </c>
      <c r="CL25" s="46">
        <v>1.6</v>
      </c>
      <c r="CN25" s="32" t="s">
        <v>497</v>
      </c>
      <c r="CO25" s="46">
        <v>1.8</v>
      </c>
      <c r="CP25" s="46">
        <v>2.2999999999999998</v>
      </c>
      <c r="CQ25" s="46">
        <v>2.1</v>
      </c>
      <c r="CR25" s="46">
        <v>3</v>
      </c>
      <c r="CS25" s="46">
        <v>3.3</v>
      </c>
      <c r="CU25" s="46" t="str">
        <f t="shared" si="31"/>
        <v>ECGDNZ</v>
      </c>
      <c r="CV25" s="48" t="str">
        <f t="shared" ca="1" si="12"/>
        <v>ECGDNZ Q321 INDEX</v>
      </c>
      <c r="CW25" s="46">
        <v>-13.6</v>
      </c>
      <c r="CY25" s="48" t="str">
        <f t="shared" ca="1" si="13"/>
        <v>ECGDNZ Q421 INDEX</v>
      </c>
      <c r="CZ25" s="46">
        <v>-5.9</v>
      </c>
      <c r="DB25" s="48" t="str">
        <f t="shared" ca="1" si="14"/>
        <v>ECGDNZ Q122 INDEX</v>
      </c>
      <c r="DC25" s="46">
        <v>-3.5</v>
      </c>
      <c r="DE25" s="48" t="str">
        <f t="shared" ca="1" si="15"/>
        <v>ECGDNZ Q222 INDEX</v>
      </c>
      <c r="DF25" s="46">
        <v>-1.7</v>
      </c>
      <c r="DH25" s="48" t="str">
        <f t="shared" ca="1" si="16"/>
        <v>ECGDNZ Q322 INDEX</v>
      </c>
      <c r="DI25" s="46">
        <v>12.8</v>
      </c>
      <c r="DK25" s="48" t="str">
        <f t="shared" ca="1" si="17"/>
        <v>ECGDNZ 21 INDEX</v>
      </c>
      <c r="DL25" s="46">
        <v>-5.05</v>
      </c>
      <c r="DN25" s="48" t="str">
        <f t="shared" ca="1" si="18"/>
        <v>ECGDNZ 22 INDEX</v>
      </c>
      <c r="DO25" s="46">
        <v>4.0999999999999996</v>
      </c>
      <c r="DQ25" s="48" t="str">
        <f t="shared" ca="1" si="19"/>
        <v>ECGDNZ 23 INDEX</v>
      </c>
      <c r="DR25" s="46">
        <v>3.45</v>
      </c>
      <c r="DT25" t="s">
        <v>651</v>
      </c>
      <c r="EA25" t="s">
        <v>651</v>
      </c>
      <c r="EB25"/>
      <c r="EC25"/>
      <c r="ED25"/>
      <c r="EE25"/>
      <c r="EG25"/>
      <c r="EH25" s="13" t="s">
        <v>904</v>
      </c>
      <c r="EI25" s="11">
        <v>4.2</v>
      </c>
      <c r="EJ25" s="11"/>
      <c r="EK25" s="11">
        <v>0.2</v>
      </c>
      <c r="EL25" s="11">
        <v>0.1</v>
      </c>
      <c r="EM25" s="11">
        <v>0.1</v>
      </c>
      <c r="EN25" s="11"/>
      <c r="EO25" s="13" t="str">
        <f t="shared" si="32"/>
        <v>OENZKLAC Index</v>
      </c>
      <c r="EP25" s="13" t="s">
        <v>1144</v>
      </c>
      <c r="EQ25" s="11">
        <v>100.4456</v>
      </c>
      <c r="ER25" s="11">
        <v>0.13</v>
      </c>
      <c r="ES25" s="11">
        <v>0.64339999999999997</v>
      </c>
      <c r="ET25" s="11">
        <v>1.0168999999999999</v>
      </c>
      <c r="EU25" s="11">
        <v>1.0609999999999999</v>
      </c>
      <c r="EV25"/>
      <c r="EW25" s="13" t="s">
        <v>1034</v>
      </c>
      <c r="EX25" s="13" t="s">
        <v>1074</v>
      </c>
      <c r="EY25" s="11">
        <v>4.4000000000000004</v>
      </c>
      <c r="EZ25"/>
      <c r="FA25" t="s">
        <v>968</v>
      </c>
      <c r="FB25" s="11">
        <v>1.81</v>
      </c>
      <c r="FC25" s="11"/>
      <c r="FD25" s="11">
        <v>1.63</v>
      </c>
      <c r="FE25" s="11">
        <v>2.58</v>
      </c>
      <c r="FF25" s="11">
        <v>0.79</v>
      </c>
      <c r="FG25"/>
      <c r="FH25" s="33" t="s">
        <v>501</v>
      </c>
      <c r="FI25" s="46">
        <v>204.92400000000001</v>
      </c>
      <c r="FK25" t="s">
        <v>502</v>
      </c>
      <c r="FL25" t="s">
        <v>1002</v>
      </c>
      <c r="FM25" s="11">
        <v>3.6999999999999998E-2</v>
      </c>
      <c r="FN25"/>
      <c r="FO25" s="46" t="str">
        <f t="shared" si="20"/>
        <v>EHCANZ</v>
      </c>
      <c r="FP25" t="str">
        <f t="shared" si="21"/>
        <v>EHCANZ Index</v>
      </c>
      <c r="FQ25" s="11">
        <v>-3.33</v>
      </c>
      <c r="FR25" s="11">
        <v>-3.5300000000000002</v>
      </c>
      <c r="FS25" s="11">
        <v>-3.6</v>
      </c>
      <c r="FT25" s="11">
        <v>-3.55</v>
      </c>
      <c r="FU25" s="11">
        <v>-3.35</v>
      </c>
      <c r="FV25"/>
      <c r="FW25" t="s">
        <v>503</v>
      </c>
      <c r="FX25" t="s">
        <v>1023</v>
      </c>
      <c r="FY25">
        <v>3.82</v>
      </c>
      <c r="FZ25"/>
      <c r="GA25" t="str">
        <f t="shared" si="22"/>
        <v>TAYLNZB Index</v>
      </c>
      <c r="GB25" t="s">
        <v>1092</v>
      </c>
      <c r="GC25">
        <v>6</v>
      </c>
      <c r="GE25" s="43" t="str">
        <f t="shared" si="33"/>
        <v>CESINZD Index</v>
      </c>
      <c r="GF25" s="44">
        <v>72.7</v>
      </c>
      <c r="GG25" s="44">
        <v>65.52</v>
      </c>
      <c r="GH25" s="44">
        <v>64.06</v>
      </c>
      <c r="GJ25" s="43" t="str">
        <f t="shared" si="23"/>
        <v>CSIINZD Index</v>
      </c>
      <c r="GK25" s="44">
        <v>15.13</v>
      </c>
      <c r="GL25" s="44">
        <v>56.67</v>
      </c>
      <c r="GM25" s="44">
        <v>30.31</v>
      </c>
      <c r="GO25" s="43" t="s">
        <v>651</v>
      </c>
    </row>
    <row r="26" spans="1:199" x14ac:dyDescent="0.35">
      <c r="A26" s="51" t="s">
        <v>56</v>
      </c>
      <c r="B26" s="44" t="s">
        <v>57</v>
      </c>
      <c r="H26" s="50" t="s">
        <v>752</v>
      </c>
      <c r="I26" s="44">
        <v>0.29499999999999998</v>
      </c>
      <c r="K26" s="50" t="s">
        <v>794</v>
      </c>
      <c r="L26" s="44">
        <v>0.38300000000000001</v>
      </c>
      <c r="N26" s="50" t="s">
        <v>832</v>
      </c>
      <c r="O26" s="44">
        <v>0.55800000000000005</v>
      </c>
      <c r="Q26" s="50" t="s">
        <v>1097</v>
      </c>
      <c r="R26" s="50" t="s">
        <v>1115</v>
      </c>
      <c r="S26" s="44">
        <v>0.81399999999999995</v>
      </c>
      <c r="U26" s="44" t="s">
        <v>187</v>
      </c>
      <c r="V26" s="50" t="str">
        <f t="shared" si="2"/>
        <v>CAD Curncy</v>
      </c>
      <c r="W26" s="46">
        <v>1.3557999999999999</v>
      </c>
      <c r="Y26" s="50" t="str">
        <f t="shared" si="24"/>
        <v>CADUSD Curncy</v>
      </c>
      <c r="Z26" s="46">
        <v>0.73760000000000003</v>
      </c>
      <c r="AB26" s="46" t="str">
        <f t="shared" si="25"/>
        <v>FCUSCA</v>
      </c>
      <c r="AC26" s="48" t="str">
        <f t="shared" si="26"/>
        <v>FCUSCA Q418 INDEX</v>
      </c>
      <c r="AD26" s="48" t="s">
        <v>674</v>
      </c>
      <c r="AE26" s="46">
        <v>1.3</v>
      </c>
      <c r="AG26" s="43" t="s">
        <v>505</v>
      </c>
      <c r="AH26" s="46">
        <v>0.25</v>
      </c>
      <c r="AI26" s="46">
        <v>-1.5</v>
      </c>
      <c r="AJ26" s="46">
        <v>-1.5</v>
      </c>
      <c r="AK26" s="46">
        <v>-1</v>
      </c>
      <c r="AL26" s="46">
        <v>0</v>
      </c>
      <c r="AN26" s="46" t="str">
        <f t="shared" si="27"/>
        <v>ECCBCA</v>
      </c>
      <c r="AO26" s="48" t="str">
        <f t="shared" ca="1" si="28"/>
        <v>ECCBCA Q321 INDEX</v>
      </c>
      <c r="AP26" s="46">
        <v>0.25</v>
      </c>
      <c r="AR26" s="48" t="str">
        <f t="shared" ca="1" si="0"/>
        <v>ECCBCA Q421 INDEX</v>
      </c>
      <c r="AS26" s="46">
        <v>0.25</v>
      </c>
      <c r="AU26" s="48" t="str">
        <f t="shared" ca="1" si="3"/>
        <v>ECCBCA Q122 INDEX</v>
      </c>
      <c r="AV26" s="46">
        <v>0.25</v>
      </c>
      <c r="AX26" s="48" t="str">
        <f t="shared" ca="1" si="4"/>
        <v>ECCBCA Q222 INDEX</v>
      </c>
      <c r="AY26" s="46">
        <v>0.25</v>
      </c>
      <c r="BA26" s="48" t="str">
        <f t="shared" ca="1" si="5"/>
        <v>ECCBCA Q322 INDEX</v>
      </c>
      <c r="BB26" s="46">
        <v>0.25</v>
      </c>
      <c r="BD26" t="s">
        <v>506</v>
      </c>
      <c r="BE26" s="48" t="s">
        <v>1213</v>
      </c>
      <c r="BF26" s="46">
        <v>0.24</v>
      </c>
      <c r="BH26" s="32" t="s">
        <v>507</v>
      </c>
      <c r="BI26" s="46">
        <v>-0.2</v>
      </c>
      <c r="BJ26" s="46">
        <v>-2.2000000000000002</v>
      </c>
      <c r="BK26" s="46">
        <v>-2.1</v>
      </c>
      <c r="BL26" s="46">
        <v>-2.6</v>
      </c>
      <c r="BM26" s="46">
        <v>-1.1000000000000001</v>
      </c>
      <c r="BO26" s="46" t="str">
        <f t="shared" si="29"/>
        <v>ECPICA</v>
      </c>
      <c r="BP26" s="48" t="str">
        <f t="shared" ca="1" si="30"/>
        <v>ECPICA Q321 INDEX</v>
      </c>
      <c r="BQ26" s="46">
        <v>0.05</v>
      </c>
      <c r="BS26" s="48" t="str">
        <f t="shared" ca="1" si="1"/>
        <v>ECPICA Q421 INDEX</v>
      </c>
      <c r="BT26" s="46">
        <v>0.2</v>
      </c>
      <c r="BV26" s="48" t="str">
        <f t="shared" ca="1" si="6"/>
        <v>ECPICA Q122 INDEX</v>
      </c>
      <c r="BW26" s="46">
        <v>0.2</v>
      </c>
      <c r="BY26" s="48" t="str">
        <f t="shared" ca="1" si="7"/>
        <v>ECPICA Q222 INDEX</v>
      </c>
      <c r="BZ26" s="46">
        <v>0.5</v>
      </c>
      <c r="CB26" s="48" t="str">
        <f t="shared" ca="1" si="8"/>
        <v>ECPICA Q322 INDEX</v>
      </c>
      <c r="CC26" s="46">
        <v>2.1</v>
      </c>
      <c r="CE26" s="48" t="str">
        <f t="shared" ca="1" si="9"/>
        <v>ECPICA 21 INDEX</v>
      </c>
      <c r="CF26" s="46">
        <v>0.5</v>
      </c>
      <c r="CH26" s="48" t="str">
        <f t="shared" ca="1" si="10"/>
        <v>ECPICA 22 INDEX</v>
      </c>
      <c r="CI26" s="46">
        <v>1.7</v>
      </c>
      <c r="CK26" s="48" t="str">
        <f t="shared" ca="1" si="11"/>
        <v>ECPICA 23 INDEX</v>
      </c>
      <c r="CL26" s="46">
        <v>2</v>
      </c>
      <c r="CN26" s="32" t="s">
        <v>504</v>
      </c>
      <c r="CO26" s="46">
        <v>-5.8</v>
      </c>
      <c r="CP26" s="46">
        <v>2.1</v>
      </c>
      <c r="CQ26" s="46">
        <v>1.7</v>
      </c>
      <c r="CR26" s="46">
        <v>1.9</v>
      </c>
      <c r="CS26" s="46">
        <v>1.6</v>
      </c>
      <c r="CU26" s="46" t="str">
        <f t="shared" si="31"/>
        <v>ECGDCA</v>
      </c>
      <c r="CV26" s="48" t="str">
        <f t="shared" ca="1" si="12"/>
        <v>ECGDCA Q321 INDEX</v>
      </c>
      <c r="CW26" s="46">
        <v>-41.25</v>
      </c>
      <c r="CY26" s="48" t="str">
        <f t="shared" ca="1" si="13"/>
        <v>ECGDCA Q421 INDEX</v>
      </c>
      <c r="CZ26" s="46">
        <v>29.9</v>
      </c>
      <c r="DB26" s="48" t="str">
        <f t="shared" ca="1" si="14"/>
        <v>ECGDCA Q122 INDEX</v>
      </c>
      <c r="DC26" s="46">
        <v>10</v>
      </c>
      <c r="DE26" s="48" t="str">
        <f t="shared" ca="1" si="15"/>
        <v>ECGDCA Q222 INDEX</v>
      </c>
      <c r="DF26" s="46">
        <v>5</v>
      </c>
      <c r="DH26" s="48" t="str">
        <f t="shared" ca="1" si="16"/>
        <v>ECGDCA Q322 INDEX</v>
      </c>
      <c r="DI26" s="46">
        <v>4</v>
      </c>
      <c r="DK26" s="48" t="str">
        <f t="shared" ca="1" si="17"/>
        <v>ECGDCA 21 INDEX</v>
      </c>
      <c r="DL26" s="46">
        <v>-7.1</v>
      </c>
      <c r="DN26" s="48" t="str">
        <f t="shared" ca="1" si="18"/>
        <v>ECGDCA 22 INDEX</v>
      </c>
      <c r="DO26" s="46">
        <v>4.9000000000000004</v>
      </c>
      <c r="DQ26" s="48" t="str">
        <f t="shared" ca="1" si="19"/>
        <v>ECGDCA 23 INDEX</v>
      </c>
      <c r="DR26" s="46">
        <v>2.1</v>
      </c>
      <c r="DT26" t="s">
        <v>110</v>
      </c>
      <c r="DU26" s="46">
        <v>40.6</v>
      </c>
      <c r="DV26" s="46">
        <v>33</v>
      </c>
      <c r="DW26" s="46">
        <v>51.8</v>
      </c>
      <c r="DX26" s="46">
        <v>51.4</v>
      </c>
      <c r="DY26" s="46">
        <v>49.1</v>
      </c>
      <c r="EA26" t="s">
        <v>651</v>
      </c>
      <c r="EB26"/>
      <c r="EC26"/>
      <c r="ED26"/>
      <c r="EE26"/>
      <c r="EG26"/>
      <c r="EH26" s="13" t="s">
        <v>884</v>
      </c>
      <c r="EI26" s="11">
        <v>13.7</v>
      </c>
      <c r="EJ26" s="11">
        <v>0.7</v>
      </c>
      <c r="EK26" s="11">
        <v>8.1</v>
      </c>
      <c r="EL26" s="11">
        <v>7.8</v>
      </c>
      <c r="EM26" s="11">
        <v>8.3000000000000007</v>
      </c>
      <c r="EN26" s="11"/>
      <c r="EO26" s="13" t="str">
        <f t="shared" si="32"/>
        <v>OECAKLAC Index</v>
      </c>
      <c r="EP26" s="13" t="s">
        <v>1145</v>
      </c>
      <c r="EQ26" s="11">
        <v>97.924499999999995</v>
      </c>
      <c r="ER26" s="11">
        <v>-3.6299999999999999E-2</v>
      </c>
      <c r="ES26" s="11">
        <v>-1.1580999999999999</v>
      </c>
      <c r="ET26" s="11">
        <v>-1.0044</v>
      </c>
      <c r="EU26" s="11">
        <v>-1.1194</v>
      </c>
      <c r="EV26"/>
      <c r="EW26" s="13" t="s">
        <v>1029</v>
      </c>
      <c r="EX26" s="13" t="s">
        <v>1075</v>
      </c>
      <c r="EY26" s="11">
        <v>6.2213000000000003</v>
      </c>
      <c r="EZ26"/>
      <c r="FA26" t="s">
        <v>931</v>
      </c>
      <c r="FB26" s="11">
        <v>0.7</v>
      </c>
      <c r="FC26" s="11">
        <v>-0.11</v>
      </c>
      <c r="FD26" s="11">
        <v>-1.32</v>
      </c>
      <c r="FE26" s="11">
        <v>-2.12</v>
      </c>
      <c r="FF26" s="11">
        <v>-0.6</v>
      </c>
      <c r="FG26"/>
      <c r="FH26" s="33" t="s">
        <v>508</v>
      </c>
      <c r="FI26" s="46">
        <v>1713.3420000000001</v>
      </c>
      <c r="FK26" t="s">
        <v>509</v>
      </c>
      <c r="FL26" t="s">
        <v>1008</v>
      </c>
      <c r="FM26" s="11">
        <v>-0.35</v>
      </c>
      <c r="FN26"/>
      <c r="FO26" s="46" t="str">
        <f t="shared" si="20"/>
        <v>EHCACA</v>
      </c>
      <c r="FP26" t="str">
        <f t="shared" si="21"/>
        <v>EHCACA Index</v>
      </c>
      <c r="FQ26" s="11">
        <v>-1.76</v>
      </c>
      <c r="FR26" s="11">
        <v>-2.04</v>
      </c>
      <c r="FS26" s="11">
        <v>-2.35</v>
      </c>
      <c r="FT26" s="11">
        <v>-2.2999999999999998</v>
      </c>
      <c r="FU26" s="11">
        <v>-2.57</v>
      </c>
      <c r="FV26"/>
      <c r="FW26" t="s">
        <v>510</v>
      </c>
      <c r="FX26" t="s">
        <v>1023</v>
      </c>
      <c r="FY26">
        <v>22.08</v>
      </c>
      <c r="FZ26"/>
      <c r="GA26" t="str">
        <f t="shared" si="22"/>
        <v>TAYLCAB Index</v>
      </c>
      <c r="GB26" t="s">
        <v>1092</v>
      </c>
      <c r="GC26">
        <v>-2.6</v>
      </c>
      <c r="GE26" s="43" t="str">
        <f t="shared" si="33"/>
        <v>CESICAD Index</v>
      </c>
      <c r="GF26" s="44">
        <v>304.10000000000002</v>
      </c>
      <c r="GG26" s="44">
        <v>303.66000000000003</v>
      </c>
      <c r="GH26" s="44">
        <v>88.99</v>
      </c>
      <c r="GJ26" s="43" t="str">
        <f t="shared" si="23"/>
        <v>CSIICAD Index</v>
      </c>
      <c r="GK26" s="44">
        <v>2.61</v>
      </c>
      <c r="GL26" s="44">
        <v>14</v>
      </c>
      <c r="GM26" s="44">
        <v>14.56</v>
      </c>
      <c r="GO26" s="43" t="s">
        <v>651</v>
      </c>
    </row>
    <row r="27" spans="1:199" x14ac:dyDescent="0.35">
      <c r="A27" s="43" t="s">
        <v>58</v>
      </c>
      <c r="B27" s="44" t="s">
        <v>15</v>
      </c>
      <c r="H27" s="50" t="s">
        <v>759</v>
      </c>
      <c r="I27" s="44">
        <v>2.1920000000000002</v>
      </c>
      <c r="K27" s="50" t="s">
        <v>795</v>
      </c>
      <c r="L27" s="44">
        <v>2.4550000000000001</v>
      </c>
      <c r="N27" s="50" t="s">
        <v>833</v>
      </c>
      <c r="O27" s="44">
        <v>2.76</v>
      </c>
      <c r="Q27" s="50" t="s">
        <v>651</v>
      </c>
      <c r="U27" s="44" t="s">
        <v>511</v>
      </c>
      <c r="V27" s="50" t="str">
        <f t="shared" si="2"/>
        <v>CNY Curncy</v>
      </c>
      <c r="W27" s="46">
        <v>7.0777000000000001</v>
      </c>
      <c r="Y27" s="50" t="str">
        <f t="shared" si="24"/>
        <v>CNYUSD Curncy</v>
      </c>
      <c r="Z27" s="46">
        <v>0.14129</v>
      </c>
      <c r="AB27" s="46" t="str">
        <f t="shared" si="25"/>
        <v>FCUSCN</v>
      </c>
      <c r="AC27" s="48" t="str">
        <f t="shared" si="26"/>
        <v>FCUSCN Q418 INDEX</v>
      </c>
      <c r="AD27" s="48" t="s">
        <v>675</v>
      </c>
      <c r="AE27" s="46">
        <v>6.95</v>
      </c>
      <c r="AG27" s="43" t="s">
        <v>513</v>
      </c>
      <c r="AH27" s="46">
        <v>4.3499999999999996</v>
      </c>
      <c r="AI27" s="46">
        <v>0</v>
      </c>
      <c r="AJ27" s="46">
        <v>0</v>
      </c>
      <c r="AK27" s="46">
        <v>0</v>
      </c>
      <c r="AL27" s="46">
        <v>0</v>
      </c>
      <c r="AN27" s="46" t="str">
        <f t="shared" si="27"/>
        <v>ECCBCN</v>
      </c>
      <c r="AO27" s="48" t="str">
        <f t="shared" ca="1" si="28"/>
        <v>ECCBCN Q321 INDEX</v>
      </c>
      <c r="AP27" s="46">
        <v>4.3499999999999996</v>
      </c>
      <c r="AR27" s="48" t="str">
        <f t="shared" ca="1" si="0"/>
        <v>ECCBCN Q421 INDEX</v>
      </c>
      <c r="AS27" s="46">
        <v>4.3</v>
      </c>
      <c r="AU27" s="48" t="str">
        <f t="shared" ca="1" si="3"/>
        <v>ECCBCN Q122 INDEX</v>
      </c>
      <c r="AV27" s="46">
        <v>4.2</v>
      </c>
      <c r="AX27" s="48" t="str">
        <f t="shared" ca="1" si="4"/>
        <v>ECCBCN Q222 INDEX</v>
      </c>
      <c r="AY27" s="46">
        <v>4.2</v>
      </c>
      <c r="BA27" s="48" t="str">
        <f t="shared" ca="1" si="5"/>
        <v>ECCBCN Q322 INDEX</v>
      </c>
      <c r="BB27" s="46">
        <v>4.2</v>
      </c>
      <c r="BD27" t="s">
        <v>514</v>
      </c>
      <c r="BE27" s="48" t="s">
        <v>708</v>
      </c>
      <c r="BF27" s="46">
        <v>1.96</v>
      </c>
      <c r="BH27" s="13" t="s">
        <v>515</v>
      </c>
      <c r="BI27" s="46">
        <v>2.4</v>
      </c>
      <c r="BJ27" s="46">
        <v>-0.3</v>
      </c>
      <c r="BK27" s="46">
        <v>-2.1</v>
      </c>
      <c r="BL27" s="46">
        <v>-2.8</v>
      </c>
      <c r="BM27" s="46">
        <v>-0.9</v>
      </c>
      <c r="BO27" s="46" t="str">
        <f t="shared" si="29"/>
        <v>ECPICN</v>
      </c>
      <c r="BP27" s="48" t="str">
        <f t="shared" ca="1" si="30"/>
        <v>ECPICN Q321 INDEX</v>
      </c>
      <c r="BQ27" s="46">
        <v>3.4</v>
      </c>
      <c r="BS27" s="48" t="str">
        <f t="shared" ca="1" si="1"/>
        <v>ECPICN Q421 INDEX</v>
      </c>
      <c r="BT27" s="46">
        <v>2.65</v>
      </c>
      <c r="BV27" s="48" t="str">
        <f t="shared" ca="1" si="6"/>
        <v>ECPICN Q122 INDEX</v>
      </c>
      <c r="BW27" s="46">
        <v>1.5</v>
      </c>
      <c r="BY27" s="48" t="str">
        <f t="shared" ca="1" si="7"/>
        <v>ECPICN Q222 INDEX</v>
      </c>
      <c r="BZ27" s="46">
        <v>1.4</v>
      </c>
      <c r="CB27" s="48" t="str">
        <f t="shared" ca="1" si="8"/>
        <v>ECPICN Q322 INDEX</v>
      </c>
      <c r="CC27" s="46">
        <v>2</v>
      </c>
      <c r="CE27" s="48" t="str">
        <f t="shared" ca="1" si="9"/>
        <v>ECPICN 21 INDEX</v>
      </c>
      <c r="CF27" s="46">
        <v>3</v>
      </c>
      <c r="CH27" s="48" t="str">
        <f t="shared" ca="1" si="10"/>
        <v>ECPICN 22 INDEX</v>
      </c>
      <c r="CI27" s="46">
        <v>2.1</v>
      </c>
      <c r="CK27" s="48" t="str">
        <f t="shared" ca="1" si="11"/>
        <v>ECPICN 23 INDEX</v>
      </c>
      <c r="CL27" s="46">
        <v>2.2000000000000002</v>
      </c>
      <c r="CN27" s="34" t="s">
        <v>512</v>
      </c>
      <c r="CO27" s="46">
        <v>-6.8</v>
      </c>
      <c r="CP27" s="46">
        <v>6</v>
      </c>
      <c r="CQ27" s="46">
        <v>6</v>
      </c>
      <c r="CR27" s="46">
        <v>6.2</v>
      </c>
      <c r="CS27" s="46">
        <v>6.4</v>
      </c>
      <c r="CU27" s="46" t="str">
        <f t="shared" si="31"/>
        <v>ECGDCN</v>
      </c>
      <c r="CV27" s="48" t="str">
        <f t="shared" ca="1" si="12"/>
        <v>ECGDCN Q321 INDEX</v>
      </c>
      <c r="CW27" s="46">
        <v>1.2</v>
      </c>
      <c r="CY27" s="48" t="str">
        <f t="shared" ca="1" si="13"/>
        <v>ECGDCN Q421 INDEX</v>
      </c>
      <c r="CZ27" s="46">
        <v>5</v>
      </c>
      <c r="DB27" s="48" t="str">
        <f t="shared" ca="1" si="14"/>
        <v>ECGDCN Q122 INDEX</v>
      </c>
      <c r="DC27" s="46">
        <v>5.7</v>
      </c>
      <c r="DE27" s="48" t="str">
        <f t="shared" ca="1" si="15"/>
        <v>ECGDCN Q222 INDEX</v>
      </c>
      <c r="DF27" s="46">
        <v>15.2</v>
      </c>
      <c r="DH27" s="48" t="str">
        <f t="shared" ca="1" si="16"/>
        <v>ECGDCN Q322 INDEX</v>
      </c>
      <c r="DI27" s="46">
        <v>8.6</v>
      </c>
      <c r="DK27" s="48" t="str">
        <f t="shared" ca="1" si="17"/>
        <v>ECGDCN 21 INDEX</v>
      </c>
      <c r="DL27" s="46">
        <v>1.75</v>
      </c>
      <c r="DN27" s="48" t="str">
        <f t="shared" ca="1" si="18"/>
        <v>ECGDCN 22 INDEX</v>
      </c>
      <c r="DO27" s="46">
        <v>8</v>
      </c>
      <c r="DQ27" s="48" t="str">
        <f t="shared" ca="1" si="19"/>
        <v>ECGDCN 23 INDEX</v>
      </c>
      <c r="DR27" s="46">
        <v>5.5</v>
      </c>
      <c r="DT27" t="s">
        <v>131</v>
      </c>
      <c r="DU27" s="46">
        <v>50.7</v>
      </c>
      <c r="DV27" s="46">
        <v>49.4</v>
      </c>
      <c r="DW27" s="46">
        <v>40.299999999999997</v>
      </c>
      <c r="DX27" s="46">
        <v>51.8</v>
      </c>
      <c r="DY27" s="46">
        <v>50.2</v>
      </c>
      <c r="EA27" t="s">
        <v>132</v>
      </c>
      <c r="EB27">
        <v>55</v>
      </c>
      <c r="EC27">
        <v>44.4</v>
      </c>
      <c r="ED27">
        <v>26.5</v>
      </c>
      <c r="EE27">
        <v>53.5</v>
      </c>
      <c r="EF27" s="46">
        <v>52.7</v>
      </c>
      <c r="EG27"/>
      <c r="EH27" s="13" t="s">
        <v>885</v>
      </c>
      <c r="EI27" s="11">
        <v>3.66</v>
      </c>
      <c r="EJ27" s="11"/>
      <c r="EK27" s="11">
        <v>0.04</v>
      </c>
      <c r="EL27" s="11">
        <v>0.05</v>
      </c>
      <c r="EM27" s="11">
        <v>-0.01</v>
      </c>
      <c r="EN27" s="11"/>
      <c r="EO27" s="13" t="str">
        <f t="shared" si="32"/>
        <v>OECNKLAC Index</v>
      </c>
      <c r="EP27" s="13" t="s">
        <v>1146</v>
      </c>
      <c r="EQ27" s="11">
        <v>96.204599999999999</v>
      </c>
      <c r="ER27" s="11">
        <v>2.0152999999999999</v>
      </c>
      <c r="ES27" s="11">
        <v>-1.7145999999999999</v>
      </c>
      <c r="ET27" s="11">
        <v>-2.3037000000000001</v>
      </c>
      <c r="EU27" s="11">
        <v>-2.8826999999999998</v>
      </c>
      <c r="EV27"/>
      <c r="EW27" s="13" t="s">
        <v>651</v>
      </c>
      <c r="EX27" s="13"/>
      <c r="EY27" s="11"/>
      <c r="EZ27"/>
      <c r="FA27" t="s">
        <v>933</v>
      </c>
      <c r="FB27" s="11">
        <v>3.9</v>
      </c>
      <c r="FC27" s="11">
        <v>-1.1000000000000001</v>
      </c>
      <c r="FD27" s="11">
        <v>6.9</v>
      </c>
      <c r="FE27" s="11">
        <v>4.7</v>
      </c>
      <c r="FF27" s="11">
        <v>5.4</v>
      </c>
      <c r="FG27"/>
      <c r="FH27" s="33" t="s">
        <v>516</v>
      </c>
      <c r="FI27" s="46">
        <v>13608.152</v>
      </c>
      <c r="FK27" t="s">
        <v>517</v>
      </c>
      <c r="FL27" t="s">
        <v>1009</v>
      </c>
      <c r="FM27" s="11">
        <v>-4.8899999999999997</v>
      </c>
      <c r="FN27"/>
      <c r="FO27" s="46" t="str">
        <f t="shared" si="20"/>
        <v>EHCACN</v>
      </c>
      <c r="FP27" t="str">
        <f t="shared" si="21"/>
        <v>EHCACN Index</v>
      </c>
      <c r="FQ27" s="11">
        <v>0.57999999999999996</v>
      </c>
      <c r="FR27" s="11">
        <v>1</v>
      </c>
      <c r="FS27" s="11">
        <v>1.1000000000000001</v>
      </c>
      <c r="FT27" s="11">
        <v>0.91</v>
      </c>
      <c r="FU27" s="11">
        <v>0.69</v>
      </c>
      <c r="FV27"/>
      <c r="FW27" t="s">
        <v>518</v>
      </c>
      <c r="FX27" t="s">
        <v>1024</v>
      </c>
      <c r="FY27">
        <v>47.8</v>
      </c>
      <c r="FZ27"/>
      <c r="GA27" t="str">
        <f t="shared" si="22"/>
        <v>TAYLCNB Index</v>
      </c>
      <c r="GB27"/>
      <c r="GC27"/>
      <c r="GE27" s="43" t="str">
        <f t="shared" si="33"/>
        <v>CESICNY Index</v>
      </c>
      <c r="GF27" s="44">
        <v>36.700000000000003</v>
      </c>
      <c r="GG27" s="44">
        <v>24</v>
      </c>
      <c r="GH27" s="44">
        <v>-88.13</v>
      </c>
      <c r="GJ27" s="43" t="str">
        <f t="shared" si="23"/>
        <v>CSIICNY Index</v>
      </c>
      <c r="GK27" s="44">
        <v>-42.52</v>
      </c>
      <c r="GL27" s="44">
        <v>-15.17</v>
      </c>
      <c r="GM27" s="44">
        <v>27.28</v>
      </c>
      <c r="GO27" s="43" t="s">
        <v>1193</v>
      </c>
      <c r="GP27" s="44" t="s">
        <v>1194</v>
      </c>
      <c r="GQ27" s="44">
        <v>32298.81</v>
      </c>
    </row>
    <row r="28" spans="1:199" x14ac:dyDescent="0.35">
      <c r="A28" s="43" t="s">
        <v>59</v>
      </c>
      <c r="B28" s="44" t="s">
        <v>60</v>
      </c>
      <c r="H28" s="50" t="s">
        <v>760</v>
      </c>
      <c r="I28" s="44">
        <v>0.79</v>
      </c>
      <c r="K28" s="50" t="s">
        <v>796</v>
      </c>
      <c r="L28" s="44">
        <v>1.113</v>
      </c>
      <c r="N28" s="50" t="s">
        <v>834</v>
      </c>
      <c r="O28" s="44">
        <v>1.3820000000000001</v>
      </c>
      <c r="Q28" s="50" t="s">
        <v>651</v>
      </c>
      <c r="U28" s="44" t="s">
        <v>195</v>
      </c>
      <c r="V28" s="50" t="str">
        <f t="shared" si="2"/>
        <v>KRW Curncy</v>
      </c>
      <c r="W28" s="46">
        <v>1203.9000000000001</v>
      </c>
      <c r="Y28" s="50" t="str">
        <f t="shared" si="24"/>
        <v>KRWUSD Curncy</v>
      </c>
      <c r="Z28" s="46">
        <v>8.3119999999999999E-2</v>
      </c>
      <c r="AB28" s="46" t="str">
        <f t="shared" si="25"/>
        <v>FCUSKR</v>
      </c>
      <c r="AC28" s="48" t="str">
        <f t="shared" si="26"/>
        <v>FCUSKR Q418 INDEX</v>
      </c>
      <c r="AD28" s="48" t="s">
        <v>676</v>
      </c>
      <c r="AE28" s="46">
        <v>1139</v>
      </c>
      <c r="AG28" s="43" t="s">
        <v>520</v>
      </c>
      <c r="AH28" s="46">
        <v>0.5</v>
      </c>
      <c r="AI28" s="46">
        <v>-1.25</v>
      </c>
      <c r="AJ28" s="46">
        <v>-0.75</v>
      </c>
      <c r="AK28" s="46">
        <v>-0.75</v>
      </c>
      <c r="AL28" s="46">
        <v>-0.25</v>
      </c>
      <c r="AN28" s="46" t="str">
        <f t="shared" si="27"/>
        <v>ECCBKR</v>
      </c>
      <c r="AO28" s="48" t="str">
        <f t="shared" ca="1" si="28"/>
        <v>ECCBKR Q321 INDEX</v>
      </c>
      <c r="AP28" s="46">
        <v>0.5</v>
      </c>
      <c r="AR28" s="48" t="str">
        <f t="shared" ca="1" si="0"/>
        <v>ECCBKR Q421 INDEX</v>
      </c>
      <c r="AS28" s="46">
        <v>0.45</v>
      </c>
      <c r="AU28" s="48" t="str">
        <f t="shared" ca="1" si="3"/>
        <v>ECCBKR Q122 INDEX</v>
      </c>
      <c r="AV28" s="46">
        <v>0.45</v>
      </c>
      <c r="AX28" s="48" t="str">
        <f t="shared" ca="1" si="4"/>
        <v>ECCBKR Q222 INDEX</v>
      </c>
      <c r="AY28" s="46">
        <v>0.45</v>
      </c>
      <c r="BA28" s="48" t="str">
        <f t="shared" ca="1" si="5"/>
        <v>ECCBKR Q322 INDEX</v>
      </c>
      <c r="BB28" s="46">
        <v>0.5</v>
      </c>
      <c r="BD28" t="s">
        <v>521</v>
      </c>
      <c r="BE28" s="48" t="s">
        <v>709</v>
      </c>
      <c r="BF28" s="46">
        <v>0.79</v>
      </c>
      <c r="BH28" s="32" t="s">
        <v>522</v>
      </c>
      <c r="BI28" s="46">
        <v>-0.3</v>
      </c>
      <c r="BJ28" s="46">
        <v>-1</v>
      </c>
      <c r="BK28" s="46">
        <v>-0.5</v>
      </c>
      <c r="BL28" s="46">
        <v>-1.4</v>
      </c>
      <c r="BM28" s="46">
        <v>-0.4</v>
      </c>
      <c r="BO28" s="46" t="str">
        <f t="shared" si="29"/>
        <v>ECPIKR</v>
      </c>
      <c r="BP28" s="48" t="str">
        <f t="shared" ca="1" si="30"/>
        <v>ECPIKR Q321 INDEX</v>
      </c>
      <c r="BQ28" s="46">
        <v>-0.1</v>
      </c>
      <c r="BS28" s="48" t="str">
        <f t="shared" ca="1" si="1"/>
        <v>ECPIKR Q421 INDEX</v>
      </c>
      <c r="BT28" s="46">
        <v>0.1</v>
      </c>
      <c r="BV28" s="48" t="str">
        <f t="shared" ca="1" si="6"/>
        <v>ECPIKR Q122 INDEX</v>
      </c>
      <c r="BW28" s="46">
        <v>0.15</v>
      </c>
      <c r="BY28" s="48" t="str">
        <f t="shared" ca="1" si="7"/>
        <v>ECPIKR Q222 INDEX</v>
      </c>
      <c r="BZ28" s="46">
        <v>0.4</v>
      </c>
      <c r="CB28" s="48" t="str">
        <f t="shared" ca="1" si="8"/>
        <v>ECPIKR Q322 INDEX</v>
      </c>
      <c r="CC28" s="46">
        <v>1.3</v>
      </c>
      <c r="CE28" s="48" t="str">
        <f t="shared" ca="1" si="9"/>
        <v>ECPIKR 21 INDEX</v>
      </c>
      <c r="CF28" s="46">
        <v>0.5</v>
      </c>
      <c r="CH28" s="48" t="str">
        <f t="shared" ca="1" si="10"/>
        <v>ECPIKR 22 INDEX</v>
      </c>
      <c r="CI28" s="46">
        <v>1.1499999999999999</v>
      </c>
      <c r="CK28" s="48" t="str">
        <f t="shared" ca="1" si="11"/>
        <v>ECPIKR 23 INDEX</v>
      </c>
      <c r="CL28" s="46">
        <v>1.7</v>
      </c>
      <c r="CN28" s="32" t="s">
        <v>519</v>
      </c>
      <c r="CO28" s="46">
        <v>1.4</v>
      </c>
      <c r="CP28" s="46">
        <v>2.2999999999999998</v>
      </c>
      <c r="CQ28" s="46">
        <v>2</v>
      </c>
      <c r="CR28" s="46">
        <v>2.1</v>
      </c>
      <c r="CS28" s="46">
        <v>1.8</v>
      </c>
      <c r="CU28" s="46" t="str">
        <f t="shared" si="31"/>
        <v>ECGDKR</v>
      </c>
      <c r="CV28" s="48" t="str">
        <f t="shared" ca="1" si="12"/>
        <v>ECGDKR Q321 INDEX</v>
      </c>
      <c r="CW28" s="46">
        <v>-1.8</v>
      </c>
      <c r="CY28" s="48" t="str">
        <f t="shared" ca="1" si="13"/>
        <v>ECGDKR Q421 INDEX</v>
      </c>
      <c r="CZ28" s="46">
        <v>-0.95</v>
      </c>
      <c r="DB28" s="48" t="str">
        <f t="shared" ca="1" si="14"/>
        <v>ECGDKR Q122 INDEX</v>
      </c>
      <c r="DC28" s="46">
        <v>-0.85</v>
      </c>
      <c r="DE28" s="48" t="str">
        <f t="shared" ca="1" si="15"/>
        <v>ECGDKR Q222 INDEX</v>
      </c>
      <c r="DF28" s="46">
        <v>1.3</v>
      </c>
      <c r="DH28" s="48" t="str">
        <f t="shared" ca="1" si="16"/>
        <v>ECGDKR Q322 INDEX</v>
      </c>
      <c r="DI28" s="46">
        <v>4.2</v>
      </c>
      <c r="DK28" s="48" t="str">
        <f t="shared" ca="1" si="17"/>
        <v>ECGDKR 21 INDEX</v>
      </c>
      <c r="DL28" s="46">
        <v>-0.5</v>
      </c>
      <c r="DN28" s="48" t="str">
        <f t="shared" ca="1" si="18"/>
        <v>ECGDKR 22 INDEX</v>
      </c>
      <c r="DO28" s="46">
        <v>3</v>
      </c>
      <c r="DQ28" s="48" t="str">
        <f t="shared" ca="1" si="19"/>
        <v>ECGDKR 23 INDEX</v>
      </c>
      <c r="DR28" s="46">
        <v>2.7</v>
      </c>
      <c r="DT28" t="s">
        <v>134</v>
      </c>
      <c r="DU28" s="46">
        <v>41.3</v>
      </c>
      <c r="DV28" s="46">
        <v>41.6</v>
      </c>
      <c r="DW28" s="46">
        <v>48.7</v>
      </c>
      <c r="DX28" s="46">
        <v>49.4</v>
      </c>
      <c r="DY28" s="46">
        <v>48.4</v>
      </c>
      <c r="EA28" t="s">
        <v>651</v>
      </c>
      <c r="EB28"/>
      <c r="EC28"/>
      <c r="ED28"/>
      <c r="EE28"/>
      <c r="EG28"/>
      <c r="EH28" s="13" t="s">
        <v>912</v>
      </c>
      <c r="EI28" s="11">
        <v>4.5</v>
      </c>
      <c r="EJ28" s="11">
        <v>0.7</v>
      </c>
      <c r="EK28" s="11">
        <v>1.2</v>
      </c>
      <c r="EL28" s="11">
        <v>0.9</v>
      </c>
      <c r="EM28" s="11">
        <v>0.5</v>
      </c>
      <c r="EN28" s="11"/>
      <c r="EO28" s="13" t="str">
        <f t="shared" si="32"/>
        <v>OEKRKLAC Index</v>
      </c>
      <c r="EP28" s="13" t="s">
        <v>1147</v>
      </c>
      <c r="EQ28" s="11">
        <v>99.985299999999995</v>
      </c>
      <c r="ER28" s="11">
        <v>0.29370000000000002</v>
      </c>
      <c r="ES28" s="11">
        <v>0.49769999999999998</v>
      </c>
      <c r="ET28" s="11">
        <v>0.76180000000000003</v>
      </c>
      <c r="EU28" s="11">
        <v>0.70809999999999995</v>
      </c>
      <c r="EV28"/>
      <c r="EW28" s="13" t="s">
        <v>1052</v>
      </c>
      <c r="EX28" s="13" t="s">
        <v>1076</v>
      </c>
      <c r="EY28" s="11">
        <v>3.5327600000000001</v>
      </c>
      <c r="EZ28"/>
      <c r="FA28" t="s">
        <v>959</v>
      </c>
      <c r="FB28" s="11">
        <v>-4.5</v>
      </c>
      <c r="FC28" s="11">
        <v>7.4</v>
      </c>
      <c r="FD28" s="11">
        <v>-2.8</v>
      </c>
      <c r="FE28" s="11">
        <v>-0.8</v>
      </c>
      <c r="FF28" s="11">
        <v>0.4</v>
      </c>
      <c r="FG28"/>
      <c r="FH28" s="33" t="s">
        <v>523</v>
      </c>
      <c r="FI28" s="46">
        <v>1619.424</v>
      </c>
      <c r="FK28" t="s">
        <v>524</v>
      </c>
      <c r="FL28" t="s">
        <v>1010</v>
      </c>
      <c r="FM28" s="11">
        <v>0.75</v>
      </c>
      <c r="FN28"/>
      <c r="FO28" s="46" t="str">
        <f t="shared" si="20"/>
        <v>EHCAKR</v>
      </c>
      <c r="FP28" t="str">
        <f t="shared" si="21"/>
        <v>EHCAKR Index</v>
      </c>
      <c r="FQ28" s="11">
        <v>3.79</v>
      </c>
      <c r="FR28" s="11">
        <v>3.67</v>
      </c>
      <c r="FS28" s="11">
        <v>3.83</v>
      </c>
      <c r="FT28" s="11">
        <v>4.33</v>
      </c>
      <c r="FU28" s="11">
        <v>4.6500000000000004</v>
      </c>
      <c r="FV28"/>
      <c r="FW28" t="s">
        <v>525</v>
      </c>
      <c r="FX28" t="s">
        <v>1023</v>
      </c>
      <c r="FY28">
        <v>26.79</v>
      </c>
      <c r="FZ28"/>
      <c r="GA28" t="str">
        <f t="shared" si="22"/>
        <v>TAYLKRB Index</v>
      </c>
      <c r="GB28" t="s">
        <v>1092</v>
      </c>
      <c r="GC28">
        <v>0.48</v>
      </c>
      <c r="GE28" s="43" t="str">
        <f t="shared" si="33"/>
        <v>CESIKRW Index</v>
      </c>
      <c r="GJ28" s="43" t="str">
        <f t="shared" si="23"/>
        <v>CSIIKRW Index</v>
      </c>
      <c r="GO28" s="44" t="s">
        <v>1203</v>
      </c>
      <c r="GP28" s="44" t="s">
        <v>1195</v>
      </c>
      <c r="GQ28" s="44">
        <v>407310</v>
      </c>
    </row>
    <row r="29" spans="1:199" x14ac:dyDescent="0.35">
      <c r="A29" s="43" t="s">
        <v>61</v>
      </c>
      <c r="B29" s="44" t="s">
        <v>62</v>
      </c>
      <c r="H29" s="50" t="s">
        <v>761</v>
      </c>
      <c r="I29" s="44">
        <v>0.28620000000000001</v>
      </c>
      <c r="K29" s="50" t="s">
        <v>797</v>
      </c>
      <c r="N29" s="50" t="s">
        <v>835</v>
      </c>
      <c r="O29" s="44">
        <v>0.48720000000000002</v>
      </c>
      <c r="Q29" s="50" t="s">
        <v>651</v>
      </c>
      <c r="U29" s="44" t="s">
        <v>182</v>
      </c>
      <c r="V29" s="50" t="str">
        <f t="shared" si="2"/>
        <v>TWD Curncy</v>
      </c>
      <c r="W29" s="46">
        <v>29.707999999999998</v>
      </c>
      <c r="Y29" s="50" t="str">
        <f t="shared" si="24"/>
        <v>TWDUSD Curncy</v>
      </c>
      <c r="Z29" s="46">
        <v>3.3711999999999999E-2</v>
      </c>
      <c r="AB29" s="46" t="str">
        <f t="shared" si="25"/>
        <v>FCUSTW</v>
      </c>
      <c r="AC29" s="48" t="str">
        <f t="shared" si="26"/>
        <v>FCUSTW Q418 INDEX</v>
      </c>
      <c r="AD29" s="48" t="s">
        <v>677</v>
      </c>
      <c r="AE29" s="46">
        <v>31</v>
      </c>
      <c r="AG29" s="43" t="s">
        <v>527</v>
      </c>
      <c r="AH29" s="46">
        <v>1.125</v>
      </c>
      <c r="AI29" s="46">
        <v>-0.25</v>
      </c>
      <c r="AJ29" s="46">
        <v>-0.25</v>
      </c>
      <c r="AK29" s="46">
        <v>-0.25</v>
      </c>
      <c r="AL29" s="46">
        <v>0</v>
      </c>
      <c r="AN29" s="46" t="str">
        <f t="shared" si="27"/>
        <v>ECCBTW</v>
      </c>
      <c r="AO29" s="48" t="str">
        <f t="shared" ca="1" si="28"/>
        <v>ECCBTW Q321 INDEX</v>
      </c>
      <c r="AP29" s="46">
        <v>1.1499999999999999</v>
      </c>
      <c r="AR29" s="48" t="str">
        <f t="shared" ca="1" si="0"/>
        <v>ECCBTW Q421 INDEX</v>
      </c>
      <c r="AS29" s="46">
        <v>1.1499999999999999</v>
      </c>
      <c r="AU29" s="48" t="str">
        <f t="shared" ca="1" si="3"/>
        <v>ECCBTW Q122 INDEX</v>
      </c>
      <c r="AV29" s="46">
        <v>1.05</v>
      </c>
      <c r="AX29" s="48" t="str">
        <f t="shared" ca="1" si="4"/>
        <v>ECCBTW Q222 INDEX</v>
      </c>
      <c r="AY29" s="46">
        <v>1.2</v>
      </c>
      <c r="BA29" s="48" t="str">
        <f t="shared" ca="1" si="5"/>
        <v>ECCBTW Q322 INDEX</v>
      </c>
      <c r="BB29" s="46">
        <v>1.2</v>
      </c>
      <c r="BD29" t="s">
        <v>528</v>
      </c>
      <c r="BE29" s="48" t="s">
        <v>710</v>
      </c>
      <c r="BF29" s="46">
        <v>0.63100000000000001</v>
      </c>
      <c r="BH29" s="32" t="s">
        <v>529</v>
      </c>
      <c r="BI29" s="46">
        <v>-1.19</v>
      </c>
      <c r="BJ29" s="46">
        <v>-2.12</v>
      </c>
      <c r="BK29" s="46">
        <v>-1.77</v>
      </c>
      <c r="BL29" s="46">
        <v>-1</v>
      </c>
      <c r="BM29" s="46">
        <v>-0.23</v>
      </c>
      <c r="BO29" s="46" t="str">
        <f t="shared" si="29"/>
        <v>ECPITW</v>
      </c>
      <c r="BP29" s="48" t="str">
        <f t="shared" ca="1" si="30"/>
        <v>ECPITW Q321 INDEX</v>
      </c>
      <c r="BQ29" s="46">
        <v>0.2</v>
      </c>
      <c r="BS29" s="48" t="str">
        <f t="shared" ca="1" si="1"/>
        <v>ECPITW Q421 INDEX</v>
      </c>
      <c r="BT29" s="46">
        <v>0.4</v>
      </c>
      <c r="BV29" s="48" t="str">
        <f t="shared" ca="1" si="6"/>
        <v>ECPITW Q122 INDEX</v>
      </c>
      <c r="BW29" s="46">
        <v>0.75</v>
      </c>
      <c r="BY29" s="48" t="str">
        <f t="shared" ca="1" si="7"/>
        <v>ECPITW Q222 INDEX</v>
      </c>
      <c r="BZ29" s="46">
        <v>0.86</v>
      </c>
      <c r="CB29" s="48" t="str">
        <f t="shared" ca="1" si="8"/>
        <v>ECPITW Q322 INDEX</v>
      </c>
      <c r="CC29" s="46">
        <v>1.05</v>
      </c>
      <c r="CE29" s="48" t="str">
        <f t="shared" ca="1" si="9"/>
        <v>ECPITW 21 INDEX</v>
      </c>
      <c r="CF29" s="46">
        <v>0.3</v>
      </c>
      <c r="CH29" s="48" t="str">
        <f t="shared" ca="1" si="10"/>
        <v>ECPITW 22 INDEX</v>
      </c>
      <c r="CI29" s="46">
        <v>1.1000000000000001</v>
      </c>
      <c r="CK29" s="48" t="str">
        <f t="shared" ca="1" si="11"/>
        <v>ECPITW 23 INDEX</v>
      </c>
      <c r="CL29" s="46">
        <v>1.2</v>
      </c>
      <c r="CN29" s="32" t="s">
        <v>526</v>
      </c>
      <c r="CO29" s="46">
        <v>1.5899999999999999</v>
      </c>
      <c r="CP29" s="46">
        <v>3.29</v>
      </c>
      <c r="CQ29" s="46">
        <v>3.03</v>
      </c>
      <c r="CR29" s="46">
        <v>2.6</v>
      </c>
      <c r="CS29" s="46">
        <v>1.8399999999999999</v>
      </c>
      <c r="CU29" s="46" t="str">
        <f t="shared" si="31"/>
        <v>ECGDTW</v>
      </c>
      <c r="CV29" s="48" t="str">
        <f t="shared" ca="1" si="12"/>
        <v>ECGDTW Q321 INDEX</v>
      </c>
      <c r="CW29" s="46">
        <v>0.56999999999999995</v>
      </c>
      <c r="CY29" s="48" t="str">
        <f t="shared" ca="1" si="13"/>
        <v>ECGDTW Q421 INDEX</v>
      </c>
      <c r="CZ29" s="46">
        <v>1.76</v>
      </c>
      <c r="DB29" s="48" t="str">
        <f t="shared" ca="1" si="14"/>
        <v>ECGDTW Q122 INDEX</v>
      </c>
      <c r="DC29" s="46">
        <v>1.75</v>
      </c>
      <c r="DE29" s="48" t="str">
        <f t="shared" ca="1" si="15"/>
        <v>ECGDTW Q222 INDEX</v>
      </c>
      <c r="DF29" s="46">
        <v>2.7</v>
      </c>
      <c r="DH29" s="48" t="str">
        <f t="shared" ca="1" si="16"/>
        <v>ECGDTW Q322 INDEX</v>
      </c>
      <c r="DI29" s="46">
        <v>3.29</v>
      </c>
      <c r="DK29" s="48" t="str">
        <f t="shared" ca="1" si="17"/>
        <v>ECGDTW 21 INDEX</v>
      </c>
      <c r="DL29" s="46">
        <v>0.5</v>
      </c>
      <c r="DN29" s="48" t="str">
        <f t="shared" ca="1" si="18"/>
        <v>ECGDTW 22 INDEX</v>
      </c>
      <c r="DO29" s="46">
        <v>3</v>
      </c>
      <c r="DQ29" s="48" t="str">
        <f t="shared" ca="1" si="19"/>
        <v>ECGDTW 23 INDEX</v>
      </c>
      <c r="DR29" s="46">
        <v>2.7</v>
      </c>
      <c r="DT29" t="s">
        <v>135</v>
      </c>
      <c r="DU29" s="46">
        <v>41.9</v>
      </c>
      <c r="DV29" s="46">
        <v>42.2</v>
      </c>
      <c r="DW29" s="46">
        <v>49.9</v>
      </c>
      <c r="DX29" s="46">
        <v>49.8</v>
      </c>
      <c r="DY29" s="46">
        <v>48.4</v>
      </c>
      <c r="EA29" t="s">
        <v>651</v>
      </c>
      <c r="EB29"/>
      <c r="EC29"/>
      <c r="ED29"/>
      <c r="EE29"/>
      <c r="EG29"/>
      <c r="EH29" s="13" t="s">
        <v>916</v>
      </c>
      <c r="EI29" s="11">
        <v>4.0999999999999996</v>
      </c>
      <c r="EJ29" s="11">
        <v>0.34</v>
      </c>
      <c r="EK29" s="11">
        <v>0.39</v>
      </c>
      <c r="EL29" s="11">
        <v>0.37</v>
      </c>
      <c r="EM29" s="11">
        <v>0.36</v>
      </c>
      <c r="EN29" s="11"/>
      <c r="EO29" s="13" t="s">
        <v>651</v>
      </c>
      <c r="EP29" s="13"/>
      <c r="EQ29" s="11"/>
      <c r="ER29" s="11"/>
      <c r="ES29" s="11"/>
      <c r="ET29" s="11"/>
      <c r="EU29" s="11"/>
      <c r="EV29"/>
      <c r="EW29" s="13" t="s">
        <v>651</v>
      </c>
      <c r="EX29" s="13"/>
      <c r="EY29" s="11"/>
      <c r="EZ29"/>
      <c r="FA29" t="s">
        <v>963</v>
      </c>
      <c r="FB29" s="11">
        <v>3.51</v>
      </c>
      <c r="FC29" s="11">
        <v>11.93</v>
      </c>
      <c r="FD29" s="11">
        <v>-2.11</v>
      </c>
      <c r="FE29" s="11">
        <v>-2.57</v>
      </c>
      <c r="FF29" s="11">
        <v>0.9</v>
      </c>
      <c r="FG29"/>
      <c r="FH29" s="33" t="s">
        <v>530</v>
      </c>
      <c r="FI29" s="46">
        <v>355.46499999999997</v>
      </c>
      <c r="FK29" t="s">
        <v>531</v>
      </c>
      <c r="FL29" t="s">
        <v>1011</v>
      </c>
      <c r="FM29" s="11">
        <v>-2.2200000000000002</v>
      </c>
      <c r="FN29"/>
      <c r="FO29" s="46" t="str">
        <f t="shared" si="20"/>
        <v>EHCATW</v>
      </c>
      <c r="FP29" t="str">
        <f t="shared" si="21"/>
        <v>EHCATW Index</v>
      </c>
      <c r="FQ29" s="11">
        <v>10.65</v>
      </c>
      <c r="FR29" s="11">
        <v>10.58</v>
      </c>
      <c r="FS29" s="11">
        <v>11.3</v>
      </c>
      <c r="FT29" s="11">
        <v>10.93</v>
      </c>
      <c r="FU29" s="11">
        <v>10.98</v>
      </c>
      <c r="FV29"/>
      <c r="FW29" t="s">
        <v>532</v>
      </c>
      <c r="FX29" t="s">
        <v>1024</v>
      </c>
      <c r="FY29">
        <v>35.200000000000003</v>
      </c>
      <c r="FZ29"/>
      <c r="GA29" t="str">
        <f t="shared" si="22"/>
        <v>TAYLTWB Index</v>
      </c>
      <c r="GB29"/>
      <c r="GC29"/>
      <c r="GE29" s="43" t="str">
        <f t="shared" si="33"/>
        <v>CESITWD Index</v>
      </c>
      <c r="GJ29" s="43" t="str">
        <f t="shared" si="23"/>
        <v>CSIITWD Index</v>
      </c>
      <c r="GO29" s="43" t="s">
        <v>1202</v>
      </c>
      <c r="GP29" s="44" t="s">
        <v>1195</v>
      </c>
      <c r="GQ29" s="44">
        <v>484515</v>
      </c>
    </row>
    <row r="30" spans="1:199" x14ac:dyDescent="0.35">
      <c r="A30" s="51" t="s">
        <v>63</v>
      </c>
      <c r="B30" s="44" t="s">
        <v>14</v>
      </c>
      <c r="H30" s="50" t="s">
        <v>755</v>
      </c>
      <c r="I30" s="44">
        <v>4.4210000000000003</v>
      </c>
      <c r="K30" s="50" t="s">
        <v>798</v>
      </c>
      <c r="L30" s="44">
        <v>5.4210000000000003</v>
      </c>
      <c r="N30" s="50" t="s">
        <v>836</v>
      </c>
      <c r="O30" s="44">
        <v>5.7969999999999997</v>
      </c>
      <c r="Q30" s="50" t="s">
        <v>651</v>
      </c>
      <c r="U30" s="44" t="s">
        <v>181</v>
      </c>
      <c r="V30" s="50" t="str">
        <f t="shared" si="2"/>
        <v>INR Curncy</v>
      </c>
      <c r="W30" s="46">
        <v>75.844999999999999</v>
      </c>
      <c r="Y30" s="50" t="str">
        <f t="shared" si="24"/>
        <v>INRUSD Curncy</v>
      </c>
      <c r="Z30" s="46">
        <v>1.3183E-2</v>
      </c>
      <c r="AB30" s="46" t="str">
        <f t="shared" si="25"/>
        <v>FCUSIN</v>
      </c>
      <c r="AC30" s="48" t="str">
        <f t="shared" si="26"/>
        <v>FCUSIN Q418 INDEX</v>
      </c>
      <c r="AD30" s="48" t="s">
        <v>678</v>
      </c>
      <c r="AE30" s="46">
        <v>73.75</v>
      </c>
      <c r="AG30" s="43" t="s">
        <v>534</v>
      </c>
      <c r="AH30" s="46">
        <v>4</v>
      </c>
      <c r="AI30" s="46">
        <v>-1.75</v>
      </c>
      <c r="AJ30" s="46">
        <v>-1.1499999999999999</v>
      </c>
      <c r="AK30" s="46">
        <v>-1.1499999999999999</v>
      </c>
      <c r="AL30" s="46">
        <v>-0.4</v>
      </c>
      <c r="AN30" s="46" t="str">
        <f t="shared" si="27"/>
        <v>ECCBIN</v>
      </c>
      <c r="AO30" s="48" t="str">
        <f t="shared" ca="1" si="28"/>
        <v>ECCBIN Q321 INDEX</v>
      </c>
      <c r="AP30" s="46">
        <v>3.95</v>
      </c>
      <c r="AR30" s="48" t="str">
        <f t="shared" ca="1" si="0"/>
        <v>ECCBIN Q421 INDEX</v>
      </c>
      <c r="AS30" s="46">
        <v>3.6</v>
      </c>
      <c r="AU30" s="48" t="str">
        <f t="shared" ca="1" si="3"/>
        <v>ECCBIN Q122 INDEX</v>
      </c>
      <c r="AV30" s="46">
        <v>3.6</v>
      </c>
      <c r="AX30" s="48" t="str">
        <f t="shared" ca="1" si="4"/>
        <v>ECCBIN Q222 INDEX</v>
      </c>
      <c r="AY30" s="46">
        <v>3.55</v>
      </c>
      <c r="BA30" s="48" t="str">
        <f t="shared" ca="1" si="5"/>
        <v>ECCBIN Q322 INDEX</v>
      </c>
      <c r="BB30" s="46">
        <v>3.6</v>
      </c>
      <c r="BD30" t="s">
        <v>535</v>
      </c>
      <c r="BE30" s="48" t="s">
        <v>1214</v>
      </c>
      <c r="BF30" s="46">
        <v>3.84</v>
      </c>
      <c r="BH30" s="13" t="s">
        <v>536</v>
      </c>
      <c r="BI30" s="46">
        <v>5.45</v>
      </c>
      <c r="BJ30" s="46">
        <v>-2.88</v>
      </c>
      <c r="BK30" s="46">
        <v>-2.17</v>
      </c>
      <c r="BL30" s="46">
        <v>-2.04</v>
      </c>
      <c r="BM30" s="46">
        <v>-0.05</v>
      </c>
      <c r="BO30" s="46" t="str">
        <f t="shared" si="29"/>
        <v>ECPIIN</v>
      </c>
      <c r="BP30" s="48" t="str">
        <f t="shared" ca="1" si="30"/>
        <v>ECPIIN Q321 INDEX</v>
      </c>
      <c r="BQ30" s="46">
        <v>5.3</v>
      </c>
      <c r="BS30" s="48" t="str">
        <f t="shared" ca="1" si="1"/>
        <v>ECPIIN Q421 INDEX</v>
      </c>
      <c r="BT30" s="46">
        <v>4.5</v>
      </c>
      <c r="BV30" s="48" t="str">
        <f t="shared" ca="1" si="6"/>
        <v>ECPIIN Q122 INDEX</v>
      </c>
      <c r="BW30" s="46">
        <v>3.04</v>
      </c>
      <c r="BY30" s="48" t="str">
        <f t="shared" ca="1" si="7"/>
        <v>ECPIIN Q222 INDEX</v>
      </c>
      <c r="BZ30" s="46">
        <v>3.05</v>
      </c>
      <c r="CB30" s="48" t="str">
        <f t="shared" ca="1" si="8"/>
        <v>ECPIIN Q322 INDEX</v>
      </c>
      <c r="CC30" s="46">
        <v>3.41</v>
      </c>
      <c r="CE30" s="48" t="str">
        <f t="shared" ca="1" si="9"/>
        <v>ECPIIN 21 INDEX</v>
      </c>
      <c r="CF30" s="46">
        <v>4.8</v>
      </c>
      <c r="CH30" s="48" t="str">
        <f t="shared" ca="1" si="10"/>
        <v>ECPIIN 22 INDEX</v>
      </c>
      <c r="CI30" s="46">
        <v>3.85</v>
      </c>
      <c r="CK30" s="48" t="str">
        <f t="shared" ca="1" si="11"/>
        <v>ECPIIN 23 INDEX</v>
      </c>
      <c r="CL30" s="46">
        <v>4</v>
      </c>
      <c r="CN30" s="32" t="s">
        <v>533</v>
      </c>
      <c r="CO30" s="46">
        <v>5.3</v>
      </c>
      <c r="CP30" s="46">
        <v>5.7</v>
      </c>
      <c r="CQ30" s="46">
        <v>4.5999999999999996</v>
      </c>
      <c r="CR30" s="46">
        <v>4.5999999999999996</v>
      </c>
      <c r="CS30" s="46">
        <v>5.2</v>
      </c>
      <c r="CU30" s="46" t="str">
        <f t="shared" si="31"/>
        <v>ECGDIN</v>
      </c>
      <c r="CV30" s="48" t="str">
        <f t="shared" ca="1" si="12"/>
        <v>ECGDIN Q321 INDEX</v>
      </c>
      <c r="CW30" s="46">
        <v>-12.4</v>
      </c>
      <c r="CY30" s="48" t="str">
        <f t="shared" ca="1" si="13"/>
        <v>ECGDIN Q421 INDEX</v>
      </c>
      <c r="CZ30" s="46">
        <v>-1.6</v>
      </c>
      <c r="DB30" s="48" t="str">
        <f t="shared" ca="1" si="14"/>
        <v>ECGDIN Q122 INDEX</v>
      </c>
      <c r="DC30" s="46">
        <v>2.0499999999999998</v>
      </c>
      <c r="DE30" s="48" t="str">
        <f t="shared" ca="1" si="15"/>
        <v>ECGDIN Q222 INDEX</v>
      </c>
      <c r="DF30" s="46">
        <v>4.97</v>
      </c>
      <c r="DH30" s="48" t="str">
        <f t="shared" ca="1" si="16"/>
        <v>ECGDIN Q322 INDEX</v>
      </c>
      <c r="DI30" s="46">
        <v>9.98</v>
      </c>
      <c r="DK30" s="48" t="str">
        <f t="shared" ca="1" si="17"/>
        <v>ECGDIN 21 INDEX</v>
      </c>
      <c r="DL30" s="46">
        <v>4.3</v>
      </c>
      <c r="DN30" s="48" t="str">
        <f t="shared" ca="1" si="18"/>
        <v>ECGDIN 22 INDEX</v>
      </c>
      <c r="DO30" s="46">
        <v>-2</v>
      </c>
      <c r="DQ30" s="48" t="str">
        <f t="shared" ca="1" si="19"/>
        <v>ECGDIN 23 INDEX</v>
      </c>
      <c r="DR30" s="46">
        <v>7.1</v>
      </c>
      <c r="DT30" t="s">
        <v>136</v>
      </c>
      <c r="DU30" s="46">
        <v>30.8</v>
      </c>
      <c r="DV30" s="46">
        <v>27.4</v>
      </c>
      <c r="DW30" s="46">
        <v>54.5</v>
      </c>
      <c r="DX30" s="46">
        <v>51.2</v>
      </c>
      <c r="DY30" s="46">
        <v>52.7</v>
      </c>
      <c r="EA30" t="s">
        <v>137</v>
      </c>
      <c r="EB30">
        <v>12.6</v>
      </c>
      <c r="EC30">
        <v>5.4</v>
      </c>
      <c r="ED30">
        <v>57.5</v>
      </c>
      <c r="EE30">
        <v>52.7</v>
      </c>
      <c r="EF30" s="46">
        <v>50.2</v>
      </c>
      <c r="EG30"/>
      <c r="EH30" s="13" t="s">
        <v>896</v>
      </c>
      <c r="EI30" s="11">
        <v>8.5</v>
      </c>
      <c r="EJ30" s="11"/>
      <c r="EK30" s="11"/>
      <c r="EL30" s="11"/>
      <c r="EM30" s="11">
        <v>0.5</v>
      </c>
      <c r="EN30" s="11"/>
      <c r="EO30" s="13" t="str">
        <f t="shared" si="32"/>
        <v>OEINKLAC Index</v>
      </c>
      <c r="EP30" s="13" t="s">
        <v>1148</v>
      </c>
      <c r="EQ30" s="11">
        <v>92.595399999999998</v>
      </c>
      <c r="ER30" s="11">
        <v>-1.0019</v>
      </c>
      <c r="ES30" s="11">
        <v>-7.4657</v>
      </c>
      <c r="ET30" s="11">
        <v>-7.4698000000000002</v>
      </c>
      <c r="EU30" s="11">
        <v>-7.5484</v>
      </c>
      <c r="EV30"/>
      <c r="EW30" s="13" t="s">
        <v>651</v>
      </c>
      <c r="EX30" s="13"/>
      <c r="EY30" s="11"/>
      <c r="EZ30"/>
      <c r="FA30" t="s">
        <v>944</v>
      </c>
      <c r="FB30" s="11">
        <v>-16.7</v>
      </c>
      <c r="FC30" s="11">
        <v>4.5999999999999996</v>
      </c>
      <c r="FD30" s="11">
        <v>0.4</v>
      </c>
      <c r="FE30" s="11">
        <v>-4.5999999999999996</v>
      </c>
      <c r="FF30" s="11">
        <v>2.7</v>
      </c>
      <c r="FG30"/>
      <c r="FH30" s="33" t="s">
        <v>537</v>
      </c>
      <c r="FI30" s="46">
        <v>2718.732</v>
      </c>
      <c r="FK30" t="s">
        <v>538</v>
      </c>
      <c r="FL30" t="s">
        <v>1012</v>
      </c>
      <c r="FM30" s="11">
        <v>-3.61</v>
      </c>
      <c r="FN30"/>
      <c r="FO30" s="46" t="str">
        <f t="shared" si="20"/>
        <v>EHCAIN</v>
      </c>
      <c r="FP30" t="str">
        <f t="shared" si="21"/>
        <v>EHCAIN Index</v>
      </c>
      <c r="FQ30" s="11">
        <v>-0.93</v>
      </c>
      <c r="FR30" s="11">
        <v>-1.53</v>
      </c>
      <c r="FS30" s="11">
        <v>-2.0299999999999998</v>
      </c>
      <c r="FT30" s="11">
        <v>-2.12</v>
      </c>
      <c r="FU30" s="11">
        <v>-2.44</v>
      </c>
      <c r="FV30"/>
      <c r="FW30" t="s">
        <v>539</v>
      </c>
      <c r="FX30" t="s">
        <v>1024</v>
      </c>
      <c r="FY30">
        <v>70.2</v>
      </c>
      <c r="FZ30"/>
      <c r="GA30" t="str">
        <f t="shared" si="22"/>
        <v>TAYLINB Index</v>
      </c>
      <c r="GB30"/>
      <c r="GC30"/>
      <c r="GE30" s="43" t="str">
        <f t="shared" si="33"/>
        <v>CESIINR Index</v>
      </c>
      <c r="GJ30" s="43" t="str">
        <f t="shared" si="23"/>
        <v>CSIIINR Index</v>
      </c>
      <c r="GO30" s="43" t="s">
        <v>1197</v>
      </c>
      <c r="GP30" s="44" t="s">
        <v>1207</v>
      </c>
      <c r="GQ30" s="44">
        <v>493480</v>
      </c>
    </row>
    <row r="31" spans="1:199" x14ac:dyDescent="0.35">
      <c r="A31" s="43" t="s">
        <v>64</v>
      </c>
      <c r="B31" s="44" t="s">
        <v>65</v>
      </c>
      <c r="H31" s="50" t="s">
        <v>762</v>
      </c>
      <c r="I31" s="44">
        <v>2.2160000000000002</v>
      </c>
      <c r="K31" s="50" t="s">
        <v>799</v>
      </c>
      <c r="L31" s="44">
        <v>2.532</v>
      </c>
      <c r="N31" s="50" t="s">
        <v>837</v>
      </c>
      <c r="O31" s="44">
        <v>2.9140000000000001</v>
      </c>
      <c r="Q31" s="50" t="s">
        <v>651</v>
      </c>
      <c r="U31" s="44" t="s">
        <v>188</v>
      </c>
      <c r="V31" s="50" t="str">
        <f t="shared" si="2"/>
        <v>MYR Curncy</v>
      </c>
      <c r="W31" s="46">
        <v>4.2634999999999996</v>
      </c>
      <c r="Y31" s="50" t="str">
        <f t="shared" si="24"/>
        <v>MYRUSD Curncy</v>
      </c>
      <c r="Z31" s="46">
        <v>0.2344</v>
      </c>
      <c r="AB31" s="46" t="str">
        <f t="shared" si="25"/>
        <v>FCUSMY</v>
      </c>
      <c r="AC31" s="48" t="str">
        <f t="shared" si="26"/>
        <v>FCUSMY Q418 INDEX</v>
      </c>
      <c r="AD31" s="48" t="s">
        <v>679</v>
      </c>
      <c r="AE31" s="46">
        <v>4.1900000000000004</v>
      </c>
      <c r="AG31" s="43" t="s">
        <v>541</v>
      </c>
      <c r="AH31" s="46">
        <v>2</v>
      </c>
      <c r="AI31" s="46">
        <v>-1</v>
      </c>
      <c r="AJ31" s="46">
        <v>-1</v>
      </c>
      <c r="AK31" s="46">
        <v>-0.5</v>
      </c>
      <c r="AL31" s="46">
        <v>0</v>
      </c>
      <c r="AN31" s="46" t="str">
        <f t="shared" si="27"/>
        <v>ECCBMY</v>
      </c>
      <c r="AO31" s="48" t="str">
        <f t="shared" ca="1" si="28"/>
        <v>ECCBMY Q321 INDEX</v>
      </c>
      <c r="AP31" s="46">
        <v>2</v>
      </c>
      <c r="AR31" s="48" t="str">
        <f t="shared" ca="1" si="0"/>
        <v>ECCBMY Q421 INDEX</v>
      </c>
      <c r="AS31" s="46">
        <v>1.75</v>
      </c>
      <c r="AU31" s="48" t="str">
        <f t="shared" ca="1" si="3"/>
        <v>ECCBMY Q122 INDEX</v>
      </c>
      <c r="AV31" s="46">
        <v>1.75</v>
      </c>
      <c r="AX31" s="48" t="str">
        <f t="shared" ca="1" si="4"/>
        <v>ECCBMY Q222 INDEX</v>
      </c>
      <c r="AY31" s="46">
        <v>1.8</v>
      </c>
      <c r="BA31" s="48" t="str">
        <f t="shared" ca="1" si="5"/>
        <v>ECCBMY Q322 INDEX</v>
      </c>
      <c r="BB31" s="46">
        <v>1.8</v>
      </c>
      <c r="BD31" t="s">
        <v>542</v>
      </c>
      <c r="BE31" s="48" t="s">
        <v>711</v>
      </c>
      <c r="BF31" s="46">
        <v>2.2800000000000002</v>
      </c>
      <c r="BH31" s="32" t="s">
        <v>543</v>
      </c>
      <c r="BI31" s="46">
        <v>-2.9</v>
      </c>
      <c r="BJ31" s="46">
        <v>-3.1</v>
      </c>
      <c r="BK31" s="46">
        <v>-4</v>
      </c>
      <c r="BL31" s="46">
        <v>-4.5</v>
      </c>
      <c r="BM31" s="46">
        <v>-2.7</v>
      </c>
      <c r="BO31" s="46" t="str">
        <f t="shared" si="29"/>
        <v>ECPIMY</v>
      </c>
      <c r="BP31" s="48" t="str">
        <f t="shared" ca="1" si="30"/>
        <v>ECPIMY Q321 INDEX</v>
      </c>
      <c r="BQ31" s="46">
        <v>-1</v>
      </c>
      <c r="BS31" s="48" t="str">
        <f t="shared" ca="1" si="1"/>
        <v>ECPIMY Q421 INDEX</v>
      </c>
      <c r="BT31" s="46">
        <v>-1.1000000000000001</v>
      </c>
      <c r="BV31" s="48" t="str">
        <f t="shared" ca="1" si="6"/>
        <v>ECPIMY Q122 INDEX</v>
      </c>
      <c r="BW31" s="46">
        <v>-0.9</v>
      </c>
      <c r="BY31" s="48" t="str">
        <f t="shared" ca="1" si="7"/>
        <v>ECPIMY Q222 INDEX</v>
      </c>
      <c r="BZ31" s="46">
        <v>0.2</v>
      </c>
      <c r="CB31" s="48" t="str">
        <f t="shared" ca="1" si="8"/>
        <v>ECPIMY Q322 INDEX</v>
      </c>
      <c r="CC31" s="46">
        <v>1.7</v>
      </c>
      <c r="CE31" s="48" t="str">
        <f t="shared" ca="1" si="9"/>
        <v>ECPIMY 21 INDEX</v>
      </c>
      <c r="CF31" s="46">
        <v>-0.5</v>
      </c>
      <c r="CH31" s="48" t="str">
        <f t="shared" ca="1" si="10"/>
        <v>ECPIMY 22 INDEX</v>
      </c>
      <c r="CI31" s="46">
        <v>1.8</v>
      </c>
      <c r="CK31" s="48" t="str">
        <f t="shared" ca="1" si="11"/>
        <v>ECPIMY 23 INDEX</v>
      </c>
      <c r="CL31" s="46">
        <v>2.2000000000000002</v>
      </c>
      <c r="CN31" s="32" t="s">
        <v>540</v>
      </c>
      <c r="CO31" s="46">
        <v>0.7</v>
      </c>
      <c r="CP31" s="46">
        <v>3.6</v>
      </c>
      <c r="CQ31" s="46">
        <v>4.4000000000000004</v>
      </c>
      <c r="CR31" s="46">
        <v>4.8</v>
      </c>
      <c r="CS31" s="46">
        <v>4.5</v>
      </c>
      <c r="CU31" s="46" t="str">
        <f t="shared" si="31"/>
        <v>ECGDMY</v>
      </c>
      <c r="CV31" s="48" t="str">
        <f t="shared" ca="1" si="12"/>
        <v>ECGDMY Q321 INDEX</v>
      </c>
      <c r="CW31" s="46">
        <v>-8</v>
      </c>
      <c r="CY31" s="48" t="str">
        <f t="shared" ca="1" si="13"/>
        <v>ECGDMY Q421 INDEX</v>
      </c>
      <c r="CZ31" s="46">
        <v>-4.05</v>
      </c>
      <c r="DB31" s="48" t="str">
        <f t="shared" ca="1" si="14"/>
        <v>ECGDMY Q122 INDEX</v>
      </c>
      <c r="DC31" s="46">
        <v>-1.1000000000000001</v>
      </c>
      <c r="DE31" s="48" t="str">
        <f t="shared" ca="1" si="15"/>
        <v>ECGDMY Q222 INDEX</v>
      </c>
      <c r="DF31" s="46">
        <v>2.4500000000000002</v>
      </c>
      <c r="DH31" s="48" t="str">
        <f t="shared" ca="1" si="16"/>
        <v>ECGDMY Q322 INDEX</v>
      </c>
      <c r="DI31" s="46">
        <v>10.050000000000001</v>
      </c>
      <c r="DK31" s="48" t="str">
        <f t="shared" ca="1" si="17"/>
        <v>ECGDMY 21 INDEX</v>
      </c>
      <c r="DL31" s="46">
        <v>-2.7</v>
      </c>
      <c r="DN31" s="48" t="str">
        <f t="shared" ca="1" si="18"/>
        <v>ECGDMY 22 INDEX</v>
      </c>
      <c r="DO31" s="46">
        <v>5.15</v>
      </c>
      <c r="DQ31" s="48" t="str">
        <f t="shared" ca="1" si="19"/>
        <v>ECGDMY 23 INDEX</v>
      </c>
      <c r="DR31" s="46">
        <v>4.5999999999999996</v>
      </c>
      <c r="DT31" t="s">
        <v>651</v>
      </c>
      <c r="EA31" t="s">
        <v>651</v>
      </c>
      <c r="EB31"/>
      <c r="EC31"/>
      <c r="ED31"/>
      <c r="EE31"/>
      <c r="EG31"/>
      <c r="EH31" s="13" t="s">
        <v>901</v>
      </c>
      <c r="EI31" s="11">
        <v>3.9</v>
      </c>
      <c r="EJ31" s="11">
        <v>0.6</v>
      </c>
      <c r="EK31" s="11">
        <v>0.6</v>
      </c>
      <c r="EL31" s="11">
        <v>0.6</v>
      </c>
      <c r="EM31" s="11">
        <v>0.5</v>
      </c>
      <c r="EN31" s="11"/>
      <c r="EO31" s="13" t="s">
        <v>651</v>
      </c>
      <c r="EP31" s="13"/>
      <c r="EQ31" s="11"/>
      <c r="ER31" s="11"/>
      <c r="ES31" s="11"/>
      <c r="ET31" s="11"/>
      <c r="EU31" s="11"/>
      <c r="EV31"/>
      <c r="EW31" s="13" t="s">
        <v>651</v>
      </c>
      <c r="EX31" s="13"/>
      <c r="EY31" s="11"/>
      <c r="EZ31"/>
      <c r="FA31" t="s">
        <v>949</v>
      </c>
      <c r="FB31" s="11">
        <v>-32</v>
      </c>
      <c r="FC31" s="11">
        <v>-4.9000000000000004</v>
      </c>
      <c r="FD31" s="11">
        <v>0.6</v>
      </c>
      <c r="FE31" s="11">
        <v>0.1</v>
      </c>
      <c r="FF31" s="11">
        <v>3.2</v>
      </c>
      <c r="FG31"/>
      <c r="FH31" s="33" t="s">
        <v>544</v>
      </c>
      <c r="FI31" s="46">
        <v>358.58199999999999</v>
      </c>
      <c r="FK31" t="s">
        <v>545</v>
      </c>
      <c r="FL31" t="s">
        <v>1002</v>
      </c>
      <c r="FM31" s="11">
        <v>-4.3860000000000001</v>
      </c>
      <c r="FN31"/>
      <c r="FO31" s="46" t="str">
        <f t="shared" si="20"/>
        <v>EHCAMY</v>
      </c>
      <c r="FP31" t="str">
        <f t="shared" si="21"/>
        <v>EHCAMY Index</v>
      </c>
      <c r="FQ31" s="11">
        <v>2.83</v>
      </c>
      <c r="FR31" s="11">
        <v>3.3</v>
      </c>
      <c r="FS31" s="11">
        <v>3.55</v>
      </c>
      <c r="FT31" s="11">
        <v>3.06</v>
      </c>
      <c r="FU31" s="11">
        <v>2.39</v>
      </c>
      <c r="FV31"/>
      <c r="FW31" t="s">
        <v>546</v>
      </c>
      <c r="FX31" t="s">
        <v>1024</v>
      </c>
      <c r="FY31">
        <v>54.2</v>
      </c>
      <c r="FZ31"/>
      <c r="GA31" t="str">
        <f t="shared" si="22"/>
        <v>TAYLMYB Index</v>
      </c>
      <c r="GB31"/>
      <c r="GC31"/>
      <c r="GE31" s="43" t="str">
        <f t="shared" si="33"/>
        <v>CESIMYR Index</v>
      </c>
      <c r="GJ31" s="43" t="str">
        <f t="shared" si="23"/>
        <v>CSIIMYR Index</v>
      </c>
      <c r="GO31" s="43" t="s">
        <v>1198</v>
      </c>
      <c r="GP31" s="44" t="s">
        <v>1208</v>
      </c>
      <c r="GQ31" s="44">
        <v>96.5</v>
      </c>
    </row>
    <row r="32" spans="1:199" x14ac:dyDescent="0.35">
      <c r="A32" s="43" t="s">
        <v>66</v>
      </c>
      <c r="B32" s="44" t="s">
        <v>67</v>
      </c>
      <c r="H32" s="50" t="s">
        <v>763</v>
      </c>
      <c r="I32" s="44">
        <v>5.9649999999999999</v>
      </c>
      <c r="K32" s="50" t="s">
        <v>800</v>
      </c>
      <c r="L32" s="44">
        <v>6.835</v>
      </c>
      <c r="N32" s="50" t="s">
        <v>838</v>
      </c>
      <c r="O32" s="44">
        <v>7.2329999999999997</v>
      </c>
      <c r="Q32" s="50" t="s">
        <v>651</v>
      </c>
      <c r="U32" s="44" t="s">
        <v>183</v>
      </c>
      <c r="V32" s="50" t="str">
        <f t="shared" si="2"/>
        <v>IDR Curncy</v>
      </c>
      <c r="W32" s="46">
        <v>14133</v>
      </c>
      <c r="Y32" s="50" t="str">
        <f t="shared" si="24"/>
        <v>IDRUSD Curncy</v>
      </c>
      <c r="Z32" s="46">
        <v>7.041E-2</v>
      </c>
      <c r="AB32" s="46" t="str">
        <f t="shared" si="25"/>
        <v>FCUSID</v>
      </c>
      <c r="AC32" s="48" t="str">
        <f t="shared" si="26"/>
        <v>FCUSID Q418 INDEX</v>
      </c>
      <c r="AD32" s="48" t="s">
        <v>680</v>
      </c>
      <c r="AE32" s="46">
        <v>14900</v>
      </c>
      <c r="AG32" s="43" t="s">
        <v>1120</v>
      </c>
      <c r="AH32" s="46">
        <v>4.5</v>
      </c>
      <c r="AI32" s="46">
        <v>-1.5</v>
      </c>
      <c r="AJ32" s="46">
        <v>-0.5</v>
      </c>
      <c r="AK32" s="46">
        <v>-0.5</v>
      </c>
      <c r="AL32" s="46">
        <v>0</v>
      </c>
      <c r="AN32" s="46" t="str">
        <f t="shared" si="27"/>
        <v>ECCBID</v>
      </c>
      <c r="AO32" s="48" t="str">
        <f t="shared" ca="1" si="28"/>
        <v>ECCBID Q321 INDEX</v>
      </c>
      <c r="AP32" s="46">
        <v>4.2</v>
      </c>
      <c r="AR32" s="48" t="str">
        <f t="shared" ca="1" si="0"/>
        <v>ECCBID Q421 INDEX</v>
      </c>
      <c r="AS32" s="46">
        <v>4</v>
      </c>
      <c r="AU32" s="48" t="str">
        <f t="shared" ca="1" si="3"/>
        <v>ECCBID Q122 INDEX</v>
      </c>
      <c r="AV32" s="46">
        <v>4</v>
      </c>
      <c r="AX32" s="48" t="str">
        <f t="shared" ca="1" si="4"/>
        <v>ECCBID Q222 INDEX</v>
      </c>
      <c r="AY32" s="46">
        <v>3.95</v>
      </c>
      <c r="BA32" s="48" t="str">
        <f t="shared" ca="1" si="5"/>
        <v>ECCBID Q322 INDEX</v>
      </c>
      <c r="BB32" s="46">
        <v>4.05</v>
      </c>
      <c r="BD32" t="s">
        <v>548</v>
      </c>
      <c r="BE32" s="48" t="s">
        <v>712</v>
      </c>
      <c r="BF32" s="46">
        <v>4.8961500000000004</v>
      </c>
      <c r="BH32" s="32" t="s">
        <v>549</v>
      </c>
      <c r="BI32" s="46">
        <v>2.19</v>
      </c>
      <c r="BJ32" s="46">
        <v>-0.87</v>
      </c>
      <c r="BK32" s="46">
        <v>-0.51</v>
      </c>
      <c r="BL32" s="46">
        <v>-0.79</v>
      </c>
      <c r="BM32" s="46">
        <v>-0.48</v>
      </c>
      <c r="BO32" s="46" t="str">
        <f t="shared" si="29"/>
        <v>ECPIID</v>
      </c>
      <c r="BP32" s="48" t="str">
        <f t="shared" ca="1" si="30"/>
        <v>ECPIID Q321 INDEX</v>
      </c>
      <c r="BQ32" s="46">
        <v>2.57</v>
      </c>
      <c r="BS32" s="48" t="str">
        <f t="shared" ca="1" si="1"/>
        <v>ECPIID Q421 INDEX</v>
      </c>
      <c r="BT32" s="46">
        <v>2.4900000000000002</v>
      </c>
      <c r="BV32" s="48" t="str">
        <f t="shared" ca="1" si="6"/>
        <v>ECPIID Q122 INDEX</v>
      </c>
      <c r="BW32" s="46">
        <v>2.71</v>
      </c>
      <c r="BY32" s="48" t="str">
        <f t="shared" ca="1" si="7"/>
        <v>ECPIID Q222 INDEX</v>
      </c>
      <c r="BZ32" s="46">
        <v>2.82</v>
      </c>
      <c r="CB32" s="48" t="str">
        <f t="shared" ca="1" si="8"/>
        <v>ECPIID Q322 INDEX</v>
      </c>
      <c r="CC32" s="46">
        <v>3</v>
      </c>
      <c r="CE32" s="48" t="str">
        <f t="shared" ca="1" si="9"/>
        <v>ECPIID 21 INDEX</v>
      </c>
      <c r="CF32" s="46">
        <v>2.71</v>
      </c>
      <c r="CH32" s="48" t="str">
        <f t="shared" ca="1" si="10"/>
        <v>ECPIID 22 INDEX</v>
      </c>
      <c r="CI32" s="46">
        <v>2.98</v>
      </c>
      <c r="CK32" s="48" t="str">
        <f t="shared" ca="1" si="11"/>
        <v>ECPIID 23 INDEX</v>
      </c>
      <c r="CL32" s="46">
        <v>3.19</v>
      </c>
      <c r="CN32" s="32" t="s">
        <v>547</v>
      </c>
      <c r="CO32" s="46">
        <v>2.9699999999999998</v>
      </c>
      <c r="CP32" s="46">
        <v>4.97</v>
      </c>
      <c r="CQ32" s="46">
        <v>5.0199999999999996</v>
      </c>
      <c r="CR32" s="46">
        <v>5.05</v>
      </c>
      <c r="CS32" s="46">
        <v>5.07</v>
      </c>
      <c r="CU32" s="46" t="str">
        <f t="shared" si="31"/>
        <v>ECGDID</v>
      </c>
      <c r="CV32" s="48" t="str">
        <f t="shared" ca="1" si="12"/>
        <v>ECGDID Q321 INDEX</v>
      </c>
      <c r="CW32" s="46">
        <v>-3.1</v>
      </c>
      <c r="CY32" s="48" t="str">
        <f t="shared" ca="1" si="13"/>
        <v>ECGDID Q421 INDEX</v>
      </c>
      <c r="CZ32" s="46">
        <v>-0.95</v>
      </c>
      <c r="DB32" s="48" t="str">
        <f t="shared" ca="1" si="14"/>
        <v>ECGDID Q122 INDEX</v>
      </c>
      <c r="DC32" s="46">
        <v>1.4</v>
      </c>
      <c r="DE32" s="48" t="str">
        <f t="shared" ca="1" si="15"/>
        <v>ECGDID Q222 INDEX</v>
      </c>
      <c r="DF32" s="46">
        <v>3.8</v>
      </c>
      <c r="DH32" s="48" t="str">
        <f t="shared" ca="1" si="16"/>
        <v>ECGDID Q322 INDEX</v>
      </c>
      <c r="DI32" s="46">
        <v>6.79</v>
      </c>
      <c r="DK32" s="48" t="str">
        <f t="shared" ca="1" si="17"/>
        <v>ECGDID 21 INDEX</v>
      </c>
      <c r="DL32" s="46">
        <v>0.45</v>
      </c>
      <c r="DN32" s="48" t="str">
        <f t="shared" ca="1" si="18"/>
        <v>ECGDID 22 INDEX</v>
      </c>
      <c r="DO32" s="46">
        <v>5.5</v>
      </c>
      <c r="DQ32" s="48" t="str">
        <f t="shared" ca="1" si="19"/>
        <v>ECGDID 23 INDEX</v>
      </c>
      <c r="DR32" s="46">
        <v>5.2</v>
      </c>
      <c r="DT32" t="s">
        <v>139</v>
      </c>
      <c r="DU32" s="46">
        <v>28.6</v>
      </c>
      <c r="DV32" s="46">
        <v>27.5</v>
      </c>
      <c r="DW32" s="46">
        <v>51.9</v>
      </c>
      <c r="DX32" s="46">
        <v>48.2</v>
      </c>
      <c r="DY32" s="46">
        <v>51.6</v>
      </c>
      <c r="EA32" t="s">
        <v>651</v>
      </c>
      <c r="EB32"/>
      <c r="EC32"/>
      <c r="ED32"/>
      <c r="EE32"/>
      <c r="EG32"/>
      <c r="EH32" s="13" t="s">
        <v>897</v>
      </c>
      <c r="EI32" s="11">
        <v>4.99</v>
      </c>
      <c r="EJ32" s="11">
        <v>-0.28999999999999998</v>
      </c>
      <c r="EK32" s="11">
        <v>-0.28999999999999998</v>
      </c>
      <c r="EL32" s="11">
        <v>-0.28999999999999998</v>
      </c>
      <c r="EM32" s="11">
        <v>-0.02</v>
      </c>
      <c r="EN32" s="11"/>
      <c r="EO32" s="13" t="str">
        <f t="shared" si="32"/>
        <v>OEIDKLAC Index</v>
      </c>
      <c r="EP32" s="13" t="s">
        <v>1149</v>
      </c>
      <c r="EQ32" s="11">
        <v>94.300399999999996</v>
      </c>
      <c r="ER32" s="11">
        <v>-0.39910000000000001</v>
      </c>
      <c r="ES32" s="11">
        <v>-6.1101000000000001</v>
      </c>
      <c r="ET32" s="11">
        <v>-6.1380999999999997</v>
      </c>
      <c r="EU32" s="11">
        <v>-5.7675000000000001</v>
      </c>
      <c r="EV32"/>
      <c r="EW32" s="13" t="s">
        <v>651</v>
      </c>
      <c r="EX32" s="13"/>
      <c r="EY32" s="11"/>
      <c r="EZ32"/>
      <c r="FA32" t="s">
        <v>945</v>
      </c>
      <c r="FB32" s="11">
        <v>1.96</v>
      </c>
      <c r="FC32" s="11">
        <v>0.55000000000000004</v>
      </c>
      <c r="FD32" s="11">
        <v>3.22</v>
      </c>
      <c r="FE32" s="11">
        <v>3.9699999999999998</v>
      </c>
      <c r="FF32" s="11">
        <v>0.56000000000000005</v>
      </c>
      <c r="FG32"/>
      <c r="FH32" s="33" t="s">
        <v>550</v>
      </c>
      <c r="FI32" s="46">
        <v>1042.173</v>
      </c>
      <c r="FK32" t="s">
        <v>551</v>
      </c>
      <c r="FL32" t="s">
        <v>1002</v>
      </c>
      <c r="FM32" s="11">
        <v>-1.76</v>
      </c>
      <c r="FN32"/>
      <c r="FO32" s="46" t="str">
        <f t="shared" si="20"/>
        <v>EHCAID</v>
      </c>
      <c r="FP32" t="str">
        <f t="shared" si="21"/>
        <v>EHCAID Index</v>
      </c>
      <c r="FQ32" s="11">
        <v>-2.4699999999999998</v>
      </c>
      <c r="FR32" s="11">
        <v>-2.7</v>
      </c>
      <c r="FS32" s="11">
        <v>-2.88</v>
      </c>
      <c r="FT32" s="11">
        <v>-3.03</v>
      </c>
      <c r="FU32" s="11">
        <v>-3.02</v>
      </c>
      <c r="FV32"/>
      <c r="FW32" t="s">
        <v>552</v>
      </c>
      <c r="FX32" t="s">
        <v>1024</v>
      </c>
      <c r="FY32">
        <v>28.9</v>
      </c>
      <c r="FZ32"/>
      <c r="GA32" t="str">
        <f t="shared" si="22"/>
        <v>TAYLIDB Index</v>
      </c>
      <c r="GB32"/>
      <c r="GC32"/>
      <c r="GE32" s="43" t="str">
        <f t="shared" si="33"/>
        <v>CESIIDR Index</v>
      </c>
      <c r="GJ32" s="43" t="str">
        <f t="shared" si="23"/>
        <v>CSIIIDR Index</v>
      </c>
      <c r="GO32" s="43" t="s">
        <v>1199</v>
      </c>
      <c r="GP32" s="44" t="s">
        <v>1185</v>
      </c>
      <c r="GQ32" s="44">
        <v>130.5</v>
      </c>
    </row>
    <row r="33" spans="1:199" x14ac:dyDescent="0.35">
      <c r="A33" s="43" t="s">
        <v>68</v>
      </c>
      <c r="B33" s="44" t="s">
        <v>69</v>
      </c>
      <c r="H33" s="50" t="s">
        <v>764</v>
      </c>
      <c r="I33" s="44">
        <v>0.52600000000000002</v>
      </c>
      <c r="K33" s="50" t="s">
        <v>801</v>
      </c>
      <c r="L33" s="44">
        <v>0.78600000000000003</v>
      </c>
      <c r="N33" s="50" t="s">
        <v>839</v>
      </c>
      <c r="O33" s="44">
        <v>1.1839999999999999</v>
      </c>
      <c r="Q33" s="50" t="s">
        <v>651</v>
      </c>
      <c r="U33" s="44" t="s">
        <v>184</v>
      </c>
      <c r="V33" s="50" t="str">
        <f t="shared" si="2"/>
        <v>THB Curncy</v>
      </c>
      <c r="W33" s="46">
        <v>30.98</v>
      </c>
      <c r="Y33" s="50" t="str">
        <f t="shared" si="24"/>
        <v>THBUSD Curncy</v>
      </c>
      <c r="Z33" s="46">
        <v>3.2302999999999998E-2</v>
      </c>
      <c r="AB33" s="46" t="str">
        <f t="shared" si="25"/>
        <v>FCUSTH</v>
      </c>
      <c r="AC33" s="48" t="str">
        <f t="shared" si="26"/>
        <v>FCUSTH Q418 INDEX</v>
      </c>
      <c r="AD33" s="48" t="s">
        <v>681</v>
      </c>
      <c r="AE33" s="46">
        <v>33</v>
      </c>
      <c r="AG33" s="43" t="s">
        <v>554</v>
      </c>
      <c r="AH33" s="46">
        <v>0.5</v>
      </c>
      <c r="AI33" s="46">
        <v>-1.25</v>
      </c>
      <c r="AJ33" s="46">
        <v>-0.75</v>
      </c>
      <c r="AK33" s="46">
        <v>-0.5</v>
      </c>
      <c r="AL33" s="46">
        <v>-0.25</v>
      </c>
      <c r="AN33" s="46" t="str">
        <f t="shared" si="27"/>
        <v>ECCBTH</v>
      </c>
      <c r="AO33" s="48" t="str">
        <f t="shared" ca="1" si="28"/>
        <v>ECCBTH Q321 INDEX</v>
      </c>
      <c r="AP33" s="46">
        <v>0.5</v>
      </c>
      <c r="AR33" s="48" t="str">
        <f t="shared" ca="1" si="0"/>
        <v>ECCBTH Q421 INDEX</v>
      </c>
      <c r="AS33" s="46">
        <v>0.4</v>
      </c>
      <c r="AU33" s="48" t="str">
        <f t="shared" ca="1" si="3"/>
        <v>ECCBTH Q122 INDEX</v>
      </c>
      <c r="AV33" s="46">
        <v>0.4</v>
      </c>
      <c r="AX33" s="48" t="str">
        <f t="shared" ca="1" si="4"/>
        <v>ECCBTH Q222 INDEX</v>
      </c>
      <c r="AY33" s="46">
        <v>0.4</v>
      </c>
      <c r="BA33" s="48" t="str">
        <f t="shared" ca="1" si="5"/>
        <v>ECCBTH Q322 INDEX</v>
      </c>
      <c r="BB33" s="46">
        <v>0.45</v>
      </c>
      <c r="BD33" t="s">
        <v>555</v>
      </c>
      <c r="BE33" s="48" t="s">
        <v>713</v>
      </c>
      <c r="BF33" s="46">
        <v>0.61009999999999998</v>
      </c>
      <c r="BH33" s="32" t="s">
        <v>556</v>
      </c>
      <c r="BI33" s="46">
        <v>-3.44</v>
      </c>
      <c r="BJ33" s="46">
        <v>-4.59</v>
      </c>
      <c r="BK33" s="46">
        <v>-3.65</v>
      </c>
      <c r="BL33" s="46">
        <v>-4.18</v>
      </c>
      <c r="BM33" s="46">
        <v>-0.45</v>
      </c>
      <c r="BO33" s="46" t="str">
        <f t="shared" si="29"/>
        <v>ECPITH</v>
      </c>
      <c r="BP33" s="48" t="str">
        <f t="shared" ca="1" si="30"/>
        <v>ECPITH Q321 INDEX</v>
      </c>
      <c r="BQ33" s="46">
        <v>-2.5</v>
      </c>
      <c r="BS33" s="48" t="str">
        <f t="shared" ca="1" si="1"/>
        <v>ECPITH Q421 INDEX</v>
      </c>
      <c r="BT33" s="46">
        <v>-1.75</v>
      </c>
      <c r="BV33" s="48" t="str">
        <f t="shared" ca="1" si="6"/>
        <v>ECPITH Q122 INDEX</v>
      </c>
      <c r="BW33" s="46">
        <v>-1.05</v>
      </c>
      <c r="BY33" s="48" t="str">
        <f t="shared" ca="1" si="7"/>
        <v>ECPITH Q222 INDEX</v>
      </c>
      <c r="BZ33" s="46">
        <v>-0.5</v>
      </c>
      <c r="CB33" s="48" t="str">
        <f t="shared" ca="1" si="8"/>
        <v>ECPITH Q322 INDEX</v>
      </c>
      <c r="CC33" s="46">
        <v>1</v>
      </c>
      <c r="CE33" s="48" t="str">
        <f t="shared" ca="1" si="9"/>
        <v>ECPITH 21 INDEX</v>
      </c>
      <c r="CF33" s="46">
        <v>-1.1000000000000001</v>
      </c>
      <c r="CH33" s="48" t="str">
        <f t="shared" ca="1" si="10"/>
        <v>ECPITH 22 INDEX</v>
      </c>
      <c r="CI33" s="46">
        <v>0.6</v>
      </c>
      <c r="CK33" s="48" t="str">
        <f t="shared" ca="1" si="11"/>
        <v>ECPITH 23 INDEX</v>
      </c>
      <c r="CL33" s="46">
        <v>1</v>
      </c>
      <c r="CN33" s="32" t="s">
        <v>553</v>
      </c>
      <c r="CO33" s="46">
        <v>-1.8</v>
      </c>
      <c r="CP33" s="46">
        <v>1.5</v>
      </c>
      <c r="CQ33" s="46">
        <v>2.6</v>
      </c>
      <c r="CR33" s="46">
        <v>2.4</v>
      </c>
      <c r="CS33" s="46">
        <v>2.9</v>
      </c>
      <c r="CU33" s="46" t="str">
        <f t="shared" si="31"/>
        <v>ECGDTH</v>
      </c>
      <c r="CV33" s="48" t="str">
        <f t="shared" ca="1" si="12"/>
        <v>ECGDTH Q321 INDEX</v>
      </c>
      <c r="CW33" s="46">
        <v>-11.05</v>
      </c>
      <c r="CY33" s="48" t="str">
        <f t="shared" ca="1" si="13"/>
        <v>ECGDTH Q421 INDEX</v>
      </c>
      <c r="CZ33" s="46">
        <v>-6.3</v>
      </c>
      <c r="DB33" s="48" t="str">
        <f t="shared" ca="1" si="14"/>
        <v>ECGDTH Q122 INDEX</v>
      </c>
      <c r="DC33" s="46">
        <v>-3.95</v>
      </c>
      <c r="DE33" s="48" t="str">
        <f t="shared" ca="1" si="15"/>
        <v>ECGDTH Q222 INDEX</v>
      </c>
      <c r="DF33" s="46">
        <v>0.8</v>
      </c>
      <c r="DH33" s="48" t="str">
        <f t="shared" ca="1" si="16"/>
        <v>ECGDTH Q322 INDEX</v>
      </c>
      <c r="DI33" s="46">
        <v>5.8</v>
      </c>
      <c r="DK33" s="48" t="str">
        <f t="shared" ca="1" si="17"/>
        <v>ECGDTH 21 INDEX</v>
      </c>
      <c r="DL33" s="46">
        <v>-5.4</v>
      </c>
      <c r="DN33" s="48" t="str">
        <f t="shared" ca="1" si="18"/>
        <v>ECGDTH 22 INDEX</v>
      </c>
      <c r="DO33" s="46">
        <v>4</v>
      </c>
      <c r="DQ33" s="48" t="str">
        <f t="shared" ca="1" si="19"/>
        <v>ECGDTH 23 INDEX</v>
      </c>
      <c r="DR33" s="46">
        <v>3</v>
      </c>
      <c r="DT33" t="s">
        <v>651</v>
      </c>
      <c r="EA33" t="s">
        <v>651</v>
      </c>
      <c r="EB33"/>
      <c r="EC33"/>
      <c r="ED33"/>
      <c r="EE33"/>
      <c r="EG33"/>
      <c r="EH33" s="13" t="s">
        <v>924</v>
      </c>
      <c r="EI33" s="11">
        <v>1.06</v>
      </c>
      <c r="EJ33" s="11"/>
      <c r="EK33" s="11">
        <v>0.05</v>
      </c>
      <c r="EL33" s="11">
        <v>0.01</v>
      </c>
      <c r="EM33" s="11">
        <v>0.16</v>
      </c>
      <c r="EN33" s="11"/>
      <c r="EO33" s="13" t="s">
        <v>651</v>
      </c>
      <c r="EP33" s="13"/>
      <c r="EQ33" s="11"/>
      <c r="ER33" s="11"/>
      <c r="ES33" s="11"/>
      <c r="ET33" s="11"/>
      <c r="EU33" s="11"/>
      <c r="EV33"/>
      <c r="EW33" s="13" t="s">
        <v>651</v>
      </c>
      <c r="EX33" s="13"/>
      <c r="EY33" s="11"/>
      <c r="EZ33"/>
      <c r="FA33" t="s">
        <v>964</v>
      </c>
      <c r="FB33" s="11">
        <v>-3.31</v>
      </c>
      <c r="FC33" s="11">
        <v>-7.9</v>
      </c>
      <c r="FD33" s="11">
        <v>-8.27</v>
      </c>
      <c r="FE33" s="11">
        <v>-2.38</v>
      </c>
      <c r="FF33" s="11">
        <v>-4.34</v>
      </c>
      <c r="FG33"/>
      <c r="FH33" s="33" t="s">
        <v>557</v>
      </c>
      <c r="FI33" s="46">
        <v>504.99299999999999</v>
      </c>
      <c r="FK33" t="s">
        <v>558</v>
      </c>
      <c r="FL33" t="s">
        <v>1002</v>
      </c>
      <c r="FM33" s="11">
        <v>0.32800000000000001</v>
      </c>
      <c r="FN33"/>
      <c r="FO33" s="46" t="str">
        <f t="shared" si="20"/>
        <v>EHCATH</v>
      </c>
      <c r="FP33" t="str">
        <f t="shared" si="21"/>
        <v>EHCATH Index</v>
      </c>
      <c r="FQ33" s="11">
        <v>6.4</v>
      </c>
      <c r="FR33" s="11">
        <v>6.95</v>
      </c>
      <c r="FS33" s="11">
        <v>6.34</v>
      </c>
      <c r="FT33" s="11">
        <v>5.36</v>
      </c>
      <c r="FU33" s="11">
        <v>5.19</v>
      </c>
      <c r="FV33"/>
      <c r="FW33" t="s">
        <v>559</v>
      </c>
      <c r="FX33" t="s">
        <v>1024</v>
      </c>
      <c r="FY33">
        <v>41.9</v>
      </c>
      <c r="FZ33"/>
      <c r="GA33" t="str">
        <f t="shared" si="22"/>
        <v>TAYLTHB Index</v>
      </c>
      <c r="GB33"/>
      <c r="GC33"/>
      <c r="GE33" s="43" t="str">
        <f t="shared" si="33"/>
        <v>CESITHB Index</v>
      </c>
      <c r="GJ33" s="43" t="str">
        <f t="shared" si="23"/>
        <v>CSIITHB Index</v>
      </c>
      <c r="GO33" s="43" t="s">
        <v>1200</v>
      </c>
      <c r="GP33" s="44" t="s">
        <v>1208</v>
      </c>
      <c r="GQ33" s="44">
        <v>239.45</v>
      </c>
    </row>
    <row r="34" spans="1:199" x14ac:dyDescent="0.35">
      <c r="A34" s="43" t="s">
        <v>70</v>
      </c>
      <c r="B34" s="44" t="s">
        <v>71</v>
      </c>
      <c r="H34" s="50" t="s">
        <v>771</v>
      </c>
      <c r="K34" s="50" t="s">
        <v>802</v>
      </c>
      <c r="N34" s="50" t="s">
        <v>840</v>
      </c>
      <c r="Q34" s="50" t="s">
        <v>651</v>
      </c>
      <c r="U34" s="44" t="s">
        <v>179</v>
      </c>
      <c r="V34" s="50" t="str">
        <f t="shared" si="2"/>
        <v>PHP Curncy</v>
      </c>
      <c r="W34" s="46">
        <v>50.185000000000002</v>
      </c>
      <c r="Y34" s="50" t="str">
        <f t="shared" si="24"/>
        <v>PHPUSD Curncy</v>
      </c>
      <c r="Z34" s="46">
        <v>1.9907999999999999E-2</v>
      </c>
      <c r="AB34" s="46" t="str">
        <f t="shared" si="25"/>
        <v>FCUSPH</v>
      </c>
      <c r="AC34" s="48" t="str">
        <f t="shared" si="26"/>
        <v>FCUSPH Q418 INDEX</v>
      </c>
      <c r="AD34" s="48" t="s">
        <v>682</v>
      </c>
      <c r="AE34" s="46">
        <v>53.5</v>
      </c>
      <c r="AG34" s="43" t="s">
        <v>561</v>
      </c>
      <c r="AH34" s="46">
        <v>2.75</v>
      </c>
      <c r="AI34" s="46">
        <v>-1.75</v>
      </c>
      <c r="AJ34" s="46">
        <v>-1.25</v>
      </c>
      <c r="AK34" s="46">
        <v>-1</v>
      </c>
      <c r="AL34" s="46">
        <v>0</v>
      </c>
      <c r="AN34" s="46" t="str">
        <f t="shared" si="27"/>
        <v>ECCBPH</v>
      </c>
      <c r="AO34" s="48" t="str">
        <f t="shared" ca="1" si="28"/>
        <v>ECCBPH Q321 INDEX</v>
      </c>
      <c r="AP34" s="46">
        <v>2.5499999999999998</v>
      </c>
      <c r="AR34" s="48" t="str">
        <f t="shared" ca="1" si="0"/>
        <v>ECCBPH Q421 INDEX</v>
      </c>
      <c r="AS34" s="46">
        <v>2.4500000000000002</v>
      </c>
      <c r="AU34" s="48" t="str">
        <f t="shared" ca="1" si="3"/>
        <v>ECCBPH Q122 INDEX</v>
      </c>
      <c r="AV34" s="46">
        <v>2.4500000000000002</v>
      </c>
      <c r="AX34" s="48" t="str">
        <f t="shared" ca="1" si="4"/>
        <v>ECCBPH Q222 INDEX</v>
      </c>
      <c r="AY34" s="46">
        <v>2.5</v>
      </c>
      <c r="BA34" s="48" t="str">
        <f t="shared" ca="1" si="5"/>
        <v>ECCBPH Q322 INDEX</v>
      </c>
      <c r="BB34" s="46">
        <v>2.6</v>
      </c>
      <c r="BD34" t="s">
        <v>562</v>
      </c>
      <c r="BH34" s="32" t="s">
        <v>563</v>
      </c>
      <c r="BI34" s="46">
        <v>2.1</v>
      </c>
      <c r="BJ34" s="46">
        <v>-1.1000000000000001</v>
      </c>
      <c r="BK34" s="46">
        <v>0.8</v>
      </c>
      <c r="BL34" s="46">
        <v>-0.5</v>
      </c>
      <c r="BM34" s="46">
        <v>-0.1</v>
      </c>
      <c r="BO34" s="46" t="str">
        <f t="shared" si="29"/>
        <v>ECPIPH</v>
      </c>
      <c r="BP34" s="48" t="str">
        <f t="shared" ca="1" si="30"/>
        <v>ECPIPH Q321 INDEX</v>
      </c>
      <c r="BQ34" s="46">
        <v>2.2000000000000002</v>
      </c>
      <c r="BS34" s="48" t="str">
        <f t="shared" ca="1" si="1"/>
        <v>ECPIPH Q421 INDEX</v>
      </c>
      <c r="BT34" s="46">
        <v>2.1</v>
      </c>
      <c r="BV34" s="48" t="str">
        <f t="shared" ca="1" si="6"/>
        <v>ECPIPH Q122 INDEX</v>
      </c>
      <c r="BW34" s="46">
        <v>2.2000000000000002</v>
      </c>
      <c r="BY34" s="48" t="str">
        <f t="shared" ca="1" si="7"/>
        <v>ECPIPH Q222 INDEX</v>
      </c>
      <c r="BZ34" s="46">
        <v>2.8</v>
      </c>
      <c r="CB34" s="48" t="str">
        <f t="shared" ca="1" si="8"/>
        <v>ECPIPH Q322 INDEX</v>
      </c>
      <c r="CC34" s="46">
        <v>3.1</v>
      </c>
      <c r="CE34" s="48" t="str">
        <f t="shared" ca="1" si="9"/>
        <v>ECPIPH 21 INDEX</v>
      </c>
      <c r="CF34" s="46">
        <v>2.2000000000000002</v>
      </c>
      <c r="CH34" s="48" t="str">
        <f t="shared" ca="1" si="10"/>
        <v>ECPIPH 22 INDEX</v>
      </c>
      <c r="CI34" s="46">
        <v>2.95</v>
      </c>
      <c r="CK34" s="48" t="str">
        <f t="shared" ca="1" si="11"/>
        <v>ECPIPH 23 INDEX</v>
      </c>
      <c r="CL34" s="46">
        <v>3.4</v>
      </c>
      <c r="CN34" s="32" t="s">
        <v>560</v>
      </c>
      <c r="CO34" s="46">
        <v>-0.2</v>
      </c>
      <c r="CP34" s="46">
        <v>6.7</v>
      </c>
      <c r="CQ34" s="46">
        <v>6.3</v>
      </c>
      <c r="CR34" s="46">
        <v>5.4</v>
      </c>
      <c r="CS34" s="46">
        <v>5.7</v>
      </c>
      <c r="CU34" s="46" t="str">
        <f t="shared" si="31"/>
        <v>ECGDPH</v>
      </c>
      <c r="CV34" s="48" t="str">
        <f t="shared" ca="1" si="12"/>
        <v>ECGDPH Q321 INDEX</v>
      </c>
      <c r="CW34" s="46">
        <v>-7.6</v>
      </c>
      <c r="CY34" s="48" t="str">
        <f t="shared" ca="1" si="13"/>
        <v>ECGDPH Q421 INDEX</v>
      </c>
      <c r="CZ34" s="46">
        <v>-2.9</v>
      </c>
      <c r="DB34" s="48" t="str">
        <f t="shared" ca="1" si="14"/>
        <v>ECGDPH Q122 INDEX</v>
      </c>
      <c r="DC34" s="46">
        <v>0.2</v>
      </c>
      <c r="DE34" s="48" t="str">
        <f t="shared" ca="1" si="15"/>
        <v>ECGDPH Q222 INDEX</v>
      </c>
      <c r="DF34" s="46">
        <v>6.1</v>
      </c>
      <c r="DH34" s="48" t="str">
        <f t="shared" ca="1" si="16"/>
        <v>ECGDPH Q322 INDEX</v>
      </c>
      <c r="DI34" s="46">
        <v>11.65</v>
      </c>
      <c r="DK34" s="48" t="str">
        <f t="shared" ca="1" si="17"/>
        <v>ECGDPH 21 INDEX</v>
      </c>
      <c r="DL34" s="46">
        <v>-2.5</v>
      </c>
      <c r="DN34" s="48" t="str">
        <f t="shared" ca="1" si="18"/>
        <v>ECGDPH 22 INDEX</v>
      </c>
      <c r="DO34" s="46">
        <v>7.2</v>
      </c>
      <c r="DQ34" s="48" t="str">
        <f t="shared" ca="1" si="19"/>
        <v>ECGDPH 23 INDEX</v>
      </c>
      <c r="DR34" s="46">
        <v>6.1</v>
      </c>
      <c r="DT34" t="s">
        <v>651</v>
      </c>
      <c r="EA34" t="s">
        <v>651</v>
      </c>
      <c r="EB34"/>
      <c r="EC34"/>
      <c r="ED34"/>
      <c r="EE34"/>
      <c r="EG34"/>
      <c r="EH34" s="13" t="s">
        <v>906</v>
      </c>
      <c r="EI34" s="11">
        <v>17.7</v>
      </c>
      <c r="EJ34" s="11">
        <v>12.4</v>
      </c>
      <c r="EK34" s="11">
        <v>12.4</v>
      </c>
      <c r="EL34" s="11">
        <v>13.2</v>
      </c>
      <c r="EM34" s="11">
        <v>12.6</v>
      </c>
      <c r="EN34" s="11"/>
      <c r="EO34" s="13" t="s">
        <v>651</v>
      </c>
      <c r="EP34" s="13"/>
      <c r="EQ34" s="11"/>
      <c r="ER34" s="11"/>
      <c r="ES34" s="11"/>
      <c r="ET34" s="11"/>
      <c r="EU34" s="11"/>
      <c r="EV34"/>
      <c r="EW34" s="13" t="s">
        <v>651</v>
      </c>
      <c r="EX34" s="13"/>
      <c r="EY34" s="11"/>
      <c r="EZ34"/>
      <c r="FA34" t="s">
        <v>953</v>
      </c>
      <c r="FB34" s="11">
        <v>-59.82</v>
      </c>
      <c r="FC34" s="11">
        <v>-7.7</v>
      </c>
      <c r="FD34" s="11">
        <v>0.61</v>
      </c>
      <c r="FE34" s="11">
        <v>-5.01</v>
      </c>
      <c r="FF34" s="11">
        <v>-13.95</v>
      </c>
      <c r="FG34"/>
      <c r="FH34" s="33" t="s">
        <v>564</v>
      </c>
      <c r="FI34" s="46">
        <v>330.91</v>
      </c>
      <c r="FK34" t="s">
        <v>565</v>
      </c>
      <c r="FL34" t="s">
        <v>1002</v>
      </c>
      <c r="FM34" s="11">
        <v>-1.95</v>
      </c>
      <c r="FN34"/>
      <c r="FO34" s="46" t="str">
        <f t="shared" si="20"/>
        <v>EHCAPH</v>
      </c>
      <c r="FP34" t="str">
        <f t="shared" si="21"/>
        <v>EHCAPH Index</v>
      </c>
      <c r="FQ34" s="11">
        <v>-0.12</v>
      </c>
      <c r="FR34" s="11">
        <v>-0.98</v>
      </c>
      <c r="FS34" s="11">
        <v>-1.54</v>
      </c>
      <c r="FT34" s="11">
        <v>-2.6</v>
      </c>
      <c r="FU34" s="11">
        <v>-2.29</v>
      </c>
      <c r="FV34"/>
      <c r="FW34" t="s">
        <v>566</v>
      </c>
      <c r="FX34" t="s">
        <v>1024</v>
      </c>
      <c r="FY34">
        <v>37.799999999999997</v>
      </c>
      <c r="FZ34"/>
      <c r="GA34" t="str">
        <f t="shared" si="22"/>
        <v>TAYLPHB Index</v>
      </c>
      <c r="GB34"/>
      <c r="GC34"/>
      <c r="GE34" s="43" t="str">
        <f t="shared" si="33"/>
        <v>CESIPHP Index</v>
      </c>
      <c r="GJ34" s="43" t="str">
        <f t="shared" si="23"/>
        <v>CSIIPHP Index</v>
      </c>
      <c r="GO34" s="43" t="s">
        <v>1201</v>
      </c>
      <c r="GP34" s="44" t="s">
        <v>1207</v>
      </c>
      <c r="GQ34" s="44">
        <v>90942.71</v>
      </c>
    </row>
    <row r="35" spans="1:199" x14ac:dyDescent="0.35">
      <c r="A35" s="43" t="s">
        <v>72</v>
      </c>
      <c r="B35" s="44" t="s">
        <v>13</v>
      </c>
      <c r="H35" s="50" t="s">
        <v>854</v>
      </c>
      <c r="I35" s="44">
        <v>4.5837000000000003</v>
      </c>
      <c r="K35" s="50" t="s">
        <v>855</v>
      </c>
      <c r="L35" s="44">
        <v>5.1577000000000002</v>
      </c>
      <c r="N35" s="50" t="s">
        <v>856</v>
      </c>
      <c r="O35" s="44">
        <v>5.8212000000000002</v>
      </c>
      <c r="Q35" s="50" t="s">
        <v>651</v>
      </c>
      <c r="U35" s="44" t="s">
        <v>193</v>
      </c>
      <c r="V35" s="50" t="str">
        <f t="shared" si="2"/>
        <v>RUB Curncy</v>
      </c>
      <c r="W35" s="46">
        <v>70.192300000000003</v>
      </c>
      <c r="Y35" s="50" t="str">
        <f t="shared" si="24"/>
        <v>RUBUSD Curncy</v>
      </c>
      <c r="Z35" s="46">
        <v>1.4330000000000001E-2</v>
      </c>
      <c r="AB35" s="46" t="str">
        <f t="shared" si="25"/>
        <v>FCUSRU</v>
      </c>
      <c r="AC35" s="48" t="str">
        <f t="shared" si="26"/>
        <v>FCUSRU Q418 INDEX</v>
      </c>
      <c r="AD35" s="48" t="s">
        <v>683</v>
      </c>
      <c r="AE35" s="46">
        <v>66.58</v>
      </c>
      <c r="AG35" s="43" t="s">
        <v>568</v>
      </c>
      <c r="AH35" s="46">
        <v>5.5</v>
      </c>
      <c r="AI35" s="46">
        <v>-2.25</v>
      </c>
      <c r="AJ35" s="46">
        <v>-1</v>
      </c>
      <c r="AK35" s="46">
        <v>-0.5</v>
      </c>
      <c r="AL35" s="46">
        <v>0</v>
      </c>
      <c r="AN35" s="46" t="str">
        <f t="shared" si="27"/>
        <v>ECCBRU</v>
      </c>
      <c r="AO35" s="48" t="str">
        <f t="shared" ca="1" si="28"/>
        <v>ECCBRU Q321 INDEX</v>
      </c>
      <c r="AP35" s="46">
        <v>4.9000000000000004</v>
      </c>
      <c r="AR35" s="48" t="str">
        <f t="shared" ca="1" si="0"/>
        <v>ECCBRU Q421 INDEX</v>
      </c>
      <c r="AS35" s="46">
        <v>4.7</v>
      </c>
      <c r="AU35" s="48" t="str">
        <f t="shared" ca="1" si="3"/>
        <v>ECCBRU Q122 INDEX</v>
      </c>
      <c r="AV35" s="46">
        <v>4.75</v>
      </c>
      <c r="AX35" s="48" t="str">
        <f t="shared" ca="1" si="4"/>
        <v>ECCBRU Q222 INDEX</v>
      </c>
      <c r="AY35" s="46">
        <v>4.8</v>
      </c>
      <c r="BA35" s="48" t="str">
        <f t="shared" ca="1" si="5"/>
        <v>ECCBRU Q322 INDEX</v>
      </c>
      <c r="BB35" s="46">
        <v>4.8499999999999996</v>
      </c>
      <c r="BD35" t="s">
        <v>569</v>
      </c>
      <c r="BE35" s="48" t="s">
        <v>714</v>
      </c>
      <c r="BF35" s="46">
        <v>5.46</v>
      </c>
      <c r="BH35" s="32" t="s">
        <v>570</v>
      </c>
      <c r="BI35" s="46">
        <v>3</v>
      </c>
      <c r="BJ35" s="46">
        <v>-2.1</v>
      </c>
      <c r="BK35" s="46">
        <v>-0.5</v>
      </c>
      <c r="BL35" s="46">
        <v>0.7</v>
      </c>
      <c r="BM35" s="46">
        <v>-0.1</v>
      </c>
      <c r="BO35" s="46" t="str">
        <f t="shared" si="29"/>
        <v>ECPIRU</v>
      </c>
      <c r="BP35" s="48" t="str">
        <f t="shared" ca="1" si="30"/>
        <v>ECPIRU Q321 INDEX</v>
      </c>
      <c r="BQ35" s="46">
        <v>3.45</v>
      </c>
      <c r="BS35" s="48" t="str">
        <f t="shared" ca="1" si="1"/>
        <v>ECPIRU Q421 INDEX</v>
      </c>
      <c r="BT35" s="46">
        <v>3.9</v>
      </c>
      <c r="BV35" s="48" t="str">
        <f t="shared" ca="1" si="6"/>
        <v>ECPIRU Q122 INDEX</v>
      </c>
      <c r="BW35" s="46">
        <v>4.0999999999999996</v>
      </c>
      <c r="BY35" s="48" t="str">
        <f t="shared" ca="1" si="7"/>
        <v>ECPIRU Q222 INDEX</v>
      </c>
      <c r="BZ35" s="46">
        <v>4.2</v>
      </c>
      <c r="CB35" s="48" t="str">
        <f t="shared" ca="1" si="8"/>
        <v>ECPIRU Q322 INDEX</v>
      </c>
      <c r="CC35" s="46">
        <v>3.75</v>
      </c>
      <c r="CE35" s="48" t="str">
        <f t="shared" ca="1" si="9"/>
        <v>ECPIRU 21 INDEX</v>
      </c>
      <c r="CF35" s="46">
        <v>3.4</v>
      </c>
      <c r="CH35" s="48" t="str">
        <f t="shared" ca="1" si="10"/>
        <v>ECPIRU 22 INDEX</v>
      </c>
      <c r="CI35" s="46">
        <v>4</v>
      </c>
      <c r="CK35" s="48" t="str">
        <f t="shared" ca="1" si="11"/>
        <v>ECPIRU 23 INDEX</v>
      </c>
      <c r="CL35" s="46">
        <v>3.8</v>
      </c>
      <c r="CN35" s="32" t="s">
        <v>567</v>
      </c>
      <c r="CO35" s="46">
        <v>1.6</v>
      </c>
      <c r="CP35" s="46">
        <v>2.1</v>
      </c>
      <c r="CQ35" s="46">
        <v>1.5</v>
      </c>
      <c r="CR35" s="46">
        <v>1.1000000000000001</v>
      </c>
      <c r="CS35" s="46">
        <v>0.4</v>
      </c>
      <c r="CU35" s="46" t="str">
        <f t="shared" si="31"/>
        <v>ECGDRU</v>
      </c>
      <c r="CV35" s="48" t="str">
        <f t="shared" ca="1" si="12"/>
        <v>ECGDRU Q321 INDEX</v>
      </c>
      <c r="CW35" s="46">
        <v>-8.8000000000000007</v>
      </c>
      <c r="CY35" s="48" t="str">
        <f t="shared" ca="1" si="13"/>
        <v>ECGDRU Q421 INDEX</v>
      </c>
      <c r="CZ35" s="46">
        <v>-5.0999999999999996</v>
      </c>
      <c r="DB35" s="48" t="str">
        <f t="shared" ca="1" si="14"/>
        <v>ECGDRU Q122 INDEX</v>
      </c>
      <c r="DC35" s="46">
        <v>-3.4</v>
      </c>
      <c r="DE35" s="48" t="str">
        <f t="shared" ca="1" si="15"/>
        <v>ECGDRU Q222 INDEX</v>
      </c>
      <c r="DF35" s="46">
        <v>-1.95</v>
      </c>
      <c r="DH35" s="48" t="str">
        <f t="shared" ca="1" si="16"/>
        <v>ECGDRU Q322 INDEX</v>
      </c>
      <c r="DI35" s="46">
        <v>7.05</v>
      </c>
      <c r="DK35" s="48" t="str">
        <f t="shared" ca="1" si="17"/>
        <v>ECGDRU 21 INDEX</v>
      </c>
      <c r="DL35" s="46">
        <v>-4.8</v>
      </c>
      <c r="DN35" s="48" t="str">
        <f t="shared" ca="1" si="18"/>
        <v>ECGDRU 22 INDEX</v>
      </c>
      <c r="DO35" s="46">
        <v>3.15</v>
      </c>
      <c r="DQ35" s="48" t="str">
        <f t="shared" ca="1" si="19"/>
        <v>ECGDRU 23 INDEX</v>
      </c>
      <c r="DR35" s="46">
        <v>2.4</v>
      </c>
      <c r="DT35" t="s">
        <v>140</v>
      </c>
      <c r="DU35" s="46">
        <v>36.200000000000003</v>
      </c>
      <c r="DV35" s="46">
        <v>31.3</v>
      </c>
      <c r="DW35" s="46">
        <v>48.2</v>
      </c>
      <c r="DX35" s="46">
        <v>45.6</v>
      </c>
      <c r="DY35" s="46">
        <v>49.8</v>
      </c>
      <c r="EA35" t="s">
        <v>141</v>
      </c>
      <c r="EB35">
        <v>35.9</v>
      </c>
      <c r="EC35">
        <v>12.2</v>
      </c>
      <c r="ED35">
        <v>52</v>
      </c>
      <c r="EE35">
        <v>55.6</v>
      </c>
      <c r="EF35" s="46">
        <v>52</v>
      </c>
      <c r="EG35"/>
      <c r="EH35" s="13" t="s">
        <v>909</v>
      </c>
      <c r="EI35" s="11">
        <v>5.8</v>
      </c>
      <c r="EJ35" s="11">
        <v>1.1000000000000001</v>
      </c>
      <c r="EK35" s="11">
        <v>1.1000000000000001</v>
      </c>
      <c r="EL35" s="11">
        <v>1.2</v>
      </c>
      <c r="EM35" s="11">
        <v>1.1000000000000001</v>
      </c>
      <c r="EN35" s="11"/>
      <c r="EO35" s="13" t="str">
        <f t="shared" si="32"/>
        <v>OERUKLAC Index</v>
      </c>
      <c r="EP35" s="13" t="s">
        <v>1150</v>
      </c>
      <c r="EQ35" s="11">
        <v>91.867699999999999</v>
      </c>
      <c r="ER35" s="11">
        <v>-6.2083000000000004</v>
      </c>
      <c r="ES35" s="11">
        <v>-8.2832000000000008</v>
      </c>
      <c r="ET35" s="11">
        <v>-8.5905000000000005</v>
      </c>
      <c r="EU35" s="11">
        <v>-8.6028000000000002</v>
      </c>
      <c r="EV35"/>
      <c r="EW35" s="13" t="s">
        <v>651</v>
      </c>
      <c r="EX35" s="13"/>
      <c r="EY35" s="11"/>
      <c r="EZ35"/>
      <c r="FA35" t="s">
        <v>956</v>
      </c>
      <c r="FB35" s="11">
        <v>-6.6</v>
      </c>
      <c r="FC35" s="11">
        <v>0.3</v>
      </c>
      <c r="FD35" s="11">
        <v>1.1000000000000001</v>
      </c>
      <c r="FE35" s="11">
        <v>3</v>
      </c>
      <c r="FF35" s="11">
        <v>4.0999999999999996</v>
      </c>
      <c r="FG35"/>
      <c r="FH35" s="33" t="s">
        <v>571</v>
      </c>
      <c r="FI35" s="46">
        <v>1657.5550000000001</v>
      </c>
      <c r="FK35" t="s">
        <v>572</v>
      </c>
      <c r="FL35" t="s">
        <v>1002</v>
      </c>
      <c r="FM35" s="11">
        <v>0.79600000000000004</v>
      </c>
      <c r="FN35"/>
      <c r="FO35" s="46" t="str">
        <f t="shared" si="20"/>
        <v>EHCARU</v>
      </c>
      <c r="FP35" t="str">
        <f t="shared" si="21"/>
        <v>EHCARU Index</v>
      </c>
      <c r="FQ35" s="11">
        <v>3.74</v>
      </c>
      <c r="FR35" s="11">
        <v>5.49</v>
      </c>
      <c r="FS35" s="11">
        <v>6.54</v>
      </c>
      <c r="FT35" s="11">
        <v>7.24</v>
      </c>
      <c r="FU35" s="11">
        <v>7.22</v>
      </c>
      <c r="FV35"/>
      <c r="FW35" t="s">
        <v>573</v>
      </c>
      <c r="FX35" t="s">
        <v>1024</v>
      </c>
      <c r="FY35">
        <v>17.399999999999999</v>
      </c>
      <c r="FZ35"/>
      <c r="GA35" t="str">
        <f t="shared" si="22"/>
        <v>TAYLRUB Index</v>
      </c>
      <c r="GB35" t="s">
        <v>1092</v>
      </c>
      <c r="GC35">
        <v>4.6399999999999997</v>
      </c>
      <c r="GE35" s="43" t="str">
        <f t="shared" si="33"/>
        <v>CESIRUB Index</v>
      </c>
      <c r="GJ35" s="43" t="str">
        <f t="shared" si="23"/>
        <v>CSIIRUB Index</v>
      </c>
      <c r="GO35" s="44" t="s">
        <v>1183</v>
      </c>
      <c r="GP35" s="44" t="s">
        <v>1185</v>
      </c>
      <c r="GQ35" s="44">
        <v>566.1</v>
      </c>
    </row>
    <row r="36" spans="1:199" x14ac:dyDescent="0.35">
      <c r="A36" s="43" t="s">
        <v>73</v>
      </c>
      <c r="B36" s="44" t="s">
        <v>74</v>
      </c>
      <c r="H36" s="50" t="s">
        <v>765</v>
      </c>
      <c r="I36" s="44">
        <v>9.2899999999999991</v>
      </c>
      <c r="K36" s="50" t="s">
        <v>803</v>
      </c>
      <c r="L36" s="44">
        <v>11.89</v>
      </c>
      <c r="N36" s="50" t="s">
        <v>841</v>
      </c>
      <c r="O36" s="44">
        <v>13.21</v>
      </c>
      <c r="Q36" s="50" t="s">
        <v>651</v>
      </c>
      <c r="U36" s="44" t="s">
        <v>189</v>
      </c>
      <c r="V36" s="50" t="str">
        <f t="shared" si="2"/>
        <v>TRY Curncy</v>
      </c>
      <c r="W36" s="46">
        <v>6.8310000000000004</v>
      </c>
      <c r="Y36" s="50" t="str">
        <f t="shared" si="24"/>
        <v>TRYUSD Curncy</v>
      </c>
      <c r="Z36" s="46">
        <v>0.14638999999999999</v>
      </c>
      <c r="AB36" s="46" t="str">
        <f t="shared" si="25"/>
        <v>FCUSTR</v>
      </c>
      <c r="AC36" s="48" t="str">
        <f t="shared" si="26"/>
        <v>FCUSTR Q418 INDEX</v>
      </c>
      <c r="AD36" s="48" t="s">
        <v>684</v>
      </c>
      <c r="AE36" s="46">
        <v>5.5</v>
      </c>
      <c r="AG36" s="43" t="s">
        <v>575</v>
      </c>
      <c r="AH36" s="46">
        <v>8.25</v>
      </c>
      <c r="AI36" s="46">
        <v>-15.75</v>
      </c>
      <c r="AJ36" s="46">
        <v>-5.75</v>
      </c>
      <c r="AK36" s="46">
        <v>-2.5</v>
      </c>
      <c r="AL36" s="46">
        <v>-1.5</v>
      </c>
      <c r="AN36" s="46" t="str">
        <f t="shared" si="27"/>
        <v>ECCBTR</v>
      </c>
      <c r="AO36" s="48" t="str">
        <f t="shared" ca="1" si="28"/>
        <v>ECCBTR Q321 INDEX</v>
      </c>
      <c r="AP36" s="46">
        <v>8</v>
      </c>
      <c r="AR36" s="48" t="str">
        <f t="shared" ca="1" si="0"/>
        <v>ECCBTR Q421 INDEX</v>
      </c>
      <c r="AS36" s="46">
        <v>7.9</v>
      </c>
      <c r="AU36" s="48" t="str">
        <f t="shared" ca="1" si="3"/>
        <v>ECCBTR Q122 INDEX</v>
      </c>
      <c r="AV36" s="46">
        <v>8.3000000000000007</v>
      </c>
      <c r="AX36" s="48" t="str">
        <f t="shared" ca="1" si="4"/>
        <v>ECCBTR Q222 INDEX</v>
      </c>
      <c r="AY36" s="46">
        <v>9.0500000000000007</v>
      </c>
      <c r="BA36" s="48" t="str">
        <f t="shared" ca="1" si="5"/>
        <v>ECCBTR Q322 INDEX</v>
      </c>
      <c r="BB36" s="46">
        <v>9.5</v>
      </c>
      <c r="BD36" t="s">
        <v>576</v>
      </c>
      <c r="BE36" s="48" t="s">
        <v>715</v>
      </c>
      <c r="BF36" s="46">
        <v>7.8718000000000004</v>
      </c>
      <c r="BH36" s="32" t="s">
        <v>577</v>
      </c>
      <c r="BI36" s="46">
        <v>11.39</v>
      </c>
      <c r="BJ36" s="46">
        <v>-7.32</v>
      </c>
      <c r="BK36" s="46">
        <v>0.83</v>
      </c>
      <c r="BL36" s="46">
        <v>-0.98</v>
      </c>
      <c r="BM36" s="46">
        <v>0.45</v>
      </c>
      <c r="BO36" s="46" t="str">
        <f t="shared" si="29"/>
        <v>ECPITR</v>
      </c>
      <c r="BP36" s="48" t="str">
        <f t="shared" ca="1" si="30"/>
        <v>ECPITR Q321 INDEX</v>
      </c>
      <c r="BQ36" s="46">
        <v>11.15</v>
      </c>
      <c r="BS36" s="48" t="str">
        <f t="shared" ca="1" si="1"/>
        <v>ECPITR Q421 INDEX</v>
      </c>
      <c r="BT36" s="46">
        <v>9</v>
      </c>
      <c r="BV36" s="48" t="str">
        <f t="shared" ca="1" si="6"/>
        <v>ECPITR Q122 INDEX</v>
      </c>
      <c r="BW36" s="46">
        <v>9</v>
      </c>
      <c r="BY36" s="48" t="str">
        <f t="shared" ca="1" si="7"/>
        <v>ECPITR Q222 INDEX</v>
      </c>
      <c r="BZ36" s="46">
        <v>8.9499999999999993</v>
      </c>
      <c r="CB36" s="48" t="str">
        <f t="shared" ca="1" si="8"/>
        <v>ECPITR Q322 INDEX</v>
      </c>
      <c r="CC36" s="46">
        <v>9.15</v>
      </c>
      <c r="CE36" s="48" t="str">
        <f t="shared" ca="1" si="9"/>
        <v>ECPITR 21 INDEX</v>
      </c>
      <c r="CF36" s="46">
        <v>10.4</v>
      </c>
      <c r="CH36" s="48" t="str">
        <f t="shared" ca="1" si="10"/>
        <v>ECPITR 22 INDEX</v>
      </c>
      <c r="CI36" s="46">
        <v>9.6999999999999993</v>
      </c>
      <c r="CK36" s="48" t="str">
        <f t="shared" ca="1" si="11"/>
        <v>ECPITR 23 INDEX</v>
      </c>
      <c r="CL36" s="46">
        <v>8.1999999999999993</v>
      </c>
      <c r="CN36" s="32" t="s">
        <v>574</v>
      </c>
      <c r="CO36" s="46">
        <v>3.093</v>
      </c>
      <c r="CP36" s="46">
        <v>4.6870000000000003</v>
      </c>
      <c r="CQ36" s="46">
        <v>5.6909999999999998</v>
      </c>
      <c r="CR36" s="46">
        <v>3.8820000000000001</v>
      </c>
      <c r="CS36" s="46">
        <v>3.6989999999999998</v>
      </c>
      <c r="CU36" s="46" t="str">
        <f t="shared" si="31"/>
        <v>ECGDTR</v>
      </c>
      <c r="CV36" s="48" t="str">
        <f t="shared" ca="1" si="12"/>
        <v>ECGDTR Q321 INDEX</v>
      </c>
      <c r="CW36" s="46">
        <v>-13.5</v>
      </c>
      <c r="CY36" s="48" t="str">
        <f t="shared" ca="1" si="13"/>
        <v>ECGDTR Q421 INDEX</v>
      </c>
      <c r="CZ36" s="46">
        <v>-5</v>
      </c>
      <c r="DB36" s="48" t="str">
        <f t="shared" ca="1" si="14"/>
        <v>ECGDTR Q122 INDEX</v>
      </c>
      <c r="DC36" s="46">
        <v>-2.5</v>
      </c>
      <c r="DE36" s="48" t="str">
        <f t="shared" ca="1" si="15"/>
        <v>ECGDTR Q222 INDEX</v>
      </c>
      <c r="DF36" s="46">
        <v>0.1</v>
      </c>
      <c r="DH36" s="48" t="str">
        <f t="shared" ca="1" si="16"/>
        <v>ECGDTR Q322 INDEX</v>
      </c>
      <c r="DI36" s="46">
        <v>7.7</v>
      </c>
      <c r="DK36" s="48" t="str">
        <f t="shared" ca="1" si="17"/>
        <v>ECGDTR 21 INDEX</v>
      </c>
      <c r="DL36" s="46">
        <v>-4</v>
      </c>
      <c r="DN36" s="48" t="str">
        <f t="shared" ca="1" si="18"/>
        <v>ECGDTR 22 INDEX</v>
      </c>
      <c r="DO36" s="46">
        <v>4.1500000000000004</v>
      </c>
      <c r="DQ36" s="48" t="str">
        <f t="shared" ca="1" si="19"/>
        <v>ECGDTR 23 INDEX</v>
      </c>
      <c r="DR36" s="46">
        <v>4.5</v>
      </c>
      <c r="DT36" t="s">
        <v>143</v>
      </c>
      <c r="DU36" s="46">
        <v>40.9</v>
      </c>
      <c r="DV36" s="46">
        <v>33.4</v>
      </c>
      <c r="DW36" s="46">
        <v>52.4</v>
      </c>
      <c r="DX36" s="46">
        <v>49.5</v>
      </c>
      <c r="DY36" s="46">
        <v>45.3</v>
      </c>
      <c r="EA36" t="s">
        <v>651</v>
      </c>
      <c r="EB36"/>
      <c r="EC36"/>
      <c r="ED36"/>
      <c r="EE36"/>
      <c r="EG36"/>
      <c r="EH36" s="13" t="s">
        <v>917</v>
      </c>
      <c r="EI36" s="11">
        <v>13</v>
      </c>
      <c r="EJ36" s="11">
        <v>0.3</v>
      </c>
      <c r="EK36" s="11">
        <v>-0.1</v>
      </c>
      <c r="EL36" s="11">
        <v>-0.8</v>
      </c>
      <c r="EM36" s="11">
        <v>-0.9</v>
      </c>
      <c r="EN36" s="11"/>
      <c r="EO36" s="13" t="str">
        <f t="shared" si="32"/>
        <v>OETRKLAC Index</v>
      </c>
      <c r="EP36" s="13" t="s">
        <v>1151</v>
      </c>
      <c r="EQ36" s="11">
        <v>95.002399999999994</v>
      </c>
      <c r="ER36" s="11">
        <v>-5.3975999999999997</v>
      </c>
      <c r="ES36" s="11">
        <v>-6.3460999999999999</v>
      </c>
      <c r="ET36" s="11">
        <v>-5.2996999999999996</v>
      </c>
      <c r="EU36" s="11">
        <v>-3.6352000000000002</v>
      </c>
      <c r="EV36"/>
      <c r="EW36" s="13" t="s">
        <v>1035</v>
      </c>
      <c r="EX36" s="13" t="s">
        <v>1077</v>
      </c>
      <c r="EY36" s="11">
        <v>9.5237099999999995</v>
      </c>
      <c r="EZ36"/>
      <c r="FA36" t="s">
        <v>965</v>
      </c>
      <c r="FB36" s="11">
        <v>-31.36</v>
      </c>
      <c r="FC36" s="11">
        <v>-0.98</v>
      </c>
      <c r="FD36" s="11">
        <v>7.66</v>
      </c>
      <c r="FE36" s="11">
        <v>2.77</v>
      </c>
      <c r="FF36" s="11">
        <v>-1.1599999999999999</v>
      </c>
      <c r="FG36"/>
      <c r="FH36" s="33" t="s">
        <v>578</v>
      </c>
      <c r="FI36" s="46">
        <v>771.35</v>
      </c>
      <c r="FK36" t="s">
        <v>579</v>
      </c>
      <c r="FL36" t="s">
        <v>1002</v>
      </c>
      <c r="FM36" s="11">
        <v>1.506</v>
      </c>
      <c r="FN36"/>
      <c r="FO36" s="46" t="str">
        <f t="shared" si="20"/>
        <v>EHCATR</v>
      </c>
      <c r="FP36" t="str">
        <f t="shared" si="21"/>
        <v>EHCATR Index</v>
      </c>
      <c r="FQ36" s="11">
        <v>0.17</v>
      </c>
      <c r="FR36" s="11">
        <v>1.1499999999999999</v>
      </c>
      <c r="FS36" s="11">
        <v>1.9100000000000001</v>
      </c>
      <c r="FT36" s="11">
        <v>1.27</v>
      </c>
      <c r="FU36" s="11">
        <v>-0.71</v>
      </c>
      <c r="FV36"/>
      <c r="FW36" t="s">
        <v>580</v>
      </c>
      <c r="FX36" t="s">
        <v>1024</v>
      </c>
      <c r="FY36">
        <v>28.5</v>
      </c>
      <c r="FZ36"/>
      <c r="GA36" t="str">
        <f t="shared" si="22"/>
        <v>TAYLTRB Index</v>
      </c>
      <c r="GB36" t="s">
        <v>1092</v>
      </c>
      <c r="GC36">
        <v>14.9</v>
      </c>
      <c r="GE36" s="43" t="str">
        <f t="shared" si="33"/>
        <v>CESITRY Index</v>
      </c>
      <c r="GJ36" s="43" t="str">
        <f t="shared" si="23"/>
        <v>CSIITRY Index</v>
      </c>
      <c r="GO36" s="43" t="s">
        <v>1186</v>
      </c>
      <c r="GP36" s="44" t="s">
        <v>1195</v>
      </c>
      <c r="GQ36" s="44">
        <v>55610</v>
      </c>
    </row>
    <row r="37" spans="1:199" x14ac:dyDescent="0.35">
      <c r="A37" s="43" t="s">
        <v>75</v>
      </c>
      <c r="B37" s="44" t="s">
        <v>76</v>
      </c>
      <c r="H37" s="50" t="s">
        <v>741</v>
      </c>
      <c r="I37" s="44">
        <v>0.22800000000000001</v>
      </c>
      <c r="K37" s="50" t="s">
        <v>804</v>
      </c>
      <c r="L37" s="44">
        <v>0.77500000000000002</v>
      </c>
      <c r="N37" s="50" t="s">
        <v>842</v>
      </c>
      <c r="O37" s="44">
        <v>1.3439999999999999</v>
      </c>
      <c r="Q37" s="50" t="s">
        <v>651</v>
      </c>
      <c r="U37" s="44" t="s">
        <v>192</v>
      </c>
      <c r="V37" s="50" t="str">
        <f t="shared" si="2"/>
        <v>PLN Curncy</v>
      </c>
      <c r="W37" s="46">
        <v>3.9420999999999999</v>
      </c>
      <c r="Y37" s="50" t="str">
        <f t="shared" si="24"/>
        <v>PLNUSD Curncy</v>
      </c>
      <c r="Z37" s="46">
        <v>0.25369999999999998</v>
      </c>
      <c r="AB37" s="46" t="str">
        <f t="shared" si="25"/>
        <v>FCUSPL</v>
      </c>
      <c r="AC37" s="48" t="str">
        <f t="shared" si="26"/>
        <v>FCUSPL Q418 INDEX</v>
      </c>
      <c r="AD37" s="48" t="s">
        <v>685</v>
      </c>
      <c r="AE37" s="46">
        <v>3.73</v>
      </c>
      <c r="AG37" s="43" t="s">
        <v>582</v>
      </c>
      <c r="AH37" s="46">
        <v>0.1</v>
      </c>
      <c r="AI37" s="46">
        <v>-1.4</v>
      </c>
      <c r="AJ37" s="46">
        <v>-1.4</v>
      </c>
      <c r="AK37" s="46">
        <v>-1.4</v>
      </c>
      <c r="AL37" s="46">
        <v>-0.4</v>
      </c>
      <c r="AN37" s="46" t="str">
        <f t="shared" si="27"/>
        <v>ECCBPL</v>
      </c>
      <c r="AO37" s="48" t="str">
        <f t="shared" ca="1" si="28"/>
        <v>ECCBPL Q321 INDEX</v>
      </c>
      <c r="AP37" s="46">
        <v>0.35</v>
      </c>
      <c r="AR37" s="48" t="str">
        <f t="shared" ca="1" si="0"/>
        <v>ECCBPL Q421 INDEX</v>
      </c>
      <c r="AS37" s="46">
        <v>0.35</v>
      </c>
      <c r="AU37" s="48" t="str">
        <f t="shared" ca="1" si="3"/>
        <v>ECCBPL Q122 INDEX</v>
      </c>
      <c r="AV37" s="46">
        <v>0.4</v>
      </c>
      <c r="AX37" s="48" t="str">
        <f t="shared" ca="1" si="4"/>
        <v>ECCBPL Q222 INDEX</v>
      </c>
      <c r="AY37" s="46">
        <v>0.35</v>
      </c>
      <c r="BA37" s="48" t="str">
        <f t="shared" ca="1" si="5"/>
        <v>ECCBPL Q322 INDEX</v>
      </c>
      <c r="BB37" s="46">
        <v>0.35</v>
      </c>
      <c r="BD37" t="s">
        <v>583</v>
      </c>
      <c r="BE37" s="48" t="s">
        <v>716</v>
      </c>
      <c r="BF37" s="46">
        <v>0.27</v>
      </c>
      <c r="BH37" s="32" t="s">
        <v>584</v>
      </c>
      <c r="BI37" s="46">
        <v>2.9</v>
      </c>
      <c r="BJ37" s="46">
        <v>0.5</v>
      </c>
      <c r="BK37" s="46">
        <v>0.3</v>
      </c>
      <c r="BL37" s="46">
        <v>-1.8</v>
      </c>
      <c r="BM37" s="46">
        <v>-0.5</v>
      </c>
      <c r="BO37" s="46" t="str">
        <f t="shared" si="29"/>
        <v>ECPIPL</v>
      </c>
      <c r="BP37" s="48" t="str">
        <f t="shared" ca="1" si="30"/>
        <v>ECPIPL Q321 INDEX</v>
      </c>
      <c r="BQ37" s="46">
        <v>3</v>
      </c>
      <c r="BS37" s="48" t="str">
        <f t="shared" ca="1" si="1"/>
        <v>ECPIPL Q421 INDEX</v>
      </c>
      <c r="BT37" s="46">
        <v>2.6</v>
      </c>
      <c r="BV37" s="48" t="str">
        <f t="shared" ca="1" si="6"/>
        <v>ECPIPL Q122 INDEX</v>
      </c>
      <c r="BW37" s="46">
        <v>2.7</v>
      </c>
      <c r="BY37" s="48" t="str">
        <f t="shared" ca="1" si="7"/>
        <v>ECPIPL Q222 INDEX</v>
      </c>
      <c r="BZ37" s="46">
        <v>2</v>
      </c>
      <c r="CB37" s="48" t="str">
        <f t="shared" ca="1" si="8"/>
        <v>ECPIPL Q322 INDEX</v>
      </c>
      <c r="CC37" s="46">
        <v>2.7</v>
      </c>
      <c r="CE37" s="48" t="str">
        <f t="shared" ca="1" si="9"/>
        <v>ECPIPL 21 INDEX</v>
      </c>
      <c r="CF37" s="46">
        <v>3</v>
      </c>
      <c r="CH37" s="48" t="str">
        <f t="shared" ca="1" si="10"/>
        <v>ECPIPL 22 INDEX</v>
      </c>
      <c r="CI37" s="46">
        <v>2.4500000000000002</v>
      </c>
      <c r="CK37" s="48" t="str">
        <f t="shared" ca="1" si="11"/>
        <v>ECPIPL 23 INDEX</v>
      </c>
      <c r="CL37" s="46">
        <v>2.5</v>
      </c>
      <c r="CN37" s="32" t="s">
        <v>581</v>
      </c>
      <c r="CO37" s="46">
        <v>2</v>
      </c>
      <c r="CP37" s="46">
        <v>3.2</v>
      </c>
      <c r="CQ37" s="46">
        <v>4</v>
      </c>
      <c r="CR37" s="46">
        <v>4.5999999999999996</v>
      </c>
      <c r="CS37" s="46">
        <v>4.8</v>
      </c>
      <c r="CU37" s="46" t="str">
        <f t="shared" si="31"/>
        <v>ECGDPL</v>
      </c>
      <c r="CV37" s="48" t="str">
        <f t="shared" ca="1" si="12"/>
        <v>ECGDPL Q321 INDEX</v>
      </c>
      <c r="CW37" s="46">
        <v>-8.4</v>
      </c>
      <c r="CY37" s="48" t="str">
        <f t="shared" ca="1" si="13"/>
        <v>ECGDPL Q421 INDEX</v>
      </c>
      <c r="CZ37" s="46">
        <v>-5.7</v>
      </c>
      <c r="DB37" s="48" t="str">
        <f t="shared" ca="1" si="14"/>
        <v>ECGDPL Q122 INDEX</v>
      </c>
      <c r="DC37" s="46">
        <v>-2</v>
      </c>
      <c r="DE37" s="48" t="str">
        <f t="shared" ca="1" si="15"/>
        <v>ECGDPL Q222 INDEX</v>
      </c>
      <c r="DF37" s="46">
        <v>0.7</v>
      </c>
      <c r="DH37" s="48" t="str">
        <f t="shared" ca="1" si="16"/>
        <v>ECGDPL Q322 INDEX</v>
      </c>
      <c r="DI37" s="46">
        <v>6.1</v>
      </c>
      <c r="DK37" s="48" t="str">
        <f t="shared" ca="1" si="17"/>
        <v>ECGDPL 21 INDEX</v>
      </c>
      <c r="DL37" s="46">
        <v>-3.8</v>
      </c>
      <c r="DN37" s="48" t="str">
        <f t="shared" ca="1" si="18"/>
        <v>ECGDPL 22 INDEX</v>
      </c>
      <c r="DO37" s="46">
        <v>3.7</v>
      </c>
      <c r="DQ37" s="48" t="str">
        <f t="shared" ca="1" si="19"/>
        <v>ECGDPL 23 INDEX</v>
      </c>
      <c r="DR37" s="46">
        <v>2.8</v>
      </c>
      <c r="DT37" t="s">
        <v>144</v>
      </c>
      <c r="DU37" s="46">
        <v>40.6</v>
      </c>
      <c r="DV37" s="46">
        <v>31.9</v>
      </c>
      <c r="DW37" s="46">
        <v>48.2</v>
      </c>
      <c r="DX37" s="46">
        <v>46.7</v>
      </c>
      <c r="DY37" s="46">
        <v>48.8</v>
      </c>
      <c r="EA37" t="s">
        <v>651</v>
      </c>
      <c r="EB37"/>
      <c r="EC37"/>
      <c r="ED37"/>
      <c r="EE37"/>
      <c r="EG37"/>
      <c r="EH37" s="13" t="s">
        <v>907</v>
      </c>
      <c r="EI37" s="11">
        <v>2.9</v>
      </c>
      <c r="EJ37" s="11">
        <v>0</v>
      </c>
      <c r="EK37" s="11">
        <v>-0.1</v>
      </c>
      <c r="EL37" s="11">
        <v>-0.1</v>
      </c>
      <c r="EM37" s="11">
        <v>-0.5</v>
      </c>
      <c r="EN37" s="11"/>
      <c r="EO37" s="13" t="str">
        <f t="shared" si="32"/>
        <v>OEPLKLAC Index</v>
      </c>
      <c r="EP37" s="13" t="s">
        <v>1152</v>
      </c>
      <c r="EQ37" s="11">
        <v>98.216300000000004</v>
      </c>
      <c r="ER37" s="11">
        <v>-0.50749999999999995</v>
      </c>
      <c r="ES37" s="11">
        <v>-0.98360000000000003</v>
      </c>
      <c r="ET37" s="11">
        <v>-1.0851999999999999</v>
      </c>
      <c r="EU37" s="11">
        <v>-1.3058000000000001</v>
      </c>
      <c r="EV37"/>
      <c r="EW37" s="13" t="s">
        <v>1037</v>
      </c>
      <c r="EX37" s="13" t="s">
        <v>1078</v>
      </c>
      <c r="EY37" s="11">
        <v>4.8600000000000003</v>
      </c>
      <c r="EZ37"/>
      <c r="FA37" t="s">
        <v>954</v>
      </c>
      <c r="FB37" s="11">
        <v>-24.6</v>
      </c>
      <c r="FC37" s="11">
        <v>-2.5</v>
      </c>
      <c r="FD37" s="11">
        <v>1.1000000000000001</v>
      </c>
      <c r="FE37" s="11">
        <v>3.7</v>
      </c>
      <c r="FF37" s="11">
        <v>9.1999999999999993</v>
      </c>
      <c r="FG37"/>
      <c r="FH37" s="33" t="s">
        <v>585</v>
      </c>
      <c r="FI37" s="46">
        <v>585.66399999999999</v>
      </c>
      <c r="FK37" t="s">
        <v>586</v>
      </c>
      <c r="FL37" t="s">
        <v>1013</v>
      </c>
      <c r="FM37" s="11">
        <v>-0.7</v>
      </c>
      <c r="FN37"/>
      <c r="FO37" s="46" t="str">
        <f t="shared" si="20"/>
        <v>EHCAPL</v>
      </c>
      <c r="FP37" t="str">
        <f t="shared" si="21"/>
        <v>EHCAPL Index</v>
      </c>
      <c r="FQ37" s="11">
        <v>1.49</v>
      </c>
      <c r="FR37" s="11">
        <v>-0.6</v>
      </c>
      <c r="FS37" s="11">
        <v>-0.28999999999999998</v>
      </c>
      <c r="FT37" s="11">
        <v>1.17</v>
      </c>
      <c r="FU37" s="11">
        <v>-1.34</v>
      </c>
      <c r="FV37"/>
      <c r="FW37" t="s">
        <v>587</v>
      </c>
      <c r="FX37" t="s">
        <v>1024</v>
      </c>
      <c r="FY37">
        <v>51.4</v>
      </c>
      <c r="FZ37"/>
      <c r="GA37" t="str">
        <f t="shared" si="22"/>
        <v>TAYLPLB Index</v>
      </c>
      <c r="GB37" t="s">
        <v>1092</v>
      </c>
      <c r="GC37">
        <v>13.3</v>
      </c>
      <c r="GE37" s="43" t="str">
        <f t="shared" si="33"/>
        <v>CESIPLN Index</v>
      </c>
      <c r="GJ37" s="43" t="str">
        <f t="shared" si="23"/>
        <v>CSIIPLN Index</v>
      </c>
      <c r="GO37" s="43" t="s">
        <v>1187</v>
      </c>
      <c r="GP37" s="44" t="s">
        <v>1195</v>
      </c>
      <c r="GQ37" s="44">
        <v>132787.70000000001</v>
      </c>
    </row>
    <row r="38" spans="1:199" x14ac:dyDescent="0.35">
      <c r="A38" s="43" t="s">
        <v>77</v>
      </c>
      <c r="B38" s="44" t="s">
        <v>78</v>
      </c>
      <c r="H38" s="50" t="s">
        <v>746</v>
      </c>
      <c r="K38" s="50" t="s">
        <v>805</v>
      </c>
      <c r="L38" s="44">
        <v>0.59299999999999997</v>
      </c>
      <c r="N38" s="50" t="s">
        <v>843</v>
      </c>
      <c r="O38" s="44">
        <v>1.325</v>
      </c>
      <c r="Q38" s="50" t="s">
        <v>651</v>
      </c>
      <c r="U38" s="44" t="s">
        <v>178</v>
      </c>
      <c r="V38" s="50" t="str">
        <f t="shared" si="2"/>
        <v>EUR Curncy</v>
      </c>
      <c r="W38" s="46">
        <v>1.1294999999999999</v>
      </c>
      <c r="Y38" s="50" t="str">
        <f t="shared" si="24"/>
        <v>EURUSD Curncy</v>
      </c>
      <c r="Z38" s="46">
        <v>1.1294999999999999</v>
      </c>
      <c r="AB38" s="46" t="str">
        <f t="shared" si="25"/>
        <v>FCUSGR</v>
      </c>
      <c r="AC38" s="48" t="s">
        <v>1270</v>
      </c>
      <c r="AG38" s="43" t="s">
        <v>387</v>
      </c>
      <c r="AH38" s="46">
        <v>0</v>
      </c>
      <c r="AI38" s="46">
        <v>0</v>
      </c>
      <c r="AJ38" s="46">
        <v>0</v>
      </c>
      <c r="AK38" s="46">
        <v>0</v>
      </c>
      <c r="AL38" s="46">
        <v>0</v>
      </c>
      <c r="AN38" s="46" t="str">
        <f t="shared" si="27"/>
        <v>ECCBGR</v>
      </c>
      <c r="AO38" s="48" t="str">
        <f t="shared" ca="1" si="28"/>
        <v>ECCBGR Q321 INDEX</v>
      </c>
      <c r="AR38" s="48" t="str">
        <f t="shared" ca="1" si="0"/>
        <v>ECCBGR Q421 INDEX</v>
      </c>
      <c r="AU38" s="48" t="str">
        <f t="shared" ca="1" si="3"/>
        <v>ECCBGR Q122 INDEX</v>
      </c>
      <c r="AX38" s="48" t="str">
        <f t="shared" ca="1" si="4"/>
        <v>ECCBGR Q222 INDEX</v>
      </c>
      <c r="BA38" s="48" t="str">
        <f t="shared" ca="1" si="5"/>
        <v>ECCBGR Q322 INDEX</v>
      </c>
      <c r="BD38" t="s">
        <v>388</v>
      </c>
      <c r="BE38" s="48" t="s">
        <v>701</v>
      </c>
      <c r="BF38" s="46">
        <v>-0.46300000000000002</v>
      </c>
      <c r="BH38" s="32" t="s">
        <v>589</v>
      </c>
      <c r="BI38" s="46">
        <v>-1.1000000000000001</v>
      </c>
      <c r="BJ38" s="46">
        <v>-1.327</v>
      </c>
      <c r="BK38" s="46">
        <v>-1.323</v>
      </c>
      <c r="BL38" s="46">
        <v>-1.329</v>
      </c>
      <c r="BM38" s="46">
        <v>0.33500000000000002</v>
      </c>
      <c r="BO38" s="46" t="str">
        <f t="shared" si="29"/>
        <v>ECPIGR</v>
      </c>
      <c r="BP38" s="48" t="str">
        <f t="shared" ca="1" si="30"/>
        <v>ECPIGR Q321 INDEX</v>
      </c>
      <c r="BQ38" s="46">
        <v>0.8</v>
      </c>
      <c r="BS38" s="48" t="str">
        <f t="shared" ca="1" si="1"/>
        <v>ECPIGR Q421 INDEX</v>
      </c>
      <c r="BV38" s="48" t="str">
        <f t="shared" ca="1" si="6"/>
        <v>ECPIGR Q122 INDEX</v>
      </c>
      <c r="BW38" s="46">
        <v>-1.1000000000000001</v>
      </c>
      <c r="BY38" s="48" t="str">
        <f t="shared" ca="1" si="7"/>
        <v>ECPIGR Q222 INDEX</v>
      </c>
      <c r="CB38" s="48" t="str">
        <f t="shared" ca="1" si="8"/>
        <v>ECPIGR Q322 INDEX</v>
      </c>
      <c r="CE38" s="48" t="str">
        <f t="shared" ca="1" si="9"/>
        <v>ECPIGR 21 INDEX</v>
      </c>
      <c r="CF38" s="46">
        <v>-0.15</v>
      </c>
      <c r="CH38" s="48" t="str">
        <f t="shared" ca="1" si="10"/>
        <v>ECPIGR 22 INDEX</v>
      </c>
      <c r="CI38" s="46">
        <v>0.8</v>
      </c>
      <c r="CK38" s="48" t="str">
        <f t="shared" ca="1" si="11"/>
        <v>ECPIGR 23 INDEX</v>
      </c>
      <c r="CN38" s="32" t="s">
        <v>588</v>
      </c>
      <c r="CO38" s="46">
        <v>-0.9</v>
      </c>
      <c r="CP38" s="46">
        <v>1</v>
      </c>
      <c r="CQ38" s="46">
        <v>2.2999999999999998</v>
      </c>
      <c r="CR38" s="46">
        <v>2.8</v>
      </c>
      <c r="CS38" s="46">
        <v>1.6</v>
      </c>
      <c r="CU38" s="46" t="str">
        <f t="shared" si="31"/>
        <v>ECGDGR</v>
      </c>
      <c r="CV38" s="48" t="str">
        <f t="shared" ca="1" si="12"/>
        <v>ECGDGR Q321 INDEX</v>
      </c>
      <c r="CW38" s="46">
        <v>-11</v>
      </c>
      <c r="CY38" s="48" t="str">
        <f t="shared" ca="1" si="13"/>
        <v>ECGDGR Q421 INDEX</v>
      </c>
      <c r="CZ38" s="46">
        <v>-7.05</v>
      </c>
      <c r="DB38" s="48" t="str">
        <f t="shared" ca="1" si="14"/>
        <v>ECGDGR Q122 INDEX</v>
      </c>
      <c r="DC38" s="46">
        <v>-4.5</v>
      </c>
      <c r="DE38" s="48" t="str">
        <f t="shared" ca="1" si="15"/>
        <v>ECGDGR Q222 INDEX</v>
      </c>
      <c r="DF38" s="46">
        <v>-0.65</v>
      </c>
      <c r="DH38" s="48" t="str">
        <f t="shared" ca="1" si="16"/>
        <v>ECGDGR Q322 INDEX</v>
      </c>
      <c r="DI38" s="46">
        <v>10.9</v>
      </c>
      <c r="DK38" s="48" t="str">
        <f t="shared" ca="1" si="17"/>
        <v>ECGDGR 21 INDEX</v>
      </c>
      <c r="DL38" s="46">
        <v>-8.4</v>
      </c>
      <c r="DN38" s="48" t="str">
        <f t="shared" ca="1" si="18"/>
        <v>ECGDGR 22 INDEX</v>
      </c>
      <c r="DO38" s="46">
        <v>5.05</v>
      </c>
      <c r="DQ38" s="48" t="str">
        <f t="shared" ca="1" si="19"/>
        <v>ECGDGR 23 INDEX</v>
      </c>
      <c r="DR38" s="46">
        <v>3.7</v>
      </c>
      <c r="DT38" t="s">
        <v>145</v>
      </c>
      <c r="DU38" s="46">
        <v>41.1</v>
      </c>
      <c r="DV38" s="46">
        <v>29.5</v>
      </c>
      <c r="DW38" s="46">
        <v>56.2</v>
      </c>
      <c r="DX38" s="46">
        <v>54.1</v>
      </c>
      <c r="DY38" s="46">
        <v>54.2</v>
      </c>
      <c r="EA38" t="s">
        <v>651</v>
      </c>
      <c r="EB38"/>
      <c r="EC38"/>
      <c r="ED38"/>
      <c r="EE38"/>
      <c r="EG38"/>
      <c r="EH38" s="13" t="s">
        <v>893</v>
      </c>
      <c r="EI38" s="11">
        <v>14.4</v>
      </c>
      <c r="EJ38" s="11">
        <v>-1.5</v>
      </c>
      <c r="EK38" s="11">
        <v>-2</v>
      </c>
      <c r="EL38" s="11">
        <v>-2.5</v>
      </c>
      <c r="EM38" s="11">
        <v>-3.7</v>
      </c>
      <c r="EN38" s="11"/>
      <c r="EO38" s="13" t="str">
        <f t="shared" si="32"/>
        <v>OEGRKLAC Index</v>
      </c>
      <c r="EP38" s="13" t="s">
        <v>1153</v>
      </c>
      <c r="EQ38" s="11">
        <v>98.920599999999993</v>
      </c>
      <c r="ER38" s="11">
        <v>-0.84440000000000004</v>
      </c>
      <c r="ES38" s="11">
        <v>-1.2019</v>
      </c>
      <c r="ET38" s="11">
        <v>-1.2267999999999999</v>
      </c>
      <c r="EU38" s="11">
        <v>-0.83409999999999995</v>
      </c>
      <c r="EV38"/>
      <c r="EW38" s="13" t="s">
        <v>1042</v>
      </c>
      <c r="EX38" s="13" t="s">
        <v>1079</v>
      </c>
      <c r="EY38" s="11">
        <v>15.68544</v>
      </c>
      <c r="EZ38"/>
      <c r="FA38" t="s">
        <v>941</v>
      </c>
      <c r="FB38" s="11">
        <v>-9.9</v>
      </c>
      <c r="FC38" s="11">
        <v>0.4</v>
      </c>
      <c r="FD38" s="11">
        <v>-0.8</v>
      </c>
      <c r="FE38" s="11">
        <v>-0.9</v>
      </c>
      <c r="FF38" s="11">
        <v>2.2999999999999998</v>
      </c>
      <c r="FG38"/>
      <c r="FH38" s="33" t="s">
        <v>590</v>
      </c>
      <c r="FI38" s="46">
        <v>218.03200000000001</v>
      </c>
      <c r="FK38" t="s">
        <v>591</v>
      </c>
      <c r="FL38" t="s">
        <v>1014</v>
      </c>
      <c r="FM38" s="11">
        <v>1.5</v>
      </c>
      <c r="FN38"/>
      <c r="FO38" s="46" t="str">
        <f t="shared" si="20"/>
        <v>EHCAGR</v>
      </c>
      <c r="FP38" t="str">
        <f t="shared" si="21"/>
        <v>EHCAGR Index</v>
      </c>
      <c r="FQ38" s="11">
        <v>-1.27</v>
      </c>
      <c r="FR38" s="11">
        <v>-1.37</v>
      </c>
      <c r="FS38" s="11">
        <v>-2.0499999999999998</v>
      </c>
      <c r="FT38" s="11">
        <v>-2.5300000000000002</v>
      </c>
      <c r="FU38" s="11">
        <v>-3.17</v>
      </c>
      <c r="FV38"/>
      <c r="FW38" t="s">
        <v>592</v>
      </c>
      <c r="FX38" t="s">
        <v>1023</v>
      </c>
      <c r="FY38"/>
      <c r="FZ38"/>
      <c r="GA38" t="str">
        <f t="shared" si="22"/>
        <v>TAYLGRB Index</v>
      </c>
      <c r="GB38" t="s">
        <v>1092</v>
      </c>
      <c r="GC38">
        <v>-1.65</v>
      </c>
      <c r="GE38" s="43" t="s">
        <v>651</v>
      </c>
      <c r="GJ38" s="43" t="s">
        <v>651</v>
      </c>
      <c r="GO38" s="43" t="s">
        <v>651</v>
      </c>
    </row>
    <row r="39" spans="1:199" x14ac:dyDescent="0.35">
      <c r="A39" s="43" t="s">
        <v>79</v>
      </c>
      <c r="B39" s="44" t="s">
        <v>80</v>
      </c>
      <c r="H39" s="50" t="s">
        <v>853</v>
      </c>
      <c r="I39" s="44">
        <v>1.1200000000000001</v>
      </c>
      <c r="K39" s="50" t="s">
        <v>852</v>
      </c>
      <c r="L39" s="44">
        <v>1.48</v>
      </c>
      <c r="N39" s="50" t="s">
        <v>851</v>
      </c>
      <c r="O39" s="44">
        <v>2.17</v>
      </c>
      <c r="Q39" s="50" t="s">
        <v>651</v>
      </c>
      <c r="U39" s="44" t="s">
        <v>201</v>
      </c>
      <c r="V39" s="50" t="str">
        <f t="shared" si="2"/>
        <v>HUF Curncy</v>
      </c>
      <c r="W39" s="46">
        <v>307.04000000000002</v>
      </c>
      <c r="Y39" s="50" t="str">
        <f t="shared" si="24"/>
        <v>HUFUSD Curncy</v>
      </c>
      <c r="Z39" s="46">
        <v>3.2599999999999999E-3</v>
      </c>
      <c r="AB39" s="46" t="str">
        <f t="shared" si="25"/>
        <v>FCUSHU</v>
      </c>
      <c r="AC39" s="48" t="str">
        <f t="shared" si="26"/>
        <v>FCUSHU Q418 INDEX</v>
      </c>
      <c r="AD39" s="48" t="s">
        <v>686</v>
      </c>
      <c r="AE39" s="46">
        <v>283</v>
      </c>
      <c r="AG39" s="43" t="s">
        <v>594</v>
      </c>
      <c r="AH39" s="46">
        <v>0.9</v>
      </c>
      <c r="AI39" s="46">
        <v>0</v>
      </c>
      <c r="AJ39" s="46">
        <v>0</v>
      </c>
      <c r="AK39" s="46">
        <v>0</v>
      </c>
      <c r="AL39" s="46">
        <v>0</v>
      </c>
      <c r="AN39" s="46" t="str">
        <f t="shared" si="27"/>
        <v>ECCBHU</v>
      </c>
      <c r="AO39" s="48" t="str">
        <f t="shared" ca="1" si="28"/>
        <v>ECCBHU Q321 INDEX</v>
      </c>
      <c r="AP39" s="46">
        <v>0.9</v>
      </c>
      <c r="AR39" s="48" t="str">
        <f t="shared" ca="1" si="0"/>
        <v>ECCBHU Q421 INDEX</v>
      </c>
      <c r="AS39" s="46">
        <v>0.9</v>
      </c>
      <c r="AU39" s="48" t="str">
        <f t="shared" ca="1" si="3"/>
        <v>ECCBHU Q122 INDEX</v>
      </c>
      <c r="AV39" s="46">
        <v>0.9</v>
      </c>
      <c r="AX39" s="48" t="str">
        <f t="shared" ca="1" si="4"/>
        <v>ECCBHU Q222 INDEX</v>
      </c>
      <c r="AY39" s="46">
        <v>0.9</v>
      </c>
      <c r="BA39" s="48" t="str">
        <f t="shared" ca="1" si="5"/>
        <v>ECCBHU Q322 INDEX</v>
      </c>
      <c r="BB39" s="46">
        <v>0.9</v>
      </c>
      <c r="BD39" t="s">
        <v>595</v>
      </c>
      <c r="BE39" s="48" t="s">
        <v>717</v>
      </c>
      <c r="BF39" s="46">
        <v>0.9</v>
      </c>
      <c r="BH39" s="32" t="s">
        <v>596</v>
      </c>
      <c r="BI39" s="46">
        <v>2.2000000000000002</v>
      </c>
      <c r="BJ39" s="46">
        <v>-1.7</v>
      </c>
      <c r="BK39" s="46">
        <v>-1.2</v>
      </c>
      <c r="BL39" s="46">
        <v>-2.2000000000000002</v>
      </c>
      <c r="BM39" s="46">
        <v>-0.2</v>
      </c>
      <c r="BO39" s="46" t="str">
        <f t="shared" si="29"/>
        <v>ECPIHU</v>
      </c>
      <c r="BP39" s="48" t="str">
        <f t="shared" ca="1" si="30"/>
        <v>ECPIHU Q321 INDEX</v>
      </c>
      <c r="BQ39" s="46">
        <v>2.75</v>
      </c>
      <c r="BS39" s="48" t="str">
        <f t="shared" ca="1" si="1"/>
        <v>ECPIHU Q421 INDEX</v>
      </c>
      <c r="BT39" s="46">
        <v>2.9</v>
      </c>
      <c r="BV39" s="48" t="str">
        <f t="shared" ca="1" si="6"/>
        <v>ECPIHU Q122 INDEX</v>
      </c>
      <c r="BW39" s="46">
        <v>2.9</v>
      </c>
      <c r="BY39" s="48" t="str">
        <f t="shared" ca="1" si="7"/>
        <v>ECPIHU Q222 INDEX</v>
      </c>
      <c r="BZ39" s="46">
        <v>2.65</v>
      </c>
      <c r="CB39" s="48" t="str">
        <f t="shared" ca="1" si="8"/>
        <v>ECPIHU Q322 INDEX</v>
      </c>
      <c r="CC39" s="46">
        <v>3.1</v>
      </c>
      <c r="CE39" s="48" t="str">
        <f t="shared" ca="1" si="9"/>
        <v>ECPIHU 21 INDEX</v>
      </c>
      <c r="CF39" s="46">
        <v>3</v>
      </c>
      <c r="CH39" s="48" t="str">
        <f t="shared" ca="1" si="10"/>
        <v>ECPIHU 22 INDEX</v>
      </c>
      <c r="CI39" s="46">
        <v>3.05</v>
      </c>
      <c r="CK39" s="48" t="str">
        <f t="shared" ca="1" si="11"/>
        <v>ECPIHU 23 INDEX</v>
      </c>
      <c r="CL39" s="46">
        <v>3</v>
      </c>
      <c r="CN39" s="32" t="s">
        <v>593</v>
      </c>
      <c r="CO39" s="46">
        <v>2.2000000000000002</v>
      </c>
      <c r="CP39" s="46">
        <v>4.5</v>
      </c>
      <c r="CQ39" s="46">
        <v>5</v>
      </c>
      <c r="CR39" s="46">
        <v>4.9000000000000004</v>
      </c>
      <c r="CS39" s="46">
        <v>5.3</v>
      </c>
      <c r="CU39" s="46" t="str">
        <f t="shared" si="31"/>
        <v>ECGDHU</v>
      </c>
      <c r="CV39" s="48" t="str">
        <f t="shared" ca="1" si="12"/>
        <v>ECGDHU Q321 INDEX</v>
      </c>
      <c r="CW39" s="46">
        <v>-7.6</v>
      </c>
      <c r="CY39" s="48" t="str">
        <f t="shared" ca="1" si="13"/>
        <v>ECGDHU Q421 INDEX</v>
      </c>
      <c r="CZ39" s="46">
        <v>-6</v>
      </c>
      <c r="DB39" s="48" t="str">
        <f t="shared" ca="1" si="14"/>
        <v>ECGDHU Q122 INDEX</v>
      </c>
      <c r="DC39" s="46">
        <v>-3.9</v>
      </c>
      <c r="DE39" s="48" t="str">
        <f t="shared" ca="1" si="15"/>
        <v>ECGDHU Q222 INDEX</v>
      </c>
      <c r="DF39" s="46">
        <v>-1.1000000000000001</v>
      </c>
      <c r="DH39" s="48" t="str">
        <f t="shared" ca="1" si="16"/>
        <v>ECGDHU Q322 INDEX</v>
      </c>
      <c r="DI39" s="46">
        <v>7</v>
      </c>
      <c r="DK39" s="48" t="str">
        <f t="shared" ca="1" si="17"/>
        <v>ECGDHU 21 INDEX</v>
      </c>
      <c r="DL39" s="46">
        <v>-4.1500000000000004</v>
      </c>
      <c r="DN39" s="48" t="str">
        <f t="shared" ca="1" si="18"/>
        <v>ECGDHU 22 INDEX</v>
      </c>
      <c r="DO39" s="46">
        <v>4</v>
      </c>
      <c r="DQ39" s="48" t="str">
        <f t="shared" ca="1" si="19"/>
        <v>ECGDHU 23 INDEX</v>
      </c>
      <c r="DR39" s="46">
        <v>3.5</v>
      </c>
      <c r="DT39" t="s">
        <v>651</v>
      </c>
      <c r="EA39" t="s">
        <v>651</v>
      </c>
      <c r="EB39"/>
      <c r="EC39"/>
      <c r="ED39"/>
      <c r="EE39"/>
      <c r="EG39"/>
      <c r="EH39" s="13" t="s">
        <v>895</v>
      </c>
      <c r="EI39" s="11">
        <v>3.7</v>
      </c>
      <c r="EJ39" s="11">
        <v>0.1</v>
      </c>
      <c r="EK39" s="11">
        <v>0.3</v>
      </c>
      <c r="EL39" s="11">
        <v>0.2</v>
      </c>
      <c r="EM39" s="11">
        <v>0.3</v>
      </c>
      <c r="EN39" s="11"/>
      <c r="EO39" s="13" t="str">
        <f t="shared" si="32"/>
        <v>OEHUKLAC Index</v>
      </c>
      <c r="EP39" s="13" t="s">
        <v>1154</v>
      </c>
      <c r="EQ39" s="11">
        <v>97.595799999999997</v>
      </c>
      <c r="ER39" s="11">
        <v>-1.7930000000000001</v>
      </c>
      <c r="ES39" s="11">
        <v>-2.1048</v>
      </c>
      <c r="ET39" s="11">
        <v>-2.1852999999999998</v>
      </c>
      <c r="EU39" s="11">
        <v>-2.3982000000000001</v>
      </c>
      <c r="EV39"/>
      <c r="EW39" s="13" t="s">
        <v>1082</v>
      </c>
      <c r="EX39" s="13" t="s">
        <v>1084</v>
      </c>
      <c r="EY39" s="11">
        <v>7.8</v>
      </c>
      <c r="EZ39"/>
      <c r="FA39" t="s">
        <v>943</v>
      </c>
      <c r="FB39" s="11">
        <v>-36.64</v>
      </c>
      <c r="FC39" s="11">
        <v>-9.99</v>
      </c>
      <c r="FD39" s="11">
        <v>2.96</v>
      </c>
      <c r="FE39" s="11">
        <v>6.45</v>
      </c>
      <c r="FF39" s="11">
        <v>6.19</v>
      </c>
      <c r="FG39"/>
      <c r="FH39" s="33" t="s">
        <v>597</v>
      </c>
      <c r="FI39" s="46">
        <v>157.88300000000001</v>
      </c>
      <c r="FK39" t="s">
        <v>598</v>
      </c>
      <c r="FL39" t="s">
        <v>1015</v>
      </c>
      <c r="FM39" s="11">
        <v>-2</v>
      </c>
      <c r="FN39"/>
      <c r="FO39" s="46" t="str">
        <f t="shared" si="20"/>
        <v>EHCAHU</v>
      </c>
      <c r="FP39" t="str">
        <f t="shared" si="21"/>
        <v>EHCAHU Index</v>
      </c>
      <c r="FQ39" s="11">
        <v>-0.85</v>
      </c>
      <c r="FR39" s="11">
        <v>-0.84</v>
      </c>
      <c r="FS39" s="11">
        <v>-0.67</v>
      </c>
      <c r="FT39" s="11">
        <v>-0.49</v>
      </c>
      <c r="FU39" s="11">
        <v>-0.02</v>
      </c>
      <c r="FV39"/>
      <c r="FW39" t="s">
        <v>599</v>
      </c>
      <c r="FX39" t="s">
        <v>1023</v>
      </c>
      <c r="FY39">
        <v>51</v>
      </c>
      <c r="FZ39"/>
      <c r="GA39" t="str">
        <f t="shared" si="22"/>
        <v>TAYLHUB Index</v>
      </c>
      <c r="GB39" t="s">
        <v>1092</v>
      </c>
      <c r="GC39">
        <v>8.23</v>
      </c>
      <c r="GE39" s="43" t="str">
        <f t="shared" si="33"/>
        <v>CESIHUF Index</v>
      </c>
      <c r="GJ39" s="43" t="str">
        <f t="shared" si="23"/>
        <v>CSIIHUF Index</v>
      </c>
      <c r="GO39" s="43" t="s">
        <v>651</v>
      </c>
    </row>
    <row r="40" spans="1:199" x14ac:dyDescent="0.35">
      <c r="A40" s="43" t="s">
        <v>81</v>
      </c>
      <c r="B40" s="44" t="s">
        <v>82</v>
      </c>
      <c r="H40" s="50" t="s">
        <v>766</v>
      </c>
      <c r="I40" s="44">
        <v>0.192</v>
      </c>
      <c r="K40" s="50" t="s">
        <v>806</v>
      </c>
      <c r="L40" s="44">
        <v>0.504</v>
      </c>
      <c r="N40" s="50" t="s">
        <v>844</v>
      </c>
      <c r="O40" s="44">
        <v>0.95399999999999996</v>
      </c>
      <c r="Q40" s="50" t="s">
        <v>651</v>
      </c>
      <c r="U40" s="44" t="s">
        <v>200</v>
      </c>
      <c r="V40" s="50" t="str">
        <f t="shared" si="2"/>
        <v>CZK Curncy</v>
      </c>
      <c r="W40" s="46">
        <v>23.662400000000002</v>
      </c>
      <c r="Y40" s="50" t="str">
        <f t="shared" si="24"/>
        <v>CZKUSD Curncy</v>
      </c>
      <c r="Z40" s="46">
        <v>4.2266999999999999E-2</v>
      </c>
      <c r="AB40" s="46" t="str">
        <f t="shared" si="25"/>
        <v>FCUSCZ</v>
      </c>
      <c r="AC40" s="48" t="str">
        <f t="shared" si="26"/>
        <v>FCUSCZ Q418 INDEX</v>
      </c>
      <c r="AD40" s="48" t="s">
        <v>687</v>
      </c>
      <c r="AE40" s="46">
        <v>22.25</v>
      </c>
      <c r="AG40" s="43" t="s">
        <v>601</v>
      </c>
      <c r="AH40" s="46">
        <v>0.25</v>
      </c>
      <c r="AI40" s="46">
        <v>-1.75</v>
      </c>
      <c r="AJ40" s="46">
        <v>-1.75</v>
      </c>
      <c r="AK40" s="46">
        <v>-2</v>
      </c>
      <c r="AL40" s="46">
        <v>0</v>
      </c>
      <c r="AN40" s="46" t="str">
        <f t="shared" si="27"/>
        <v>ECCBCZ</v>
      </c>
      <c r="AO40" s="48" t="str">
        <f t="shared" ca="1" si="28"/>
        <v>ECCBCZ Q321 INDEX</v>
      </c>
      <c r="AP40" s="46">
        <v>0.2</v>
      </c>
      <c r="AR40" s="48" t="str">
        <f t="shared" ca="1" si="0"/>
        <v>ECCBCZ Q421 INDEX</v>
      </c>
      <c r="AS40" s="46">
        <v>0.15</v>
      </c>
      <c r="AU40" s="48" t="str">
        <f t="shared" ca="1" si="3"/>
        <v>ECCBCZ Q122 INDEX</v>
      </c>
      <c r="AV40" s="46">
        <v>0.15</v>
      </c>
      <c r="AX40" s="48" t="str">
        <f t="shared" ca="1" si="4"/>
        <v>ECCBCZ Q222 INDEX</v>
      </c>
      <c r="AY40" s="46">
        <v>0.15</v>
      </c>
      <c r="BA40" s="48" t="str">
        <f t="shared" ca="1" si="5"/>
        <v>ECCBCZ Q322 INDEX</v>
      </c>
      <c r="BB40" s="46">
        <v>0.1</v>
      </c>
      <c r="BD40" t="s">
        <v>602</v>
      </c>
      <c r="BE40" s="48" t="s">
        <v>718</v>
      </c>
      <c r="BF40" s="46">
        <v>0.34</v>
      </c>
      <c r="BH40" s="13" t="s">
        <v>603</v>
      </c>
      <c r="BI40" s="46">
        <v>2.9</v>
      </c>
      <c r="BJ40" s="46">
        <v>0</v>
      </c>
      <c r="BK40" s="46">
        <v>-0.2</v>
      </c>
      <c r="BL40" s="46">
        <v>-0.8</v>
      </c>
      <c r="BM40" s="46">
        <v>-0.3</v>
      </c>
      <c r="BO40" s="46" t="str">
        <f t="shared" si="29"/>
        <v>ECPICZ</v>
      </c>
      <c r="BP40" s="48" t="str">
        <f t="shared" ca="1" si="30"/>
        <v>ECPICZ Q321 INDEX</v>
      </c>
      <c r="BQ40" s="46">
        <v>2.6</v>
      </c>
      <c r="BS40" s="48" t="str">
        <f t="shared" ca="1" si="1"/>
        <v>ECPICZ Q421 INDEX</v>
      </c>
      <c r="BT40" s="46">
        <v>2.4500000000000002</v>
      </c>
      <c r="BV40" s="48" t="str">
        <f t="shared" ca="1" si="6"/>
        <v>ECPICZ Q122 INDEX</v>
      </c>
      <c r="BW40" s="46">
        <v>2.1</v>
      </c>
      <c r="BY40" s="48" t="str">
        <f t="shared" ca="1" si="7"/>
        <v>ECPICZ Q222 INDEX</v>
      </c>
      <c r="BZ40" s="46">
        <v>1.6</v>
      </c>
      <c r="CB40" s="48" t="str">
        <f t="shared" ca="1" si="8"/>
        <v>ECPICZ Q322 INDEX</v>
      </c>
      <c r="CC40" s="46">
        <v>1.9</v>
      </c>
      <c r="CE40" s="48" t="str">
        <f t="shared" ca="1" si="9"/>
        <v>ECPICZ 21 INDEX</v>
      </c>
      <c r="CF40" s="46">
        <v>2.6</v>
      </c>
      <c r="CH40" s="48" t="str">
        <f t="shared" ca="1" si="10"/>
        <v>ECPICZ 22 INDEX</v>
      </c>
      <c r="CI40" s="46">
        <v>2</v>
      </c>
      <c r="CK40" s="48" t="str">
        <f t="shared" ca="1" si="11"/>
        <v>ECPICZ 23 INDEX</v>
      </c>
      <c r="CL40" s="46">
        <v>2.0499999999999998</v>
      </c>
      <c r="CN40" s="32" t="s">
        <v>600</v>
      </c>
      <c r="CO40" s="46">
        <v>-2</v>
      </c>
      <c r="CP40" s="46">
        <v>2</v>
      </c>
      <c r="CQ40" s="46">
        <v>2.5</v>
      </c>
      <c r="CR40" s="46">
        <v>2.7</v>
      </c>
      <c r="CS40" s="46">
        <v>2.8</v>
      </c>
      <c r="CU40" s="46" t="str">
        <f t="shared" si="31"/>
        <v>ECGDCZ</v>
      </c>
      <c r="CV40" s="48" t="str">
        <f t="shared" ca="1" si="12"/>
        <v>ECGDCZ Q321 INDEX</v>
      </c>
      <c r="CW40" s="46">
        <v>-11.3</v>
      </c>
      <c r="CY40" s="48" t="str">
        <f t="shared" ca="1" si="13"/>
        <v>ECGDCZ Q421 INDEX</v>
      </c>
      <c r="CZ40" s="46">
        <v>-7.95</v>
      </c>
      <c r="DB40" s="48" t="str">
        <f t="shared" ca="1" si="14"/>
        <v>ECGDCZ Q122 INDEX</v>
      </c>
      <c r="DC40" s="46">
        <v>-5.35</v>
      </c>
      <c r="DE40" s="48" t="str">
        <f t="shared" ca="1" si="15"/>
        <v>ECGDCZ Q222 INDEX</v>
      </c>
      <c r="DF40" s="46">
        <v>-1</v>
      </c>
      <c r="DH40" s="48" t="str">
        <f t="shared" ca="1" si="16"/>
        <v>ECGDCZ Q322 INDEX</v>
      </c>
      <c r="DI40" s="46">
        <v>7.5</v>
      </c>
      <c r="DK40" s="48" t="str">
        <f t="shared" ca="1" si="17"/>
        <v>ECGDCZ 21 INDEX</v>
      </c>
      <c r="DL40" s="46">
        <v>-6.5</v>
      </c>
      <c r="DN40" s="48" t="str">
        <f t="shared" ca="1" si="18"/>
        <v>ECGDCZ 22 INDEX</v>
      </c>
      <c r="DO40" s="46">
        <v>4.5</v>
      </c>
      <c r="DQ40" s="48" t="str">
        <f t="shared" ca="1" si="19"/>
        <v>ECGDCZ 23 INDEX</v>
      </c>
      <c r="DR40" s="46">
        <v>2.7</v>
      </c>
      <c r="DT40" t="s">
        <v>146</v>
      </c>
      <c r="DU40" s="46">
        <v>39.6</v>
      </c>
      <c r="DV40" s="46">
        <v>35.1</v>
      </c>
      <c r="DW40" s="46">
        <v>46.5</v>
      </c>
      <c r="DX40" s="46">
        <v>43.5</v>
      </c>
      <c r="DY40" s="46">
        <v>46.6</v>
      </c>
      <c r="EA40" t="s">
        <v>651</v>
      </c>
      <c r="EB40"/>
      <c r="EC40"/>
      <c r="ED40"/>
      <c r="EE40"/>
      <c r="EG40"/>
      <c r="EH40" s="13" t="s">
        <v>887</v>
      </c>
      <c r="EI40" s="11">
        <v>2.1</v>
      </c>
      <c r="EJ40" s="11">
        <v>0.1</v>
      </c>
      <c r="EK40" s="11">
        <v>0.1</v>
      </c>
      <c r="EL40" s="11">
        <v>0.1</v>
      </c>
      <c r="EM40" s="11">
        <v>0.1</v>
      </c>
      <c r="EN40" s="11"/>
      <c r="EO40" s="13" t="str">
        <f t="shared" si="32"/>
        <v>OECZKLAC Index</v>
      </c>
      <c r="EP40" s="13" t="s">
        <v>1155</v>
      </c>
      <c r="EQ40" s="11">
        <v>91.323999999999998</v>
      </c>
      <c r="ER40" s="11">
        <v>-3.3693</v>
      </c>
      <c r="ES40" s="11">
        <v>-7.4233000000000002</v>
      </c>
      <c r="ET40" s="11">
        <v>-8.2638999999999996</v>
      </c>
      <c r="EU40" s="11">
        <v>-8.7841000000000005</v>
      </c>
      <c r="EV40"/>
      <c r="EW40" s="13" t="s">
        <v>1083</v>
      </c>
      <c r="EX40" s="13" t="s">
        <v>1085</v>
      </c>
      <c r="EY40" s="11">
        <v>3.7395700000000001</v>
      </c>
      <c r="EZ40"/>
      <c r="FA40" t="s">
        <v>935</v>
      </c>
      <c r="FB40" s="11">
        <v>-33.700000000000003</v>
      </c>
      <c r="FC40" s="11">
        <v>-12.5</v>
      </c>
      <c r="FD40" s="11">
        <v>-1.3</v>
      </c>
      <c r="FE40" s="11">
        <v>-3</v>
      </c>
      <c r="FF40" s="11">
        <v>3.7</v>
      </c>
      <c r="FG40"/>
      <c r="FH40" s="33" t="s">
        <v>604</v>
      </c>
      <c r="FI40" s="46">
        <v>245.226</v>
      </c>
      <c r="FK40" t="s">
        <v>605</v>
      </c>
      <c r="FL40" t="s">
        <v>1016</v>
      </c>
      <c r="FM40" s="11">
        <v>0.3</v>
      </c>
      <c r="FN40"/>
      <c r="FO40" s="46" t="str">
        <f t="shared" si="20"/>
        <v>EHCACZ</v>
      </c>
      <c r="FP40" t="str">
        <f t="shared" si="21"/>
        <v>EHCACZ Index</v>
      </c>
      <c r="FQ40" s="11">
        <v>-0.37</v>
      </c>
      <c r="FR40" s="11">
        <v>0.39</v>
      </c>
      <c r="FS40" s="11">
        <v>0.48</v>
      </c>
      <c r="FT40" s="11">
        <v>0.08</v>
      </c>
      <c r="FU40" s="11">
        <v>0.43</v>
      </c>
      <c r="FV40"/>
      <c r="FW40" t="s">
        <v>606</v>
      </c>
      <c r="FX40" t="s">
        <v>1024</v>
      </c>
      <c r="FY40">
        <v>35.1</v>
      </c>
      <c r="FZ40"/>
      <c r="GA40" t="str">
        <f t="shared" si="22"/>
        <v>TAYLCZB Index</v>
      </c>
      <c r="GB40" t="s">
        <v>1092</v>
      </c>
      <c r="GC40">
        <v>11.17</v>
      </c>
      <c r="GE40" s="43" t="str">
        <f t="shared" si="33"/>
        <v>CESICZK Index</v>
      </c>
      <c r="GJ40" s="43" t="str">
        <f t="shared" si="23"/>
        <v>CSIICZK Index</v>
      </c>
      <c r="GO40" s="43" t="s">
        <v>1204</v>
      </c>
      <c r="GP40" s="44" t="s">
        <v>1185</v>
      </c>
      <c r="GQ40" s="44">
        <v>149.80000000000001</v>
      </c>
    </row>
    <row r="41" spans="1:199" x14ac:dyDescent="0.35">
      <c r="A41" s="43" t="s">
        <v>83</v>
      </c>
      <c r="B41" s="44" t="s">
        <v>12</v>
      </c>
      <c r="H41" s="50" t="s">
        <v>767</v>
      </c>
      <c r="I41" s="44">
        <v>3.714</v>
      </c>
      <c r="K41" s="50" t="s">
        <v>848</v>
      </c>
      <c r="L41" s="44">
        <v>5.4530000000000003</v>
      </c>
      <c r="N41" s="50" t="s">
        <v>849</v>
      </c>
      <c r="O41" s="44">
        <v>6.9260000000000002</v>
      </c>
      <c r="Q41" s="50" t="s">
        <v>1098</v>
      </c>
      <c r="R41" s="50" t="s">
        <v>1116</v>
      </c>
      <c r="S41" s="44">
        <v>3.54</v>
      </c>
      <c r="U41" s="44" t="s">
        <v>186</v>
      </c>
      <c r="V41" s="50" t="str">
        <f t="shared" si="2"/>
        <v>BRL Curncy</v>
      </c>
      <c r="W41" s="46">
        <v>4.9749999999999996</v>
      </c>
      <c r="Y41" s="50" t="str">
        <f t="shared" si="24"/>
        <v>BRLUSD Curncy</v>
      </c>
      <c r="Z41" s="46">
        <v>0.2009</v>
      </c>
      <c r="AB41" s="46" t="str">
        <f t="shared" si="25"/>
        <v>FCUSBR</v>
      </c>
      <c r="AC41" s="48" t="str">
        <f t="shared" si="26"/>
        <v>FCUSBR Q418 INDEX</v>
      </c>
      <c r="AD41" s="48" t="s">
        <v>688</v>
      </c>
      <c r="AE41" s="46">
        <v>3.7800000000000002</v>
      </c>
      <c r="AG41" s="43" t="s">
        <v>608</v>
      </c>
      <c r="AH41" s="46">
        <v>3</v>
      </c>
      <c r="AI41" s="46">
        <v>-3.5</v>
      </c>
      <c r="AJ41" s="46">
        <v>-2</v>
      </c>
      <c r="AK41" s="46">
        <v>-1.25</v>
      </c>
      <c r="AL41" s="46">
        <v>-0.75</v>
      </c>
      <c r="AN41" s="46" t="str">
        <f t="shared" si="27"/>
        <v>ECCBBR</v>
      </c>
      <c r="AO41" s="48" t="str">
        <f t="shared" ca="1" si="28"/>
        <v>ECCBBR Q321 INDEX</v>
      </c>
      <c r="AP41" s="46">
        <v>2.2999999999999998</v>
      </c>
      <c r="AR41" s="48" t="str">
        <f t="shared" ca="1" si="0"/>
        <v>ECCBBR Q421 INDEX</v>
      </c>
      <c r="AS41" s="46">
        <v>2.25</v>
      </c>
      <c r="AU41" s="48" t="str">
        <f t="shared" ca="1" si="3"/>
        <v>ECCBBR Q122 INDEX</v>
      </c>
      <c r="AV41" s="46">
        <v>2.25</v>
      </c>
      <c r="AX41" s="48" t="str">
        <f t="shared" ca="1" si="4"/>
        <v>ECCBBR Q222 INDEX</v>
      </c>
      <c r="AY41" s="46">
        <v>2.35</v>
      </c>
      <c r="BA41" s="48" t="str">
        <f t="shared" ca="1" si="5"/>
        <v>ECCBBR Q322 INDEX</v>
      </c>
      <c r="BB41" s="46">
        <v>2.5</v>
      </c>
      <c r="BD41" t="s">
        <v>609</v>
      </c>
      <c r="BE41" s="48" t="s">
        <v>719</v>
      </c>
      <c r="BF41" s="46">
        <v>2.2471999999999999</v>
      </c>
      <c r="BH41" s="32" t="s">
        <v>610</v>
      </c>
      <c r="BI41" s="46">
        <v>1.88</v>
      </c>
      <c r="BJ41" s="46">
        <v>-2.7800000000000002</v>
      </c>
      <c r="BK41" s="46">
        <v>-1.3900000000000001</v>
      </c>
      <c r="BL41" s="46">
        <v>-2.13</v>
      </c>
      <c r="BM41" s="46">
        <v>-0.52</v>
      </c>
      <c r="BO41" s="46" t="str">
        <f t="shared" si="29"/>
        <v>ECPIBR</v>
      </c>
      <c r="BP41" s="48" t="str">
        <f t="shared" ca="1" si="30"/>
        <v>ECPIBR Q321 INDEX</v>
      </c>
      <c r="BQ41" s="46">
        <v>2.08</v>
      </c>
      <c r="BS41" s="48" t="str">
        <f t="shared" ca="1" si="1"/>
        <v>ECPIBR Q421 INDEX</v>
      </c>
      <c r="BT41" s="46">
        <v>2.4900000000000002</v>
      </c>
      <c r="BV41" s="48" t="str">
        <f t="shared" ca="1" si="6"/>
        <v>ECPIBR Q122 INDEX</v>
      </c>
      <c r="BW41" s="46">
        <v>1.8</v>
      </c>
      <c r="BY41" s="48" t="str">
        <f t="shared" ca="1" si="7"/>
        <v>ECPIBR Q222 INDEX</v>
      </c>
      <c r="BZ41" s="46">
        <v>2.2800000000000002</v>
      </c>
      <c r="CB41" s="48" t="str">
        <f t="shared" ca="1" si="8"/>
        <v>ECPIBR Q322 INDEX</v>
      </c>
      <c r="CC41" s="46">
        <v>3.46</v>
      </c>
      <c r="CE41" s="48" t="str">
        <f t="shared" ca="1" si="9"/>
        <v>ECPIBR 21 INDEX</v>
      </c>
      <c r="CF41" s="46">
        <v>2.5</v>
      </c>
      <c r="CH41" s="48" t="str">
        <f t="shared" ca="1" si="10"/>
        <v>ECPIBR 22 INDEX</v>
      </c>
      <c r="CI41" s="46">
        <v>3.1</v>
      </c>
      <c r="CK41" s="48" t="str">
        <f t="shared" ca="1" si="11"/>
        <v>ECPIBR 23 INDEX</v>
      </c>
      <c r="CL41" s="46">
        <v>3.5</v>
      </c>
      <c r="CN41" s="32" t="s">
        <v>607</v>
      </c>
      <c r="CO41" s="46">
        <v>-0.25</v>
      </c>
      <c r="CP41" s="46">
        <v>1.67</v>
      </c>
      <c r="CQ41" s="46">
        <v>1.19</v>
      </c>
      <c r="CR41" s="46">
        <v>1.08</v>
      </c>
      <c r="CS41" s="46">
        <v>0.59</v>
      </c>
      <c r="CU41" s="46" t="str">
        <f t="shared" si="31"/>
        <v>ECGDBR</v>
      </c>
      <c r="CV41" s="48" t="str">
        <f t="shared" ca="1" si="12"/>
        <v>ECGDBR Q321 INDEX</v>
      </c>
      <c r="CW41" s="46">
        <v>-11.5</v>
      </c>
      <c r="CY41" s="48" t="str">
        <f t="shared" ca="1" si="13"/>
        <v>ECGDBR Q421 INDEX</v>
      </c>
      <c r="CZ41" s="46">
        <v>-6.4</v>
      </c>
      <c r="DB41" s="48" t="str">
        <f t="shared" ca="1" si="14"/>
        <v>ECGDBR Q122 INDEX</v>
      </c>
      <c r="DC41" s="46">
        <v>-3.5</v>
      </c>
      <c r="DE41" s="48" t="str">
        <f t="shared" ca="1" si="15"/>
        <v>ECGDBR Q222 INDEX</v>
      </c>
      <c r="DF41" s="46">
        <v>-0.5</v>
      </c>
      <c r="DH41" s="48" t="str">
        <f t="shared" ca="1" si="16"/>
        <v>ECGDBR Q322 INDEX</v>
      </c>
      <c r="DI41" s="46">
        <v>8.4499999999999993</v>
      </c>
      <c r="DK41" s="48" t="str">
        <f t="shared" ca="1" si="17"/>
        <v>ECGDBR 21 INDEX</v>
      </c>
      <c r="DL41" s="46">
        <v>-6</v>
      </c>
      <c r="DN41" s="48" t="str">
        <f t="shared" ca="1" si="18"/>
        <v>ECGDBR 22 INDEX</v>
      </c>
      <c r="DO41" s="46">
        <v>3.2</v>
      </c>
      <c r="DQ41" s="48" t="str">
        <f t="shared" ca="1" si="19"/>
        <v>ECGDBR 23 INDEX</v>
      </c>
      <c r="DR41" s="46">
        <v>2.5</v>
      </c>
      <c r="DT41" t="s">
        <v>147</v>
      </c>
      <c r="DU41" s="46">
        <v>38.299999999999997</v>
      </c>
      <c r="DV41" s="46">
        <v>36</v>
      </c>
      <c r="DW41" s="46">
        <v>52.3</v>
      </c>
      <c r="DX41" s="46">
        <v>52.9</v>
      </c>
      <c r="DY41" s="46">
        <v>50.2</v>
      </c>
      <c r="EA41" t="s">
        <v>148</v>
      </c>
      <c r="EB41">
        <v>27.6</v>
      </c>
      <c r="EC41">
        <v>27.4</v>
      </c>
      <c r="ED41">
        <v>50.4</v>
      </c>
      <c r="EE41">
        <v>50.9</v>
      </c>
      <c r="EF41" s="46">
        <v>47.8</v>
      </c>
      <c r="EG41"/>
      <c r="EH41" s="13" t="s">
        <v>882</v>
      </c>
      <c r="EI41" s="11">
        <v>12.6</v>
      </c>
      <c r="EJ41" s="11">
        <v>0.4</v>
      </c>
      <c r="EK41" s="11">
        <v>1.4</v>
      </c>
      <c r="EL41" s="11">
        <v>1</v>
      </c>
      <c r="EM41" s="11">
        <v>0.1</v>
      </c>
      <c r="EN41" s="11"/>
      <c r="EO41" s="13" t="str">
        <f t="shared" si="32"/>
        <v>OEBRKLAC Index</v>
      </c>
      <c r="EP41" s="13" t="s">
        <v>1156</v>
      </c>
      <c r="EQ41" s="11">
        <v>96.810400000000001</v>
      </c>
      <c r="ER41" s="11">
        <v>-3.6288</v>
      </c>
      <c r="ES41" s="11">
        <v>-6.0143000000000004</v>
      </c>
      <c r="ET41" s="11">
        <v>-5.8655999999999997</v>
      </c>
      <c r="EU41" s="11">
        <v>-5.3611000000000004</v>
      </c>
      <c r="EV41"/>
      <c r="EW41" s="13" t="s">
        <v>651</v>
      </c>
      <c r="EX41" s="13"/>
      <c r="EY41" s="11"/>
      <c r="EZ41"/>
      <c r="FA41" t="s">
        <v>930</v>
      </c>
      <c r="FB41" s="11">
        <v>-27.2</v>
      </c>
      <c r="FC41" s="11">
        <v>-3.8</v>
      </c>
      <c r="FD41" s="11">
        <v>-0.9</v>
      </c>
      <c r="FE41" s="11">
        <v>1.3</v>
      </c>
      <c r="FF41" s="11">
        <v>-3.6</v>
      </c>
      <c r="FG41"/>
      <c r="FH41" s="33" t="s">
        <v>611</v>
      </c>
      <c r="FI41" s="46">
        <v>1885.4829999999999</v>
      </c>
      <c r="FK41" t="s">
        <v>612</v>
      </c>
      <c r="FL41" t="s">
        <v>1017</v>
      </c>
      <c r="FM41" s="11">
        <v>7.48</v>
      </c>
      <c r="FN41"/>
      <c r="FO41" s="46" t="str">
        <f t="shared" si="20"/>
        <v>EHCABR</v>
      </c>
      <c r="FP41" t="str">
        <f t="shared" si="21"/>
        <v>EHCABR Index</v>
      </c>
      <c r="FQ41" s="11">
        <v>-2.7800000000000002</v>
      </c>
      <c r="FR41" s="11">
        <v>-2.65</v>
      </c>
      <c r="FS41" s="11">
        <v>-2.5</v>
      </c>
      <c r="FT41" s="11">
        <v>-2.41</v>
      </c>
      <c r="FU41" s="11">
        <v>-2.3199999999999998</v>
      </c>
      <c r="FV41"/>
      <c r="FW41" t="s">
        <v>613</v>
      </c>
      <c r="FX41" t="s">
        <v>1023</v>
      </c>
      <c r="FY41">
        <v>64.55</v>
      </c>
      <c r="FZ41"/>
      <c r="GA41" t="str">
        <f t="shared" si="22"/>
        <v>TAYLBRB Index</v>
      </c>
      <c r="GB41" t="s">
        <v>1092</v>
      </c>
      <c r="GC41">
        <v>1.75</v>
      </c>
      <c r="GE41" s="43" t="str">
        <f t="shared" si="33"/>
        <v>CESIBRL Index</v>
      </c>
      <c r="GJ41" s="43" t="str">
        <f t="shared" si="23"/>
        <v>CSIIBRL Index</v>
      </c>
      <c r="GO41" s="43" t="s">
        <v>1188</v>
      </c>
      <c r="GP41" s="44" t="s">
        <v>1196</v>
      </c>
      <c r="GQ41" s="44">
        <v>348357</v>
      </c>
    </row>
    <row r="42" spans="1:199" x14ac:dyDescent="0.35">
      <c r="A42" s="43" t="s">
        <v>84</v>
      </c>
      <c r="B42" s="44" t="s">
        <v>85</v>
      </c>
      <c r="H42" s="50" t="s">
        <v>768</v>
      </c>
      <c r="I42" s="44">
        <v>4.9390000000000001</v>
      </c>
      <c r="K42" s="50" t="s">
        <v>807</v>
      </c>
      <c r="L42" s="44">
        <v>5.1710000000000003</v>
      </c>
      <c r="N42" s="50" t="s">
        <v>850</v>
      </c>
      <c r="O42" s="44">
        <v>6.0549999999999997</v>
      </c>
      <c r="Q42" s="50" t="s">
        <v>1099</v>
      </c>
      <c r="R42" s="50" t="s">
        <v>1117</v>
      </c>
      <c r="S42" s="44">
        <v>3.6970000000000001</v>
      </c>
      <c r="U42" s="44" t="s">
        <v>190</v>
      </c>
      <c r="V42" s="50" t="str">
        <f t="shared" si="2"/>
        <v>MXN Curncy</v>
      </c>
      <c r="W42" s="46">
        <v>22.579899999999999</v>
      </c>
      <c r="Y42" s="50" t="str">
        <f t="shared" si="24"/>
        <v>MXNUSD Curncy</v>
      </c>
      <c r="Z42" s="46">
        <v>4.428E-2</v>
      </c>
      <c r="AB42" s="46" t="str">
        <f t="shared" si="25"/>
        <v>FCUSMX</v>
      </c>
      <c r="AC42" s="48" t="str">
        <f t="shared" si="26"/>
        <v>FCUSMX Q418 INDEX</v>
      </c>
      <c r="AD42" s="48" t="s">
        <v>689</v>
      </c>
      <c r="AE42" s="46">
        <v>19.5</v>
      </c>
      <c r="AG42" s="43" t="s">
        <v>615</v>
      </c>
      <c r="AH42" s="46">
        <v>5.5</v>
      </c>
      <c r="AI42" s="46">
        <v>-2.75</v>
      </c>
      <c r="AJ42" s="46">
        <v>-2</v>
      </c>
      <c r="AK42" s="46">
        <v>-1.5</v>
      </c>
      <c r="AL42" s="46">
        <v>-0.5</v>
      </c>
      <c r="AN42" s="46" t="str">
        <f t="shared" si="27"/>
        <v>ECCBMX</v>
      </c>
      <c r="AO42" s="48" t="str">
        <f t="shared" ca="1" si="28"/>
        <v>ECCBMX Q321 INDEX</v>
      </c>
      <c r="AP42" s="46">
        <v>5</v>
      </c>
      <c r="AR42" s="48" t="str">
        <f t="shared" ca="1" si="0"/>
        <v>ECCBMX Q421 INDEX</v>
      </c>
      <c r="AS42" s="46">
        <v>4.5</v>
      </c>
      <c r="AU42" s="48" t="str">
        <f t="shared" ca="1" si="3"/>
        <v>ECCBMX Q122 INDEX</v>
      </c>
      <c r="AV42" s="46">
        <v>4.3</v>
      </c>
      <c r="AX42" s="48" t="str">
        <f t="shared" ca="1" si="4"/>
        <v>ECCBMX Q222 INDEX</v>
      </c>
      <c r="AY42" s="46">
        <v>4.3499999999999996</v>
      </c>
      <c r="BA42" s="48" t="str">
        <f t="shared" ca="1" si="5"/>
        <v>ECCBMX Q322 INDEX</v>
      </c>
      <c r="BB42" s="46">
        <v>4.1500000000000004</v>
      </c>
      <c r="BD42" t="s">
        <v>616</v>
      </c>
      <c r="BE42" s="48" t="s">
        <v>720</v>
      </c>
      <c r="BF42" s="46">
        <v>5.681</v>
      </c>
      <c r="BH42" s="32" t="s">
        <v>617</v>
      </c>
      <c r="BI42" s="46">
        <v>2.84</v>
      </c>
      <c r="BJ42" s="46">
        <v>-1.44</v>
      </c>
      <c r="BK42" s="46">
        <v>-0.13</v>
      </c>
      <c r="BL42" s="46">
        <v>-0.86</v>
      </c>
      <c r="BM42" s="46">
        <v>0.69</v>
      </c>
      <c r="BO42" s="46" t="str">
        <f t="shared" si="29"/>
        <v>ECPIMX</v>
      </c>
      <c r="BP42" s="48" t="str">
        <f t="shared" ca="1" si="30"/>
        <v>ECPIMX Q321 INDEX</v>
      </c>
      <c r="BQ42" s="46">
        <v>2.79</v>
      </c>
      <c r="BS42" s="48" t="str">
        <f t="shared" ca="1" si="1"/>
        <v>ECPIMX Q421 INDEX</v>
      </c>
      <c r="BT42" s="46">
        <v>3</v>
      </c>
      <c r="BV42" s="48" t="str">
        <f t="shared" ca="1" si="6"/>
        <v>ECPIMX Q122 INDEX</v>
      </c>
      <c r="BW42" s="46">
        <v>3</v>
      </c>
      <c r="BY42" s="48" t="str">
        <f t="shared" ca="1" si="7"/>
        <v>ECPIMX Q222 INDEX</v>
      </c>
      <c r="BZ42" s="46">
        <v>3.13</v>
      </c>
      <c r="CB42" s="48" t="str">
        <f t="shared" ca="1" si="8"/>
        <v>ECPIMX Q322 INDEX</v>
      </c>
      <c r="CC42" s="46">
        <v>3.6</v>
      </c>
      <c r="CE42" s="48" t="str">
        <f t="shared" ca="1" si="9"/>
        <v>ECPIMX 21 INDEX</v>
      </c>
      <c r="CF42" s="46">
        <v>2.9</v>
      </c>
      <c r="CH42" s="48" t="str">
        <f t="shared" ca="1" si="10"/>
        <v>ECPIMX 22 INDEX</v>
      </c>
      <c r="CI42" s="46">
        <v>3.3</v>
      </c>
      <c r="CK42" s="48" t="str">
        <f t="shared" ca="1" si="11"/>
        <v>ECPIMX 23 INDEX</v>
      </c>
      <c r="CL42" s="46">
        <v>3.45</v>
      </c>
      <c r="CN42" s="32" t="s">
        <v>614</v>
      </c>
      <c r="CO42" s="46">
        <v>-1.37</v>
      </c>
      <c r="CP42" s="46">
        <v>-0.73</v>
      </c>
      <c r="CQ42" s="46">
        <v>-0.42</v>
      </c>
      <c r="CR42" s="46">
        <v>-1.1499999999999999</v>
      </c>
      <c r="CS42" s="46">
        <v>1.1299999999999999</v>
      </c>
      <c r="CU42" s="46" t="str">
        <f t="shared" si="31"/>
        <v>ECGDMX</v>
      </c>
      <c r="CV42" s="48" t="str">
        <f t="shared" ca="1" si="12"/>
        <v>ECGDMX Q321 INDEX</v>
      </c>
      <c r="CW42" s="46">
        <v>-13</v>
      </c>
      <c r="CY42" s="48" t="str">
        <f t="shared" ca="1" si="13"/>
        <v>ECGDMX Q421 INDEX</v>
      </c>
      <c r="CZ42" s="46">
        <v>-8.6999999999999993</v>
      </c>
      <c r="DB42" s="48" t="str">
        <f t="shared" ca="1" si="14"/>
        <v>ECGDMX Q122 INDEX</v>
      </c>
      <c r="DC42" s="46">
        <v>-5.48</v>
      </c>
      <c r="DE42" s="48" t="str">
        <f t="shared" ca="1" si="15"/>
        <v>ECGDMX Q222 INDEX</v>
      </c>
      <c r="DF42" s="46">
        <v>-3.25</v>
      </c>
      <c r="DH42" s="48" t="str">
        <f t="shared" ca="1" si="16"/>
        <v>ECGDMX Q322 INDEX</v>
      </c>
      <c r="DI42" s="46">
        <v>8.2899999999999991</v>
      </c>
      <c r="DK42" s="48" t="str">
        <f t="shared" ca="1" si="17"/>
        <v>ECGDMX 21 INDEX</v>
      </c>
      <c r="DL42" s="46">
        <v>-7.6</v>
      </c>
      <c r="DN42" s="48" t="str">
        <f t="shared" ca="1" si="18"/>
        <v>ECGDMX 22 INDEX</v>
      </c>
      <c r="DO42" s="46">
        <v>2.2000000000000002</v>
      </c>
      <c r="DQ42" s="48" t="str">
        <f t="shared" ca="1" si="19"/>
        <v>ECGDMX 23 INDEX</v>
      </c>
      <c r="DR42" s="46">
        <v>2</v>
      </c>
      <c r="DT42" t="s">
        <v>150</v>
      </c>
      <c r="DU42" s="46">
        <v>38.299999999999997</v>
      </c>
      <c r="DV42" s="46">
        <v>35</v>
      </c>
      <c r="DW42" s="46">
        <v>50</v>
      </c>
      <c r="DX42" s="46">
        <v>48</v>
      </c>
      <c r="DY42" s="46">
        <v>50</v>
      </c>
      <c r="EA42" t="s">
        <v>651</v>
      </c>
      <c r="EH42" s="48" t="s">
        <v>902</v>
      </c>
      <c r="EI42" s="46">
        <v>3.26</v>
      </c>
      <c r="EJ42" s="46">
        <v>-0.44</v>
      </c>
      <c r="EK42" s="46">
        <v>0.11</v>
      </c>
      <c r="EL42" s="46">
        <v>-0.26</v>
      </c>
      <c r="EM42" s="46">
        <v>-0.34</v>
      </c>
      <c r="EO42" s="13" t="str">
        <f t="shared" si="32"/>
        <v>OEMXKLAC Index</v>
      </c>
      <c r="EP42" s="48" t="s">
        <v>1157</v>
      </c>
      <c r="EQ42" s="46">
        <v>99.612200000000001</v>
      </c>
      <c r="ER42" s="46">
        <v>0.30840000000000001</v>
      </c>
      <c r="ES42" s="46">
        <v>-0.26579999999999998</v>
      </c>
      <c r="ET42" s="46">
        <v>0.28639999999999999</v>
      </c>
      <c r="EU42" s="46">
        <v>0.13189999999999999</v>
      </c>
      <c r="EW42" s="13" t="s">
        <v>1051</v>
      </c>
      <c r="EX42" s="48" t="s">
        <v>1080</v>
      </c>
      <c r="EY42" s="46">
        <v>3.9638299999999997</v>
      </c>
      <c r="FA42" s="46" t="s">
        <v>950</v>
      </c>
      <c r="FB42" s="46">
        <v>-29.26</v>
      </c>
      <c r="FC42" s="46">
        <v>-4.9000000000000004</v>
      </c>
      <c r="FD42" s="46">
        <v>-1.62</v>
      </c>
      <c r="FE42" s="46">
        <v>-2.96</v>
      </c>
      <c r="FF42" s="46">
        <v>-2.93</v>
      </c>
      <c r="FH42" s="33" t="s">
        <v>618</v>
      </c>
      <c r="FI42" s="46">
        <v>1220.6990000000001</v>
      </c>
      <c r="FK42" t="s">
        <v>619</v>
      </c>
      <c r="FL42" t="s">
        <v>1018</v>
      </c>
      <c r="FM42" s="11">
        <v>-1.35</v>
      </c>
      <c r="FN42"/>
      <c r="FO42" s="46" t="str">
        <f t="shared" si="20"/>
        <v>EHCAMX</v>
      </c>
      <c r="FP42" t="str">
        <f t="shared" si="21"/>
        <v>EHCAMX Index</v>
      </c>
      <c r="FQ42" s="11">
        <v>-0.36</v>
      </c>
      <c r="FR42" s="11">
        <v>-0.91</v>
      </c>
      <c r="FS42" s="11">
        <v>-1.37</v>
      </c>
      <c r="FT42" s="11">
        <v>-2.0499999999999998</v>
      </c>
      <c r="FU42" s="11">
        <v>-2.02</v>
      </c>
      <c r="FV42"/>
      <c r="FW42" t="s">
        <v>620</v>
      </c>
      <c r="FX42" t="s">
        <v>1023</v>
      </c>
      <c r="FY42">
        <v>46.79</v>
      </c>
      <c r="FZ42"/>
      <c r="GA42" t="str">
        <f t="shared" si="22"/>
        <v>TAYLMXB Index</v>
      </c>
      <c r="GB42" t="s">
        <v>1092</v>
      </c>
      <c r="GC42">
        <v>7.04</v>
      </c>
      <c r="GE42" s="43" t="str">
        <f t="shared" si="33"/>
        <v>CESIMXN Index</v>
      </c>
      <c r="GJ42" s="43" t="str">
        <f t="shared" si="23"/>
        <v>CSIIMXN Index</v>
      </c>
      <c r="GO42" s="43" t="s">
        <v>1189</v>
      </c>
      <c r="GP42" s="44" t="s">
        <v>1195</v>
      </c>
      <c r="GQ42" s="44">
        <v>187247</v>
      </c>
    </row>
    <row r="43" spans="1:199" x14ac:dyDescent="0.35">
      <c r="A43" s="43" t="s">
        <v>86</v>
      </c>
      <c r="B43" s="44" t="s">
        <v>87</v>
      </c>
      <c r="H43" s="50" t="s">
        <v>769</v>
      </c>
      <c r="I43" s="44">
        <v>0.54</v>
      </c>
      <c r="K43" s="50" t="s">
        <v>808</v>
      </c>
      <c r="L43" s="44">
        <v>1.55</v>
      </c>
      <c r="N43" s="50" t="s">
        <v>845</v>
      </c>
      <c r="O43" s="44">
        <v>2.52</v>
      </c>
      <c r="Q43" s="50" t="s">
        <v>651</v>
      </c>
      <c r="U43" s="44" t="s">
        <v>185</v>
      </c>
      <c r="V43" s="50" t="str">
        <f t="shared" si="2"/>
        <v>CLP Curncy</v>
      </c>
      <c r="W43" s="46">
        <v>787.43</v>
      </c>
      <c r="Y43" s="50" t="str">
        <f t="shared" si="24"/>
        <v>CLPUSD Curncy</v>
      </c>
      <c r="Z43" s="46">
        <v>0.12658</v>
      </c>
      <c r="AB43" s="46" t="str">
        <f t="shared" si="25"/>
        <v>FCUSCL</v>
      </c>
      <c r="AC43" s="48" t="str">
        <f t="shared" si="26"/>
        <v>FCUSCL Q418 INDEX</v>
      </c>
      <c r="AD43" s="48" t="s">
        <v>690</v>
      </c>
      <c r="AE43" s="46">
        <v>680</v>
      </c>
      <c r="AG43" s="43" t="s">
        <v>622</v>
      </c>
      <c r="AH43" s="46">
        <v>0.5</v>
      </c>
      <c r="AI43" s="46">
        <v>-2</v>
      </c>
      <c r="AJ43" s="46">
        <v>-1.25</v>
      </c>
      <c r="AK43" s="46">
        <v>-1.25</v>
      </c>
      <c r="AL43" s="46">
        <v>0</v>
      </c>
      <c r="AN43" s="46" t="str">
        <f t="shared" si="27"/>
        <v>ECCBCL</v>
      </c>
      <c r="AO43" s="48" t="str">
        <f t="shared" ca="1" si="28"/>
        <v>ECCBCL Q321 INDEX</v>
      </c>
      <c r="AP43" s="46">
        <v>0.5</v>
      </c>
      <c r="AR43" s="48" t="str">
        <f t="shared" ca="1" si="0"/>
        <v>ECCBCL Q421 INDEX</v>
      </c>
      <c r="AS43" s="46">
        <v>0.5</v>
      </c>
      <c r="AU43" s="48" t="str">
        <f t="shared" ca="1" si="3"/>
        <v>ECCBCL Q122 INDEX</v>
      </c>
      <c r="AV43" s="46">
        <v>0.45</v>
      </c>
      <c r="AX43" s="48" t="str">
        <f t="shared" ca="1" si="4"/>
        <v>ECCBCL Q222 INDEX</v>
      </c>
      <c r="AY43" s="46">
        <v>0.6</v>
      </c>
      <c r="BA43" s="48" t="str">
        <f t="shared" ca="1" si="5"/>
        <v>ECCBCL Q322 INDEX</v>
      </c>
      <c r="BB43" s="46">
        <v>0.65</v>
      </c>
      <c r="BD43" t="s">
        <v>623</v>
      </c>
      <c r="BE43" s="48" t="s">
        <v>721</v>
      </c>
      <c r="BF43" s="46">
        <v>3.5</v>
      </c>
      <c r="BH43" s="32" t="s">
        <v>624</v>
      </c>
      <c r="BI43" s="46">
        <v>2.75</v>
      </c>
      <c r="BJ43" s="46">
        <v>-0.01</v>
      </c>
      <c r="BK43" s="46">
        <v>-0.04</v>
      </c>
      <c r="BL43" s="46">
        <v>-1.1400000000000001</v>
      </c>
      <c r="BM43" s="46">
        <v>-0.67</v>
      </c>
      <c r="BO43" s="46" t="str">
        <f t="shared" si="29"/>
        <v>ECPICL</v>
      </c>
      <c r="BP43" s="48" t="str">
        <f t="shared" ca="1" si="30"/>
        <v>ECPICL Q321 INDEX</v>
      </c>
      <c r="BQ43" s="46">
        <v>2.9</v>
      </c>
      <c r="BS43" s="48" t="str">
        <f t="shared" ca="1" si="1"/>
        <v>ECPICL Q421 INDEX</v>
      </c>
      <c r="BT43" s="46">
        <v>3.05</v>
      </c>
      <c r="BV43" s="48" t="str">
        <f t="shared" ca="1" si="6"/>
        <v>ECPICL Q122 INDEX</v>
      </c>
      <c r="BW43" s="46">
        <v>2.75</v>
      </c>
      <c r="BY43" s="48" t="str">
        <f t="shared" ca="1" si="7"/>
        <v>ECPICL Q222 INDEX</v>
      </c>
      <c r="BZ43" s="46">
        <v>2.4</v>
      </c>
      <c r="CB43" s="48" t="str">
        <f t="shared" ca="1" si="8"/>
        <v>ECPICL Q322 INDEX</v>
      </c>
      <c r="CC43" s="46">
        <v>2.8</v>
      </c>
      <c r="CE43" s="48" t="str">
        <f t="shared" ca="1" si="9"/>
        <v>ECPICL 21 INDEX</v>
      </c>
      <c r="CF43" s="46">
        <v>3.1</v>
      </c>
      <c r="CH43" s="48" t="str">
        <f t="shared" ca="1" si="10"/>
        <v>ECPICL 22 INDEX</v>
      </c>
      <c r="CI43" s="46">
        <v>3</v>
      </c>
      <c r="CK43" s="48" t="str">
        <f t="shared" ca="1" si="11"/>
        <v>ECPICL 23 INDEX</v>
      </c>
      <c r="CL43" s="46">
        <v>3</v>
      </c>
      <c r="CN43" s="32" t="s">
        <v>621</v>
      </c>
      <c r="CO43" s="46">
        <v>0.36</v>
      </c>
      <c r="CP43" s="46">
        <v>-2.14</v>
      </c>
      <c r="CQ43" s="46">
        <v>3.4</v>
      </c>
      <c r="CR43" s="46">
        <v>1.8</v>
      </c>
      <c r="CS43" s="46">
        <v>1.44</v>
      </c>
      <c r="CU43" s="46" t="str">
        <f t="shared" si="31"/>
        <v>ECGDCL</v>
      </c>
      <c r="CV43" s="48" t="str">
        <f t="shared" ca="1" si="12"/>
        <v>ECGDCL Q321 INDEX</v>
      </c>
      <c r="CW43" s="46">
        <v>-9.6</v>
      </c>
      <c r="CY43" s="48" t="str">
        <f t="shared" ca="1" si="13"/>
        <v>ECGDCL Q421 INDEX</v>
      </c>
      <c r="CZ43" s="46">
        <v>-6</v>
      </c>
      <c r="DB43" s="48" t="str">
        <f t="shared" ca="1" si="14"/>
        <v>ECGDCL Q122 INDEX</v>
      </c>
      <c r="DC43" s="46">
        <v>0</v>
      </c>
      <c r="DE43" s="48" t="str">
        <f t="shared" ca="1" si="15"/>
        <v>ECGDCL Q222 INDEX</v>
      </c>
      <c r="DF43" s="46">
        <v>-0.2</v>
      </c>
      <c r="DH43" s="48" t="str">
        <f t="shared" ca="1" si="16"/>
        <v>ECGDCL Q322 INDEX</v>
      </c>
      <c r="DI43" s="46">
        <v>6.9</v>
      </c>
      <c r="DK43" s="48" t="str">
        <f t="shared" ca="1" si="17"/>
        <v>ECGDCL 21 INDEX</v>
      </c>
      <c r="DL43" s="46">
        <v>-3.95</v>
      </c>
      <c r="DN43" s="48" t="str">
        <f t="shared" ca="1" si="18"/>
        <v>ECGDCL 22 INDEX</v>
      </c>
      <c r="DO43" s="46">
        <v>3</v>
      </c>
      <c r="DQ43" s="48" t="str">
        <f t="shared" ca="1" si="19"/>
        <v>ECGDCL 23 INDEX</v>
      </c>
      <c r="DR43" s="46">
        <v>3</v>
      </c>
      <c r="DT43" t="s">
        <v>651</v>
      </c>
      <c r="EA43" t="s">
        <v>651</v>
      </c>
      <c r="EH43" s="48" t="s">
        <v>923</v>
      </c>
      <c r="EI43" s="46">
        <v>9</v>
      </c>
      <c r="EJ43" s="46">
        <v>0.8</v>
      </c>
      <c r="EK43" s="46">
        <v>1.6</v>
      </c>
      <c r="EL43" s="46">
        <v>1.9</v>
      </c>
      <c r="EM43" s="46">
        <v>1.9</v>
      </c>
      <c r="EO43" s="13" t="str">
        <f t="shared" si="32"/>
        <v>OECLKLAC Index</v>
      </c>
      <c r="EP43" s="48" t="s">
        <v>1158</v>
      </c>
      <c r="EQ43" s="46">
        <v>97.834999999999994</v>
      </c>
      <c r="ER43" s="46">
        <v>-0.31929999999999997</v>
      </c>
      <c r="ES43" s="46">
        <v>-1.4650000000000001</v>
      </c>
      <c r="ET43" s="46">
        <v>-1.4955000000000001</v>
      </c>
      <c r="EU43" s="46">
        <v>-1.5283</v>
      </c>
      <c r="EW43" s="13" t="s">
        <v>1050</v>
      </c>
      <c r="EX43" s="48" t="s">
        <v>1081</v>
      </c>
      <c r="EY43" s="46">
        <v>6.6013200000000003</v>
      </c>
      <c r="FA43" s="46" t="s">
        <v>932</v>
      </c>
      <c r="FB43" s="46">
        <v>-3.83</v>
      </c>
      <c r="FC43" s="46">
        <v>0.78</v>
      </c>
      <c r="FD43" s="46">
        <v>1.8</v>
      </c>
      <c r="FE43" s="46">
        <v>-2.79</v>
      </c>
      <c r="FF43" s="46">
        <v>0.52</v>
      </c>
      <c r="FH43" s="33" t="s">
        <v>625</v>
      </c>
      <c r="FI43" s="46">
        <v>298.23099999999999</v>
      </c>
      <c r="FK43" t="s">
        <v>626</v>
      </c>
      <c r="FL43" t="s">
        <v>1002</v>
      </c>
      <c r="FM43" s="11">
        <v>-0.33300000000000002</v>
      </c>
      <c r="FN43"/>
      <c r="FO43" s="46" t="str">
        <f t="shared" si="20"/>
        <v>EHCACL</v>
      </c>
      <c r="FP43" t="str">
        <f t="shared" si="21"/>
        <v>EHCACL Index</v>
      </c>
      <c r="FQ43" s="11">
        <v>-3.99</v>
      </c>
      <c r="FR43" s="11">
        <v>-4.1500000000000004</v>
      </c>
      <c r="FS43" s="11">
        <v>-4.5199999999999996</v>
      </c>
      <c r="FT43" s="11">
        <v>-4.32</v>
      </c>
      <c r="FU43" s="11">
        <v>-4.0599999999999996</v>
      </c>
      <c r="FV43"/>
      <c r="FW43" t="s">
        <v>627</v>
      </c>
      <c r="FX43" t="s">
        <v>1023</v>
      </c>
      <c r="FY43">
        <v>13.76</v>
      </c>
      <c r="FZ43"/>
      <c r="GA43" t="str">
        <f t="shared" si="22"/>
        <v>TAYLCLB Index</v>
      </c>
      <c r="GB43" t="s">
        <v>1092</v>
      </c>
      <c r="GC43">
        <v>5.29</v>
      </c>
      <c r="GE43" s="43" t="str">
        <f t="shared" si="33"/>
        <v>CESICLP Index</v>
      </c>
      <c r="GJ43" s="43" t="str">
        <f t="shared" si="23"/>
        <v>CSIICLP Index</v>
      </c>
      <c r="GO43" s="43" t="s">
        <v>1190</v>
      </c>
      <c r="GP43" s="44" t="s">
        <v>1195</v>
      </c>
      <c r="GQ43" s="44">
        <v>36815</v>
      </c>
    </row>
    <row r="44" spans="1:199" x14ac:dyDescent="0.35">
      <c r="A44" s="43" t="s">
        <v>88</v>
      </c>
      <c r="B44" s="44" t="s">
        <v>89</v>
      </c>
      <c r="H44" s="50" t="s">
        <v>770</v>
      </c>
      <c r="K44" s="50" t="s">
        <v>809</v>
      </c>
      <c r="L44" s="44">
        <v>4.5830000000000002</v>
      </c>
      <c r="N44" s="50" t="s">
        <v>846</v>
      </c>
      <c r="O44" s="44">
        <v>6.0910000000000002</v>
      </c>
      <c r="Q44" s="50" t="s">
        <v>651</v>
      </c>
      <c r="U44" s="44" t="s">
        <v>199</v>
      </c>
      <c r="V44" s="50" t="str">
        <f t="shared" si="2"/>
        <v>COP Curncy</v>
      </c>
      <c r="W44" s="46">
        <v>3774.06</v>
      </c>
      <c r="Y44" s="50" t="str">
        <f t="shared" si="24"/>
        <v>COPUSD Curncy</v>
      </c>
      <c r="Z44" s="46">
        <v>2.6592000000000001E-2</v>
      </c>
      <c r="AB44" s="46" t="str">
        <f t="shared" si="25"/>
        <v>FCUSCO</v>
      </c>
      <c r="AC44" s="48" t="str">
        <f t="shared" si="26"/>
        <v>FCUSCO Q418 INDEX</v>
      </c>
      <c r="AD44" s="48" t="s">
        <v>691</v>
      </c>
      <c r="AE44" s="46">
        <v>3100</v>
      </c>
      <c r="AG44" s="43" t="s">
        <v>629</v>
      </c>
      <c r="AH44" s="46">
        <v>2.75</v>
      </c>
      <c r="AI44" s="46">
        <v>-1.5</v>
      </c>
      <c r="AJ44" s="46">
        <v>-1.5</v>
      </c>
      <c r="AK44" s="46">
        <v>-1.5</v>
      </c>
      <c r="AL44" s="46">
        <v>-0.5</v>
      </c>
      <c r="AN44" s="46" t="str">
        <f t="shared" si="27"/>
        <v>ECCBCO</v>
      </c>
      <c r="AO44" s="48" t="str">
        <f t="shared" ca="1" si="28"/>
        <v>ECCBCO Q321 INDEX</v>
      </c>
      <c r="AP44" s="46">
        <v>2.2999999999999998</v>
      </c>
      <c r="AR44" s="48" t="str">
        <f t="shared" ca="1" si="0"/>
        <v>ECCBCO Q421 INDEX</v>
      </c>
      <c r="AS44" s="46">
        <v>2.25</v>
      </c>
      <c r="AU44" s="48" t="str">
        <f t="shared" ca="1" si="3"/>
        <v>ECCBCO Q122 INDEX</v>
      </c>
      <c r="AV44" s="46">
        <v>2.25</v>
      </c>
      <c r="AX44" s="48" t="str">
        <f t="shared" ca="1" si="4"/>
        <v>ECCBCO Q222 INDEX</v>
      </c>
      <c r="AY44" s="46">
        <v>2.2000000000000002</v>
      </c>
      <c r="BA44" s="48" t="str">
        <f t="shared" ca="1" si="5"/>
        <v>ECCBCO Q322 INDEX</v>
      </c>
      <c r="BB44" s="46">
        <v>2.2999999999999998</v>
      </c>
      <c r="BD44" t="s">
        <v>630</v>
      </c>
      <c r="BE44" s="48" t="s">
        <v>1178</v>
      </c>
      <c r="BF44" s="46">
        <v>2.6550000000000002</v>
      </c>
      <c r="BH44" s="32" t="s">
        <v>631</v>
      </c>
      <c r="BI44" s="46">
        <v>2.85</v>
      </c>
      <c r="BJ44" s="46">
        <v>-0.46</v>
      </c>
      <c r="BK44" s="46">
        <v>-0.99</v>
      </c>
      <c r="BL44" s="46">
        <v>-0.87</v>
      </c>
      <c r="BM44" s="46">
        <v>-0.66</v>
      </c>
      <c r="BO44" s="46" t="str">
        <f t="shared" si="29"/>
        <v>ECPICO</v>
      </c>
      <c r="BP44" s="48" t="str">
        <f t="shared" ca="1" si="30"/>
        <v>ECPICO Q321 INDEX</v>
      </c>
      <c r="BQ44" s="46">
        <v>3.2</v>
      </c>
      <c r="BS44" s="48" t="str">
        <f t="shared" ca="1" si="1"/>
        <v>ECPICO Q421 INDEX</v>
      </c>
      <c r="BT44" s="46">
        <v>3.1</v>
      </c>
      <c r="BV44" s="48" t="str">
        <f t="shared" ca="1" si="6"/>
        <v>ECPICO Q122 INDEX</v>
      </c>
      <c r="BW44" s="46">
        <v>3.2</v>
      </c>
      <c r="BY44" s="48" t="str">
        <f t="shared" ca="1" si="7"/>
        <v>ECPICO Q222 INDEX</v>
      </c>
      <c r="BZ44" s="46">
        <v>3</v>
      </c>
      <c r="CB44" s="48" t="str">
        <f t="shared" ca="1" si="8"/>
        <v>ECPICO Q322 INDEX</v>
      </c>
      <c r="CC44" s="46">
        <v>2.95</v>
      </c>
      <c r="CE44" s="48" t="str">
        <f t="shared" ca="1" si="9"/>
        <v>ECPICO 21 INDEX</v>
      </c>
      <c r="CF44" s="46">
        <v>3.4</v>
      </c>
      <c r="CH44" s="48" t="str">
        <f t="shared" ca="1" si="10"/>
        <v>ECPICO 22 INDEX</v>
      </c>
      <c r="CI44" s="46">
        <v>3.15</v>
      </c>
      <c r="CK44" s="48" t="str">
        <f t="shared" ca="1" si="11"/>
        <v>ECPICO 23 INDEX</v>
      </c>
      <c r="CL44" s="46">
        <v>3.5</v>
      </c>
      <c r="CN44" s="32" t="s">
        <v>628</v>
      </c>
      <c r="CO44" s="46">
        <v>0.4</v>
      </c>
      <c r="CP44" s="46">
        <v>3.4</v>
      </c>
      <c r="CQ44" s="46">
        <v>3.4</v>
      </c>
      <c r="CR44" s="46">
        <v>3.6</v>
      </c>
      <c r="CS44" s="46">
        <v>2.6</v>
      </c>
      <c r="CU44" s="46" t="str">
        <f t="shared" si="31"/>
        <v>ECGDCO</v>
      </c>
      <c r="CV44" s="48" t="str">
        <f t="shared" ca="1" si="12"/>
        <v>ECGDCO Q321 INDEX</v>
      </c>
      <c r="CW44" s="46">
        <v>-5.6</v>
      </c>
      <c r="CY44" s="48" t="str">
        <f t="shared" ca="1" si="13"/>
        <v>ECGDCO Q421 INDEX</v>
      </c>
      <c r="CZ44" s="46">
        <v>-3.5</v>
      </c>
      <c r="DB44" s="48" t="str">
        <f t="shared" ca="1" si="14"/>
        <v>ECGDCO Q122 INDEX</v>
      </c>
      <c r="DC44" s="46">
        <v>-1.3</v>
      </c>
      <c r="DE44" s="48" t="str">
        <f t="shared" ca="1" si="15"/>
        <v>ECGDCO Q222 INDEX</v>
      </c>
      <c r="DF44" s="46">
        <v>1.4</v>
      </c>
      <c r="DH44" s="48" t="str">
        <f t="shared" ca="1" si="16"/>
        <v>ECGDCO Q322 INDEX</v>
      </c>
      <c r="DI44" s="46">
        <v>5.6</v>
      </c>
      <c r="DK44" s="48" t="str">
        <f t="shared" ca="1" si="17"/>
        <v>ECGDCO 21 INDEX</v>
      </c>
      <c r="DL44" s="46">
        <v>-3.3</v>
      </c>
      <c r="DN44" s="48" t="str">
        <f t="shared" ca="1" si="18"/>
        <v>ECGDCO 22 INDEX</v>
      </c>
      <c r="DO44" s="46">
        <v>3.55</v>
      </c>
      <c r="DQ44" s="48" t="str">
        <f t="shared" ca="1" si="19"/>
        <v>ECGDCO 23 INDEX</v>
      </c>
      <c r="DR44" s="46">
        <v>3.1</v>
      </c>
      <c r="DT44" t="s">
        <v>651</v>
      </c>
      <c r="EA44" t="s">
        <v>651</v>
      </c>
      <c r="EH44" s="48" t="s">
        <v>886</v>
      </c>
      <c r="EI44" s="46">
        <v>19.809999999999999</v>
      </c>
      <c r="EJ44" s="46">
        <v>7.18</v>
      </c>
      <c r="EK44" s="46">
        <v>6.82</v>
      </c>
      <c r="EL44" s="46">
        <v>9.9700000000000006</v>
      </c>
      <c r="EM44" s="46">
        <v>9.48</v>
      </c>
      <c r="EO44" s="13" t="s">
        <v>651</v>
      </c>
      <c r="EW44" s="13" t="s">
        <v>651</v>
      </c>
      <c r="FA44" s="46" t="s">
        <v>934</v>
      </c>
      <c r="FB44" s="46">
        <v>2.08</v>
      </c>
      <c r="FC44" s="46">
        <v>-1.02</v>
      </c>
      <c r="FD44" s="46">
        <v>1.48</v>
      </c>
      <c r="FE44" s="46">
        <v>-0.42</v>
      </c>
      <c r="FF44" s="46">
        <v>1.52</v>
      </c>
      <c r="FH44" s="33" t="s">
        <v>632</v>
      </c>
      <c r="FI44" s="46">
        <v>331.04700000000003</v>
      </c>
      <c r="FK44" t="s">
        <v>633</v>
      </c>
      <c r="FL44" t="s">
        <v>1002</v>
      </c>
      <c r="FM44" s="11">
        <v>-5.41</v>
      </c>
      <c r="FN44"/>
      <c r="FO44" s="46" t="str">
        <f t="shared" si="20"/>
        <v>EHCACO</v>
      </c>
      <c r="FP44" t="str">
        <f t="shared" si="21"/>
        <v>EHCACO Index</v>
      </c>
      <c r="FQ44" s="11">
        <v>-4.2</v>
      </c>
      <c r="FR44" s="11">
        <v>-4.26</v>
      </c>
      <c r="FS44" s="11">
        <v>-4.43</v>
      </c>
      <c r="FT44" s="11">
        <v>-4.09</v>
      </c>
      <c r="FU44" s="11">
        <v>-4.24</v>
      </c>
      <c r="FV44"/>
      <c r="FW44" t="s">
        <v>634</v>
      </c>
      <c r="FX44" t="s">
        <v>1023</v>
      </c>
      <c r="FY44">
        <v>34.07</v>
      </c>
      <c r="FZ44"/>
      <c r="GA44" t="str">
        <f t="shared" si="22"/>
        <v>TAYLCOB Index</v>
      </c>
      <c r="GB44" t="s">
        <v>1092</v>
      </c>
      <c r="GC44">
        <v>-6.84</v>
      </c>
      <c r="GE44" s="43" t="str">
        <f t="shared" si="33"/>
        <v>CESICOP Index</v>
      </c>
      <c r="GJ44" s="43" t="str">
        <f t="shared" si="23"/>
        <v>CSIICOP Index</v>
      </c>
      <c r="GO44" s="43" t="s">
        <v>1191</v>
      </c>
      <c r="GP44" s="44" t="s">
        <v>1196</v>
      </c>
      <c r="GQ44" s="44">
        <v>53698.8</v>
      </c>
    </row>
    <row r="45" spans="1:199" x14ac:dyDescent="0.35">
      <c r="A45" s="43" t="s">
        <v>90</v>
      </c>
      <c r="B45" s="44" t="s">
        <v>91</v>
      </c>
      <c r="D45" s="50" t="s">
        <v>1268</v>
      </c>
      <c r="H45" s="50" t="s">
        <v>758</v>
      </c>
      <c r="I45" s="44">
        <v>6.125</v>
      </c>
      <c r="K45" s="50" t="s">
        <v>810</v>
      </c>
      <c r="N45" s="50" t="s">
        <v>847</v>
      </c>
      <c r="O45" s="44">
        <v>9.1910000000000007</v>
      </c>
      <c r="Q45" s="50" t="s">
        <v>1100</v>
      </c>
      <c r="R45" s="50" t="s">
        <v>1118</v>
      </c>
      <c r="S45" s="44">
        <v>5.03</v>
      </c>
      <c r="U45" s="44" t="s">
        <v>180</v>
      </c>
      <c r="V45" s="50" t="str">
        <f t="shared" si="2"/>
        <v>ZAR Curncy</v>
      </c>
      <c r="W45" s="46">
        <v>17.0761</v>
      </c>
      <c r="Y45" s="50" t="str">
        <f t="shared" si="24"/>
        <v>ZARUSD Curncy</v>
      </c>
      <c r="Z45" s="46">
        <v>5.8559E-2</v>
      </c>
      <c r="AB45" s="46" t="str">
        <f t="shared" si="25"/>
        <v>FCUSZA</v>
      </c>
      <c r="AC45" s="48" t="str">
        <f t="shared" si="26"/>
        <v>FCUSZA Q418 INDEX</v>
      </c>
      <c r="AD45" s="48" t="s">
        <v>692</v>
      </c>
      <c r="AE45" s="46">
        <v>14.15</v>
      </c>
      <c r="AG45" s="43" t="s">
        <v>636</v>
      </c>
      <c r="AH45" s="46">
        <v>3.75</v>
      </c>
      <c r="AI45" s="46">
        <v>-3</v>
      </c>
      <c r="AJ45" s="46">
        <v>-2.75</v>
      </c>
      <c r="AK45" s="46">
        <v>-2.5</v>
      </c>
      <c r="AL45" s="46">
        <v>-0.5</v>
      </c>
      <c r="AN45" s="46" t="str">
        <f t="shared" si="27"/>
        <v>ECCBZA</v>
      </c>
      <c r="AO45" s="48" t="str">
        <f t="shared" ca="1" si="28"/>
        <v>ECCBZA Q321 INDEX</v>
      </c>
      <c r="AP45" s="46">
        <v>3.7</v>
      </c>
      <c r="AR45" s="48" t="str">
        <f t="shared" ca="1" si="0"/>
        <v>ECCBZA Q421 INDEX</v>
      </c>
      <c r="AS45" s="46">
        <v>3.4</v>
      </c>
      <c r="AU45" s="48" t="str">
        <f t="shared" ca="1" si="3"/>
        <v>ECCBZA Q122 INDEX</v>
      </c>
      <c r="AV45" s="46">
        <v>3.4</v>
      </c>
      <c r="AX45" s="48" t="str">
        <f t="shared" ca="1" si="4"/>
        <v>ECCBZA Q222 INDEX</v>
      </c>
      <c r="AY45" s="46">
        <v>3.5</v>
      </c>
      <c r="BA45" s="48" t="str">
        <f t="shared" ca="1" si="5"/>
        <v>ECCBZA Q322 INDEX</v>
      </c>
      <c r="BB45" s="46">
        <v>3.5</v>
      </c>
      <c r="BD45" t="s">
        <v>637</v>
      </c>
      <c r="BE45" s="48" t="s">
        <v>722</v>
      </c>
      <c r="BF45" s="46">
        <v>3.9420000000000002</v>
      </c>
      <c r="BH45" s="32" t="s">
        <v>638</v>
      </c>
      <c r="BI45" s="46">
        <v>4.0999999999999996</v>
      </c>
      <c r="BJ45" s="46">
        <v>-0.4</v>
      </c>
      <c r="BK45" s="46">
        <v>0</v>
      </c>
      <c r="BL45" s="46">
        <v>0.1</v>
      </c>
      <c r="BM45" s="46">
        <v>-0.5</v>
      </c>
      <c r="BO45" s="46" t="str">
        <f t="shared" si="29"/>
        <v>ECPIZA</v>
      </c>
      <c r="BP45" s="48" t="str">
        <f t="shared" ca="1" si="30"/>
        <v>ECPIZA Q321 INDEX</v>
      </c>
      <c r="BQ45" s="46">
        <v>2.7</v>
      </c>
      <c r="BS45" s="48" t="str">
        <f t="shared" ca="1" si="1"/>
        <v>ECPIZA Q421 INDEX</v>
      </c>
      <c r="BT45" s="46">
        <v>2.9</v>
      </c>
      <c r="BV45" s="48" t="str">
        <f t="shared" ca="1" si="6"/>
        <v>ECPIZA Q122 INDEX</v>
      </c>
      <c r="BW45" s="46">
        <v>3.2</v>
      </c>
      <c r="BY45" s="48" t="str">
        <f t="shared" ca="1" si="7"/>
        <v>ECPIZA Q222 INDEX</v>
      </c>
      <c r="BZ45" s="46">
        <v>3.2</v>
      </c>
      <c r="CB45" s="48" t="str">
        <f t="shared" ca="1" si="8"/>
        <v>ECPIZA Q322 INDEX</v>
      </c>
      <c r="CC45" s="46">
        <v>4.3</v>
      </c>
      <c r="CE45" s="48" t="str">
        <f t="shared" ca="1" si="9"/>
        <v>ECPIZA 21 INDEX</v>
      </c>
      <c r="CF45" s="46">
        <v>3.45</v>
      </c>
      <c r="CH45" s="48" t="str">
        <f t="shared" ca="1" si="10"/>
        <v>ECPIZA 22 INDEX</v>
      </c>
      <c r="CI45" s="46">
        <v>4.0999999999999996</v>
      </c>
      <c r="CK45" s="48" t="str">
        <f t="shared" ca="1" si="11"/>
        <v>ECPIZA 23 INDEX</v>
      </c>
      <c r="CL45" s="46">
        <v>4.3099999999999996</v>
      </c>
      <c r="CN45" s="32" t="s">
        <v>635</v>
      </c>
      <c r="CO45" s="46">
        <v>-0.5</v>
      </c>
      <c r="CP45" s="46">
        <v>0.1</v>
      </c>
      <c r="CQ45" s="46">
        <v>0.9</v>
      </c>
      <c r="CR45" s="46">
        <v>0</v>
      </c>
      <c r="CS45" s="46">
        <v>1.1000000000000001</v>
      </c>
      <c r="CU45" s="46" t="str">
        <f t="shared" si="31"/>
        <v>ECGDZA</v>
      </c>
      <c r="CV45" s="48" t="str">
        <f t="shared" ca="1" si="12"/>
        <v>ECGDZA Q321 INDEX</v>
      </c>
      <c r="CW45" s="46">
        <v>-12.9</v>
      </c>
      <c r="CY45" s="48" t="str">
        <f t="shared" ca="1" si="13"/>
        <v>ECGDZA Q421 INDEX</v>
      </c>
      <c r="CZ45" s="46">
        <v>-6.9</v>
      </c>
      <c r="DB45" s="48" t="str">
        <f t="shared" ca="1" si="14"/>
        <v>ECGDZA Q122 INDEX</v>
      </c>
      <c r="DC45" s="46">
        <v>-5.14</v>
      </c>
      <c r="DE45" s="48" t="str">
        <f t="shared" ca="1" si="15"/>
        <v>ECGDZA Q222 INDEX</v>
      </c>
      <c r="DF45" s="46">
        <v>-3.1</v>
      </c>
      <c r="DH45" s="48" t="str">
        <f t="shared" ca="1" si="16"/>
        <v>ECGDZA Q322 INDEX</v>
      </c>
      <c r="DI45" s="46">
        <v>10</v>
      </c>
      <c r="DK45" s="48" t="str">
        <f t="shared" ca="1" si="17"/>
        <v>ECGDZA 21 INDEX</v>
      </c>
      <c r="DL45" s="46">
        <v>-6.5</v>
      </c>
      <c r="DN45" s="48" t="str">
        <f t="shared" ca="1" si="18"/>
        <v>ECGDZA 22 INDEX</v>
      </c>
      <c r="DO45" s="46">
        <v>2.9</v>
      </c>
      <c r="DQ45" s="48" t="str">
        <f t="shared" ca="1" si="19"/>
        <v>ECGDZA 23 INDEX</v>
      </c>
      <c r="DR45" s="46">
        <v>1.8</v>
      </c>
      <c r="DT45" t="s">
        <v>639</v>
      </c>
      <c r="DU45" s="46">
        <v>50.2</v>
      </c>
      <c r="DV45" s="46">
        <v>46.1</v>
      </c>
      <c r="DW45" s="46">
        <v>44.3</v>
      </c>
      <c r="DX45" s="46">
        <v>47.7</v>
      </c>
      <c r="DY45" s="46">
        <v>48.2</v>
      </c>
      <c r="EA45" t="s">
        <v>651</v>
      </c>
      <c r="EH45" s="48" t="s">
        <v>911</v>
      </c>
      <c r="EI45" s="46">
        <v>29.1</v>
      </c>
      <c r="EK45" s="46">
        <v>0</v>
      </c>
      <c r="EL45" s="46">
        <v>0.1</v>
      </c>
      <c r="EM45" s="46">
        <v>2</v>
      </c>
      <c r="EO45" s="13" t="str">
        <f t="shared" si="32"/>
        <v>OEZAKLAC Index</v>
      </c>
      <c r="EP45" s="48" t="s">
        <v>1159</v>
      </c>
      <c r="EQ45" s="46">
        <v>94.614900000000006</v>
      </c>
      <c r="ER45" s="46">
        <v>-2.4500000000000002</v>
      </c>
      <c r="ES45" s="46">
        <v>-5.0372000000000003</v>
      </c>
      <c r="ET45" s="46">
        <v>-5.0060000000000002</v>
      </c>
      <c r="EU45" s="46">
        <v>-5.0659999999999998</v>
      </c>
      <c r="EW45" s="13" t="s">
        <v>651</v>
      </c>
      <c r="FA45" s="46" t="s">
        <v>958</v>
      </c>
      <c r="FB45" s="46">
        <v>-5.6</v>
      </c>
      <c r="FC45" s="46">
        <v>-3.2</v>
      </c>
      <c r="FD45" s="46">
        <v>-6.7</v>
      </c>
      <c r="FE45" s="46">
        <v>-2.8</v>
      </c>
      <c r="FF45" s="46">
        <v>0.9</v>
      </c>
      <c r="FH45" s="33" t="s">
        <v>640</v>
      </c>
      <c r="FI45" s="46">
        <v>368.28899999999999</v>
      </c>
      <c r="FK45" t="s">
        <v>641</v>
      </c>
      <c r="FL45" t="s">
        <v>1010</v>
      </c>
      <c r="FM45" s="11">
        <v>0.18</v>
      </c>
      <c r="FN45"/>
      <c r="FO45" s="46" t="str">
        <f t="shared" si="20"/>
        <v>EHCAZA</v>
      </c>
      <c r="FP45" t="str">
        <f t="shared" si="21"/>
        <v>EHCAZA Index</v>
      </c>
      <c r="FQ45" s="11">
        <v>-3.03</v>
      </c>
      <c r="FR45" s="11">
        <v>-3.25</v>
      </c>
      <c r="FS45" s="11">
        <v>-3.25</v>
      </c>
      <c r="FT45" s="11">
        <v>-3.18</v>
      </c>
      <c r="FU45" s="11">
        <v>-3.58</v>
      </c>
      <c r="FV45"/>
      <c r="FW45" t="s">
        <v>642</v>
      </c>
      <c r="FX45" t="s">
        <v>1023</v>
      </c>
      <c r="FY45">
        <v>73.72</v>
      </c>
      <c r="FZ45"/>
      <c r="GA45" t="str">
        <f t="shared" si="22"/>
        <v>TAYLZAB Index</v>
      </c>
      <c r="GB45" t="s">
        <v>1092</v>
      </c>
      <c r="GC45">
        <v>-2</v>
      </c>
      <c r="GE45" s="43" t="str">
        <f t="shared" si="33"/>
        <v>CESIZAR Index</v>
      </c>
      <c r="GJ45" s="43" t="str">
        <f t="shared" si="23"/>
        <v>CSIIZAR Index</v>
      </c>
      <c r="GO45" s="43" t="s">
        <v>1192</v>
      </c>
      <c r="GP45" s="44" t="s">
        <v>1185</v>
      </c>
      <c r="GQ45" s="44">
        <v>45.53</v>
      </c>
    </row>
  </sheetData>
  <pageMargins left="0.7" right="0.7" top="0.75" bottom="0.75" header="0.3" footer="0.3"/>
  <pageSetup paperSize="9" orientation="portrait" r:id="rId1"/>
  <headerFooter>
    <oddFooter>&amp;LINTERNAL</oddFooter>
    <evenFooter>&amp;LINTERNAL</evenFooter>
    <firstFooter>&amp;LINTERNAL</first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2545" r:id="rId4" name="Button 1">
              <controlPr defaultSize="0" print="0" autoFill="0" autoPict="0" macro="[0]!BBG_BDP_BULK_STATIC">
                <anchor moveWithCells="1" sizeWithCells="1">
                  <from>
                    <xdr:col>0</xdr:col>
                    <xdr:colOff>0</xdr:colOff>
                    <xdr:row>2</xdr:row>
                    <xdr:rowOff>6350</xdr:rowOff>
                  </from>
                  <to>
                    <xdr:col>1</xdr:col>
                    <xdr:colOff>0</xdr:colOff>
                    <xdr:row>3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theme="1"/>
  </sheetPr>
  <dimension ref="A1:MD4122"/>
  <sheetViews>
    <sheetView zoomScale="80" zoomScaleNormal="80" workbookViewId="0">
      <selection activeCell="D36" sqref="D36"/>
    </sheetView>
  </sheetViews>
  <sheetFormatPr defaultColWidth="9.08984375" defaultRowHeight="13" x14ac:dyDescent="0.3"/>
  <cols>
    <col min="1" max="1" width="16" style="4" customWidth="1"/>
    <col min="2" max="2" width="12.36328125" style="5" customWidth="1"/>
    <col min="3" max="3" width="11.08984375" style="5" customWidth="1"/>
    <col min="4" max="4" width="10.90625" style="5" customWidth="1"/>
    <col min="5" max="5" width="12.453125" style="10" customWidth="1"/>
    <col min="6" max="237" width="11.54296875" style="5" customWidth="1"/>
    <col min="238" max="16384" width="9.08984375" style="5"/>
  </cols>
  <sheetData>
    <row r="1" spans="1:62" s="2" customFormat="1" x14ac:dyDescent="0.3">
      <c r="A1" s="1" t="s">
        <v>92</v>
      </c>
      <c r="B1" s="3" t="str">
        <f>IF(MID(B8,7,1)="M","MFG","") &amp; IF(MID(B8,7,1)="S","SERVICE","") &amp; IF(MID(B8,7,1)="C","COMPOSITE","")</f>
        <v>MFG</v>
      </c>
      <c r="C1" s="3" t="str">
        <f>IF(MID(C8,7,1)="M","MFG","") &amp; IF(MID(C8,7,1)="S","SERVICE","") &amp; IF(MID(C8,7,1)="C","COMPOSITE","")</f>
        <v>MFG</v>
      </c>
      <c r="D1" s="3" t="str">
        <f t="shared" ref="D1:BF1" si="0">IF(MID(D8,7,1)="M","MFG","") &amp; IF(MID(D8,7,1)="S","SERVICE","") &amp; IF(MID(D8,7,1)="C","COMPOSITE","")</f>
        <v>MFG</v>
      </c>
      <c r="E1" s="3" t="str">
        <f t="shared" si="0"/>
        <v>MFG</v>
      </c>
      <c r="F1" s="3" t="str">
        <f t="shared" si="0"/>
        <v>MFG</v>
      </c>
      <c r="G1" s="3" t="str">
        <f t="shared" si="0"/>
        <v>MFG</v>
      </c>
      <c r="H1" s="3" t="str">
        <f t="shared" si="0"/>
        <v>MFG</v>
      </c>
      <c r="I1" s="3" t="str">
        <f t="shared" si="0"/>
        <v>MFG</v>
      </c>
      <c r="J1" s="3" t="str">
        <f t="shared" si="0"/>
        <v>MFG</v>
      </c>
      <c r="K1" s="3" t="str">
        <f t="shared" si="0"/>
        <v>MFG</v>
      </c>
      <c r="L1" s="3" t="str">
        <f t="shared" si="0"/>
        <v>MFG</v>
      </c>
      <c r="M1" s="3" t="str">
        <f t="shared" si="0"/>
        <v>MFG</v>
      </c>
      <c r="N1" s="3" t="str">
        <f t="shared" si="0"/>
        <v>MFG</v>
      </c>
      <c r="O1" s="3" t="str">
        <f t="shared" si="0"/>
        <v>MFG</v>
      </c>
      <c r="P1" s="3" t="str">
        <f t="shared" si="0"/>
        <v>MFG</v>
      </c>
      <c r="Q1" s="3" t="str">
        <f t="shared" si="0"/>
        <v>MFG</v>
      </c>
      <c r="R1" s="3" t="str">
        <f t="shared" si="0"/>
        <v>MFG</v>
      </c>
      <c r="S1" s="3" t="str">
        <f t="shared" si="0"/>
        <v>MFG</v>
      </c>
      <c r="T1" s="3" t="str">
        <f t="shared" si="0"/>
        <v>MFG</v>
      </c>
      <c r="U1" s="3" t="str">
        <f t="shared" si="0"/>
        <v>MFG</v>
      </c>
      <c r="V1" s="3" t="str">
        <f t="shared" si="0"/>
        <v>MFG</v>
      </c>
      <c r="W1" s="3" t="str">
        <f t="shared" si="0"/>
        <v>MFG</v>
      </c>
      <c r="X1" s="3" t="str">
        <f t="shared" si="0"/>
        <v>MFG</v>
      </c>
      <c r="Y1" s="3" t="str">
        <f t="shared" si="0"/>
        <v>MFG</v>
      </c>
      <c r="Z1" s="3" t="str">
        <f t="shared" si="0"/>
        <v>MFG</v>
      </c>
      <c r="AA1" s="3" t="str">
        <f t="shared" si="0"/>
        <v>MFG</v>
      </c>
      <c r="AB1" s="3" t="str">
        <f t="shared" si="0"/>
        <v>MFG</v>
      </c>
      <c r="AC1" s="3" t="str">
        <f t="shared" si="0"/>
        <v>SERVICE</v>
      </c>
      <c r="AD1" s="3" t="str">
        <f t="shared" si="0"/>
        <v>SERVICE</v>
      </c>
      <c r="AE1" s="3" t="str">
        <f t="shared" si="0"/>
        <v>SERVICE</v>
      </c>
      <c r="AF1" s="3" t="str">
        <f t="shared" si="0"/>
        <v>SERVICE</v>
      </c>
      <c r="AG1" s="3" t="str">
        <f t="shared" si="0"/>
        <v>SERVICE</v>
      </c>
      <c r="AH1" s="3" t="str">
        <f t="shared" si="0"/>
        <v>SERVICE</v>
      </c>
      <c r="AI1" s="3" t="str">
        <f t="shared" si="0"/>
        <v>SERVICE</v>
      </c>
      <c r="AJ1" s="3" t="str">
        <f t="shared" si="0"/>
        <v>SERVICE</v>
      </c>
      <c r="AK1" s="3" t="str">
        <f t="shared" si="0"/>
        <v>SERVICE</v>
      </c>
      <c r="AL1" s="3" t="str">
        <f t="shared" si="0"/>
        <v>SERVICE</v>
      </c>
      <c r="AM1" s="3" t="str">
        <f t="shared" si="0"/>
        <v>SERVICE</v>
      </c>
      <c r="AN1" s="3" t="str">
        <f t="shared" si="0"/>
        <v>SERVICE</v>
      </c>
      <c r="AO1" s="3" t="str">
        <f t="shared" si="0"/>
        <v>SERVICE</v>
      </c>
      <c r="AP1" s="3" t="str">
        <f t="shared" si="0"/>
        <v>SERVICE</v>
      </c>
      <c r="AQ1" s="3" t="str">
        <f t="shared" si="0"/>
        <v>SERVICE</v>
      </c>
      <c r="AR1" s="3" t="str">
        <f t="shared" si="0"/>
        <v>COMPOSITE</v>
      </c>
      <c r="AS1" s="3" t="str">
        <f t="shared" si="0"/>
        <v>COMPOSITE</v>
      </c>
      <c r="AT1" s="3" t="str">
        <f t="shared" si="0"/>
        <v>COMPOSITE</v>
      </c>
      <c r="AU1" s="3" t="str">
        <f t="shared" si="0"/>
        <v>COMPOSITE</v>
      </c>
      <c r="AV1" s="3" t="str">
        <f t="shared" si="0"/>
        <v>COMPOSITE</v>
      </c>
      <c r="AW1" s="3" t="str">
        <f t="shared" si="0"/>
        <v>COMPOSITE</v>
      </c>
      <c r="AX1" s="3" t="str">
        <f t="shared" si="0"/>
        <v>COMPOSITE</v>
      </c>
      <c r="AY1" s="3" t="str">
        <f t="shared" si="0"/>
        <v>COMPOSITE</v>
      </c>
      <c r="AZ1" s="3" t="str">
        <f t="shared" si="0"/>
        <v>COMPOSITE</v>
      </c>
      <c r="BA1" s="3" t="str">
        <f t="shared" si="0"/>
        <v>COMPOSITE</v>
      </c>
      <c r="BB1" s="3" t="str">
        <f t="shared" si="0"/>
        <v>COMPOSITE</v>
      </c>
      <c r="BC1" s="3" t="str">
        <f t="shared" si="0"/>
        <v>COMPOSITE</v>
      </c>
      <c r="BD1" s="3" t="str">
        <f t="shared" si="0"/>
        <v>COMPOSITE</v>
      </c>
      <c r="BE1" s="3" t="str">
        <f t="shared" si="0"/>
        <v>COMPOSITE</v>
      </c>
      <c r="BF1" s="3" t="str">
        <f t="shared" si="0"/>
        <v>COMPOSITE</v>
      </c>
      <c r="BG1" s="3" t="str">
        <f t="shared" ref="BG1:BJ1" si="1">IF(MID(BG8,7,1)="M","MFG","") &amp; IF(MID(BG8,7,1)="S","SERVICE","") &amp; IF(MID(BG8,7,1)="C","COMPOSITE","")</f>
        <v/>
      </c>
      <c r="BH1" s="3" t="str">
        <f t="shared" si="1"/>
        <v/>
      </c>
      <c r="BI1" s="3" t="str">
        <f t="shared" si="1"/>
        <v/>
      </c>
      <c r="BJ1" s="3" t="str">
        <f t="shared" si="1"/>
        <v/>
      </c>
    </row>
    <row r="2" spans="1:62" x14ac:dyDescent="0.3">
      <c r="A2" s="1" t="s">
        <v>5</v>
      </c>
      <c r="B2" s="3" t="str">
        <f t="shared" ref="B2:AG2" si="2">MID(B8,5,2)</f>
        <v>US</v>
      </c>
      <c r="C2" s="3" t="str">
        <f t="shared" ref="C2" si="3">MID(C8,5,2)</f>
        <v>GL</v>
      </c>
      <c r="D2" s="3" t="str">
        <f t="shared" si="2"/>
        <v>DM</v>
      </c>
      <c r="E2" s="3" t="str">
        <f t="shared" si="2"/>
        <v>EM</v>
      </c>
      <c r="F2" s="3" t="str">
        <f t="shared" si="2"/>
        <v>GB</v>
      </c>
      <c r="G2" s="3" t="str">
        <f t="shared" si="2"/>
        <v>JP</v>
      </c>
      <c r="H2" s="3" t="str">
        <f t="shared" si="2"/>
        <v>CA</v>
      </c>
      <c r="I2" s="3" t="str">
        <f t="shared" si="2"/>
        <v>EZ</v>
      </c>
      <c r="J2" s="3" t="str">
        <f t="shared" si="2"/>
        <v>DE</v>
      </c>
      <c r="K2" s="3" t="str">
        <f t="shared" si="2"/>
        <v>FR</v>
      </c>
      <c r="L2" s="3" t="str">
        <f t="shared" si="2"/>
        <v>NL</v>
      </c>
      <c r="M2" s="3" t="str">
        <f t="shared" si="2"/>
        <v>ES</v>
      </c>
      <c r="N2" s="3" t="str">
        <f t="shared" si="2"/>
        <v>IT</v>
      </c>
      <c r="O2" s="3" t="str">
        <f t="shared" si="2"/>
        <v>IE</v>
      </c>
      <c r="P2" s="3" t="str">
        <f t="shared" si="2"/>
        <v>AT</v>
      </c>
      <c r="Q2" s="3" t="str">
        <f t="shared" si="2"/>
        <v>CN</v>
      </c>
      <c r="R2" s="3" t="str">
        <f t="shared" si="2"/>
        <v>KR</v>
      </c>
      <c r="S2" s="3" t="str">
        <f t="shared" si="2"/>
        <v>TW</v>
      </c>
      <c r="T2" s="3" t="str">
        <f t="shared" si="2"/>
        <v>IN</v>
      </c>
      <c r="U2" s="3" t="str">
        <f t="shared" si="2"/>
        <v>ID</v>
      </c>
      <c r="V2" s="3" t="str">
        <f t="shared" si="2"/>
        <v>RU</v>
      </c>
      <c r="W2" s="3" t="str">
        <f t="shared" si="2"/>
        <v>TR</v>
      </c>
      <c r="X2" s="3" t="str">
        <f t="shared" si="2"/>
        <v>PL</v>
      </c>
      <c r="Y2" s="3" t="str">
        <f t="shared" si="2"/>
        <v>GR</v>
      </c>
      <c r="Z2" s="3" t="str">
        <f t="shared" si="2"/>
        <v>CZ</v>
      </c>
      <c r="AA2" s="3" t="str">
        <f t="shared" si="2"/>
        <v>BR</v>
      </c>
      <c r="AB2" s="3" t="str">
        <f t="shared" si="2"/>
        <v>MX</v>
      </c>
      <c r="AC2" s="3" t="str">
        <f t="shared" si="2"/>
        <v>GL</v>
      </c>
      <c r="AD2" s="3" t="str">
        <f t="shared" si="2"/>
        <v>EM</v>
      </c>
      <c r="AE2" s="3" t="str">
        <f t="shared" si="2"/>
        <v>US</v>
      </c>
      <c r="AF2" s="3" t="str">
        <f t="shared" si="2"/>
        <v>GB</v>
      </c>
      <c r="AG2" s="3" t="str">
        <f t="shared" si="2"/>
        <v>JP</v>
      </c>
      <c r="AH2" s="3" t="str">
        <f t="shared" ref="AH2:BF2" si="4">MID(AH8,5,2)</f>
        <v>EZ</v>
      </c>
      <c r="AI2" s="3" t="str">
        <f t="shared" si="4"/>
        <v>DE</v>
      </c>
      <c r="AJ2" s="3" t="str">
        <f t="shared" si="4"/>
        <v>FR</v>
      </c>
      <c r="AK2" s="3" t="str">
        <f t="shared" si="4"/>
        <v>ES</v>
      </c>
      <c r="AL2" s="3" t="str">
        <f t="shared" si="4"/>
        <v>IT</v>
      </c>
      <c r="AM2" s="3" t="str">
        <f t="shared" si="4"/>
        <v>IE</v>
      </c>
      <c r="AN2" s="3" t="str">
        <f t="shared" si="4"/>
        <v>CN</v>
      </c>
      <c r="AO2" s="3" t="str">
        <f t="shared" si="4"/>
        <v>IN</v>
      </c>
      <c r="AP2" s="3" t="str">
        <f t="shared" si="4"/>
        <v>RU</v>
      </c>
      <c r="AQ2" s="3" t="str">
        <f t="shared" si="4"/>
        <v>BR</v>
      </c>
      <c r="AR2" s="3" t="str">
        <f t="shared" si="4"/>
        <v>GL</v>
      </c>
      <c r="AS2" s="3" t="str">
        <f t="shared" si="4"/>
        <v>EM</v>
      </c>
      <c r="AT2" s="3" t="str">
        <f t="shared" si="4"/>
        <v>US</v>
      </c>
      <c r="AU2" s="3" t="str">
        <f t="shared" si="4"/>
        <v>GB</v>
      </c>
      <c r="AV2" s="3" t="str">
        <f t="shared" si="4"/>
        <v>JP</v>
      </c>
      <c r="AW2" s="3" t="str">
        <f t="shared" si="4"/>
        <v>EZ</v>
      </c>
      <c r="AX2" s="3" t="str">
        <f t="shared" si="4"/>
        <v>DE</v>
      </c>
      <c r="AY2" s="3" t="str">
        <f t="shared" si="4"/>
        <v>FR</v>
      </c>
      <c r="AZ2" s="3" t="str">
        <f t="shared" si="4"/>
        <v>ES</v>
      </c>
      <c r="BA2" s="3" t="str">
        <f t="shared" si="4"/>
        <v>IT</v>
      </c>
      <c r="BB2" s="3" t="str">
        <f t="shared" si="4"/>
        <v>IE</v>
      </c>
      <c r="BC2" s="3" t="str">
        <f t="shared" si="4"/>
        <v>CN</v>
      </c>
      <c r="BD2" s="3" t="str">
        <f t="shared" si="4"/>
        <v>IN</v>
      </c>
      <c r="BE2" s="3" t="str">
        <f t="shared" si="4"/>
        <v>RU</v>
      </c>
      <c r="BF2" s="3" t="str">
        <f t="shared" si="4"/>
        <v>BR</v>
      </c>
      <c r="BG2" s="3"/>
      <c r="BH2" s="3"/>
      <c r="BI2" s="3"/>
      <c r="BJ2" s="3"/>
    </row>
    <row r="3" spans="1:62" x14ac:dyDescent="0.3">
      <c r="A3" s="4" t="s">
        <v>0</v>
      </c>
      <c r="B3" s="10">
        <f ca="1">DATE(YEAR(B5)-B4, MONTH(B5), DAY(B5))</f>
        <v>43312</v>
      </c>
      <c r="C3" s="10"/>
    </row>
    <row r="4" spans="1:62" x14ac:dyDescent="0.3">
      <c r="A4" s="4" t="s">
        <v>1</v>
      </c>
      <c r="B4" s="5">
        <v>3</v>
      </c>
    </row>
    <row r="5" spans="1:62" x14ac:dyDescent="0.3">
      <c r="A5" s="4" t="s">
        <v>2</v>
      </c>
      <c r="B5" s="10">
        <f ca="1">EOMONTH(TODAY(),0)</f>
        <v>44408</v>
      </c>
      <c r="C5" s="10"/>
    </row>
    <row r="6" spans="1:62" x14ac:dyDescent="0.3">
      <c r="A6" s="4" t="s">
        <v>3</v>
      </c>
      <c r="B6" s="5" t="s">
        <v>152</v>
      </c>
    </row>
    <row r="8" spans="1:62" ht="36.75" customHeight="1" x14ac:dyDescent="0.3">
      <c r="A8" s="9"/>
      <c r="B8" s="3" t="s">
        <v>101</v>
      </c>
      <c r="C8" s="3" t="s">
        <v>94</v>
      </c>
      <c r="D8" s="3" t="s">
        <v>97</v>
      </c>
      <c r="E8" s="3" t="s">
        <v>98</v>
      </c>
      <c r="F8" s="3" t="s">
        <v>104</v>
      </c>
      <c r="G8" s="3" t="s">
        <v>107</v>
      </c>
      <c r="H8" s="3" t="s">
        <v>110</v>
      </c>
      <c r="I8" s="3" t="s">
        <v>111</v>
      </c>
      <c r="J8" s="3" t="s">
        <v>114</v>
      </c>
      <c r="K8" s="3" t="s">
        <v>117</v>
      </c>
      <c r="L8" s="3" t="s">
        <v>120</v>
      </c>
      <c r="M8" s="3" t="s">
        <v>121</v>
      </c>
      <c r="N8" s="3" t="s">
        <v>124</v>
      </c>
      <c r="O8" s="3" t="s">
        <v>127</v>
      </c>
      <c r="P8" s="3" t="s">
        <v>130</v>
      </c>
      <c r="Q8" s="3" t="s">
        <v>131</v>
      </c>
      <c r="R8" s="3" t="s">
        <v>134</v>
      </c>
      <c r="S8" s="3" t="s">
        <v>135</v>
      </c>
      <c r="T8" s="3" t="s">
        <v>136</v>
      </c>
      <c r="U8" s="3" t="s">
        <v>139</v>
      </c>
      <c r="V8" s="3" t="s">
        <v>140</v>
      </c>
      <c r="W8" s="3" t="s">
        <v>143</v>
      </c>
      <c r="X8" s="3" t="s">
        <v>144</v>
      </c>
      <c r="Y8" s="3" t="s">
        <v>145</v>
      </c>
      <c r="Z8" s="3" t="s">
        <v>146</v>
      </c>
      <c r="AA8" s="3" t="s">
        <v>147</v>
      </c>
      <c r="AB8" s="3" t="s">
        <v>150</v>
      </c>
      <c r="AC8" s="3" t="s">
        <v>95</v>
      </c>
      <c r="AD8" s="3" t="s">
        <v>99</v>
      </c>
      <c r="AE8" s="3" t="s">
        <v>102</v>
      </c>
      <c r="AF8" s="3" t="s">
        <v>105</v>
      </c>
      <c r="AG8" s="3" t="s">
        <v>108</v>
      </c>
      <c r="AH8" s="3" t="s">
        <v>112</v>
      </c>
      <c r="AI8" s="3" t="s">
        <v>115</v>
      </c>
      <c r="AJ8" s="3" t="s">
        <v>118</v>
      </c>
      <c r="AK8" s="3" t="s">
        <v>122</v>
      </c>
      <c r="AL8" s="3" t="s">
        <v>125</v>
      </c>
      <c r="AM8" s="3" t="s">
        <v>128</v>
      </c>
      <c r="AN8" s="3" t="s">
        <v>132</v>
      </c>
      <c r="AO8" s="3" t="s">
        <v>137</v>
      </c>
      <c r="AP8" s="3" t="s">
        <v>141</v>
      </c>
      <c r="AQ8" s="3" t="s">
        <v>148</v>
      </c>
      <c r="AR8" s="3" t="s">
        <v>96</v>
      </c>
      <c r="AS8" s="3" t="s">
        <v>100</v>
      </c>
      <c r="AT8" s="3" t="s">
        <v>103</v>
      </c>
      <c r="AU8" s="3" t="s">
        <v>106</v>
      </c>
      <c r="AV8" s="3" t="s">
        <v>109</v>
      </c>
      <c r="AW8" s="3" t="s">
        <v>113</v>
      </c>
      <c r="AX8" s="3" t="s">
        <v>116</v>
      </c>
      <c r="AY8" s="3" t="s">
        <v>119</v>
      </c>
      <c r="AZ8" s="3" t="s">
        <v>123</v>
      </c>
      <c r="BA8" s="3" t="s">
        <v>126</v>
      </c>
      <c r="BB8" s="3" t="s">
        <v>129</v>
      </c>
      <c r="BC8" s="3" t="s">
        <v>133</v>
      </c>
      <c r="BD8" s="3" t="s">
        <v>138</v>
      </c>
      <c r="BE8" s="3" t="s">
        <v>142</v>
      </c>
      <c r="BF8" s="3" t="s">
        <v>149</v>
      </c>
      <c r="BG8" s="3" t="s">
        <v>154</v>
      </c>
      <c r="BH8" s="3" t="s">
        <v>156</v>
      </c>
      <c r="BI8" s="3" t="s">
        <v>153</v>
      </c>
      <c r="BJ8" s="3" t="s">
        <v>155</v>
      </c>
    </row>
    <row r="9" spans="1:62" ht="18" customHeight="1" x14ac:dyDescent="0.3">
      <c r="A9" s="55"/>
      <c r="B9" s="3" t="s">
        <v>8</v>
      </c>
      <c r="C9" s="3" t="s">
        <v>8</v>
      </c>
      <c r="D9" s="3" t="s">
        <v>8</v>
      </c>
      <c r="E9" s="3" t="s">
        <v>8</v>
      </c>
      <c r="F9" s="3" t="s">
        <v>8</v>
      </c>
      <c r="G9" s="3" t="s">
        <v>8</v>
      </c>
      <c r="H9" s="3" t="s">
        <v>8</v>
      </c>
      <c r="I9" s="3" t="s">
        <v>8</v>
      </c>
      <c r="J9" s="3" t="s">
        <v>8</v>
      </c>
      <c r="K9" s="3" t="s">
        <v>8</v>
      </c>
      <c r="L9" s="3" t="s">
        <v>8</v>
      </c>
      <c r="M9" s="3" t="s">
        <v>8</v>
      </c>
      <c r="N9" s="3" t="s">
        <v>8</v>
      </c>
      <c r="O9" s="3" t="s">
        <v>8</v>
      </c>
      <c r="P9" s="3" t="s">
        <v>8</v>
      </c>
      <c r="Q9" s="3" t="s">
        <v>8</v>
      </c>
      <c r="R9" s="3" t="s">
        <v>8</v>
      </c>
      <c r="S9" s="3" t="s">
        <v>8</v>
      </c>
      <c r="T9" s="3" t="s">
        <v>8</v>
      </c>
      <c r="U9" s="3" t="s">
        <v>8</v>
      </c>
      <c r="V9" s="3" t="s">
        <v>8</v>
      </c>
      <c r="W9" s="3" t="s">
        <v>8</v>
      </c>
      <c r="X9" s="3" t="s">
        <v>8</v>
      </c>
      <c r="Y9" s="3" t="s">
        <v>8</v>
      </c>
      <c r="Z9" s="3" t="s">
        <v>8</v>
      </c>
      <c r="AA9" s="3" t="s">
        <v>8</v>
      </c>
      <c r="AB9" s="3" t="s">
        <v>8</v>
      </c>
      <c r="AC9" s="3" t="s">
        <v>8</v>
      </c>
      <c r="AD9" s="3" t="s">
        <v>8</v>
      </c>
      <c r="AE9" s="3" t="s">
        <v>8</v>
      </c>
      <c r="AF9" s="3" t="s">
        <v>8</v>
      </c>
      <c r="AG9" s="3" t="s">
        <v>8</v>
      </c>
      <c r="AH9" s="3" t="s">
        <v>8</v>
      </c>
      <c r="AI9" s="3" t="s">
        <v>8</v>
      </c>
      <c r="AJ9" s="3" t="s">
        <v>8</v>
      </c>
      <c r="AK9" s="3" t="s">
        <v>8</v>
      </c>
      <c r="AL9" s="3" t="s">
        <v>8</v>
      </c>
      <c r="AM9" s="3" t="s">
        <v>8</v>
      </c>
      <c r="AN9" s="3" t="s">
        <v>8</v>
      </c>
      <c r="AO9" s="3" t="s">
        <v>8</v>
      </c>
      <c r="AP9" s="3" t="s">
        <v>8</v>
      </c>
      <c r="AQ9" s="3" t="s">
        <v>8</v>
      </c>
      <c r="AR9" s="3" t="s">
        <v>8</v>
      </c>
      <c r="AS9" s="3" t="s">
        <v>8</v>
      </c>
      <c r="AT9" s="3" t="s">
        <v>8</v>
      </c>
      <c r="AU9" s="3" t="s">
        <v>8</v>
      </c>
      <c r="AV9" s="3" t="s">
        <v>8</v>
      </c>
      <c r="AW9" s="3" t="s">
        <v>8</v>
      </c>
      <c r="AX9" s="3" t="s">
        <v>8</v>
      </c>
      <c r="AY9" s="3" t="s">
        <v>8</v>
      </c>
      <c r="AZ9" s="3" t="s">
        <v>8</v>
      </c>
      <c r="BA9" s="3" t="s">
        <v>8</v>
      </c>
      <c r="BB9" s="3" t="s">
        <v>8</v>
      </c>
      <c r="BC9" s="3" t="s">
        <v>8</v>
      </c>
      <c r="BD9" s="3" t="s">
        <v>8</v>
      </c>
      <c r="BE9" s="3" t="s">
        <v>8</v>
      </c>
      <c r="BF9" s="3" t="s">
        <v>8</v>
      </c>
      <c r="BG9" s="3" t="s">
        <v>8</v>
      </c>
      <c r="BH9" s="3" t="s">
        <v>8</v>
      </c>
      <c r="BI9" s="3" t="s">
        <v>8</v>
      </c>
      <c r="BJ9" s="3" t="s">
        <v>8</v>
      </c>
    </row>
    <row r="10" spans="1:62" x14ac:dyDescent="0.3">
      <c r="A10" s="56">
        <v>42978</v>
      </c>
      <c r="B10" s="5">
        <v>52.8</v>
      </c>
      <c r="C10" s="5">
        <v>53</v>
      </c>
      <c r="D10" s="5">
        <v>54.2</v>
      </c>
      <c r="E10" s="5">
        <v>51.7</v>
      </c>
      <c r="F10" s="5">
        <v>57</v>
      </c>
      <c r="G10" s="5">
        <v>52.2</v>
      </c>
      <c r="H10" s="5">
        <v>54.6</v>
      </c>
      <c r="I10" s="5">
        <v>57.4</v>
      </c>
      <c r="J10" s="5">
        <v>59.3</v>
      </c>
      <c r="K10" s="5">
        <v>55.8</v>
      </c>
      <c r="L10" s="5">
        <v>59.7</v>
      </c>
      <c r="M10" s="5">
        <v>52.4</v>
      </c>
      <c r="N10" s="5">
        <v>56.3</v>
      </c>
      <c r="O10" s="5">
        <v>56.1</v>
      </c>
      <c r="P10" s="5">
        <v>61.1</v>
      </c>
      <c r="Q10" s="5">
        <v>51.6</v>
      </c>
      <c r="R10" s="5">
        <v>49.9</v>
      </c>
      <c r="S10" s="5">
        <v>54.3</v>
      </c>
      <c r="T10" s="5">
        <v>51.2</v>
      </c>
      <c r="U10" s="5">
        <v>50.7</v>
      </c>
      <c r="V10" s="5">
        <v>51.6</v>
      </c>
      <c r="W10" s="5">
        <v>55.3</v>
      </c>
      <c r="X10" s="5">
        <v>52.5</v>
      </c>
      <c r="Y10" s="5">
        <v>52.2</v>
      </c>
      <c r="Z10" s="5">
        <v>54.9</v>
      </c>
      <c r="AA10" s="5">
        <v>50.9</v>
      </c>
      <c r="AB10" s="5">
        <v>52.2</v>
      </c>
      <c r="AC10" s="5">
        <v>54</v>
      </c>
      <c r="AD10" s="5">
        <v>51.7</v>
      </c>
      <c r="AE10" s="5">
        <v>56</v>
      </c>
      <c r="AF10" s="5">
        <v>53.2</v>
      </c>
      <c r="AG10" s="5">
        <v>51.6</v>
      </c>
      <c r="AH10" s="5">
        <v>54.7</v>
      </c>
      <c r="AI10" s="5">
        <v>53.5</v>
      </c>
      <c r="AJ10" s="5">
        <v>54.9</v>
      </c>
      <c r="AK10" s="5">
        <v>56</v>
      </c>
      <c r="AL10" s="5">
        <v>55.1</v>
      </c>
      <c r="AM10" s="5">
        <v>58.4</v>
      </c>
      <c r="AN10" s="5">
        <v>52.7</v>
      </c>
      <c r="AO10" s="5">
        <v>47.5</v>
      </c>
      <c r="AP10" s="5">
        <v>54.2</v>
      </c>
      <c r="AQ10" s="5">
        <v>49</v>
      </c>
      <c r="AR10" s="5">
        <v>53.9</v>
      </c>
      <c r="AS10" s="5">
        <v>52</v>
      </c>
      <c r="AT10" s="5">
        <v>55.3</v>
      </c>
      <c r="AU10" s="5">
        <v>53.9</v>
      </c>
      <c r="AV10" s="5">
        <v>51.9</v>
      </c>
      <c r="AW10" s="5">
        <v>55.7</v>
      </c>
      <c r="AX10" s="5">
        <v>55.8</v>
      </c>
      <c r="AY10" s="5">
        <v>55.2</v>
      </c>
      <c r="AZ10" s="5">
        <v>55.3</v>
      </c>
      <c r="BA10" s="5">
        <v>55.8</v>
      </c>
      <c r="BB10" s="5">
        <v>58.2</v>
      </c>
      <c r="BC10" s="5">
        <v>52.4</v>
      </c>
      <c r="BD10" s="5">
        <v>49</v>
      </c>
      <c r="BE10" s="5">
        <v>54.2</v>
      </c>
      <c r="BF10" s="5">
        <v>49.6</v>
      </c>
      <c r="BG10" s="5">
        <v>51.7</v>
      </c>
      <c r="BH10" s="5">
        <v>53.4</v>
      </c>
      <c r="BI10" s="5">
        <v>58.8</v>
      </c>
      <c r="BJ10" s="5">
        <v>55.4</v>
      </c>
    </row>
    <row r="11" spans="1:62" x14ac:dyDescent="0.3">
      <c r="A11" s="56">
        <v>43008</v>
      </c>
      <c r="B11" s="5">
        <v>53.1</v>
      </c>
      <c r="C11" s="5">
        <v>53.1</v>
      </c>
      <c r="D11" s="5">
        <v>54.6</v>
      </c>
      <c r="E11" s="5">
        <v>51.3</v>
      </c>
      <c r="F11" s="5">
        <v>55.5</v>
      </c>
      <c r="G11" s="5">
        <v>52.9</v>
      </c>
      <c r="H11" s="5">
        <v>55</v>
      </c>
      <c r="I11" s="5">
        <v>58.1</v>
      </c>
      <c r="J11" s="5">
        <v>60.6</v>
      </c>
      <c r="K11" s="5">
        <v>56.1</v>
      </c>
      <c r="L11" s="5">
        <v>60</v>
      </c>
      <c r="M11" s="5">
        <v>54.3</v>
      </c>
      <c r="N11" s="5">
        <v>56.3</v>
      </c>
      <c r="O11" s="5">
        <v>55.4</v>
      </c>
      <c r="P11" s="5">
        <v>59.4</v>
      </c>
      <c r="Q11" s="5">
        <v>51</v>
      </c>
      <c r="R11" s="5">
        <v>50.6</v>
      </c>
      <c r="S11" s="5">
        <v>54.2</v>
      </c>
      <c r="T11" s="5">
        <v>51.2</v>
      </c>
      <c r="U11" s="5">
        <v>50.4</v>
      </c>
      <c r="V11" s="5">
        <v>51.9</v>
      </c>
      <c r="W11" s="5">
        <v>53.5</v>
      </c>
      <c r="X11" s="5">
        <v>53.7</v>
      </c>
      <c r="Y11" s="5">
        <v>52.8</v>
      </c>
      <c r="Z11" s="5">
        <v>56.6</v>
      </c>
      <c r="AA11" s="5">
        <v>50.9</v>
      </c>
      <c r="AB11" s="5">
        <v>52.8</v>
      </c>
      <c r="AC11" s="5">
        <v>53.8</v>
      </c>
      <c r="AD11" s="5">
        <v>51.4</v>
      </c>
      <c r="AE11" s="5">
        <v>55.3</v>
      </c>
      <c r="AF11" s="5">
        <v>53.6</v>
      </c>
      <c r="AG11" s="5">
        <v>51</v>
      </c>
      <c r="AH11" s="5">
        <v>55.8</v>
      </c>
      <c r="AI11" s="5">
        <v>55.6</v>
      </c>
      <c r="AJ11" s="5">
        <v>57</v>
      </c>
      <c r="AK11" s="5">
        <v>56.7</v>
      </c>
      <c r="AL11" s="5">
        <v>53.2</v>
      </c>
      <c r="AM11" s="5">
        <v>58.7</v>
      </c>
      <c r="AN11" s="5">
        <v>50.6</v>
      </c>
      <c r="AO11" s="5">
        <v>50.7</v>
      </c>
      <c r="AP11" s="5">
        <v>55.2</v>
      </c>
      <c r="AQ11" s="5">
        <v>50.7</v>
      </c>
      <c r="AR11" s="5">
        <v>53.8</v>
      </c>
      <c r="AS11" s="5">
        <v>51.8</v>
      </c>
      <c r="AT11" s="5">
        <v>54.8</v>
      </c>
      <c r="AU11" s="5">
        <v>54</v>
      </c>
      <c r="AV11" s="5">
        <v>51.7</v>
      </c>
      <c r="AW11" s="5">
        <v>56.7</v>
      </c>
      <c r="AX11" s="5">
        <v>57.7</v>
      </c>
      <c r="AY11" s="5">
        <v>57.1</v>
      </c>
      <c r="AZ11" s="5">
        <v>56.4</v>
      </c>
      <c r="BA11" s="5">
        <v>54.3</v>
      </c>
      <c r="BB11" s="5">
        <v>57.6</v>
      </c>
      <c r="BC11" s="5">
        <v>51.4</v>
      </c>
      <c r="BD11" s="5">
        <v>51.1</v>
      </c>
      <c r="BE11" s="5">
        <v>54.8</v>
      </c>
      <c r="BF11" s="5">
        <v>51.1</v>
      </c>
      <c r="BG11" s="5">
        <v>52.4</v>
      </c>
      <c r="BH11" s="5">
        <v>55.4</v>
      </c>
      <c r="BI11" s="5">
        <v>59.9</v>
      </c>
      <c r="BJ11" s="5">
        <v>59.1</v>
      </c>
    </row>
    <row r="12" spans="1:62" x14ac:dyDescent="0.3">
      <c r="A12" s="56">
        <v>43039</v>
      </c>
      <c r="B12" s="5">
        <v>54.6</v>
      </c>
      <c r="C12" s="5">
        <v>53.3</v>
      </c>
      <c r="D12" s="5">
        <v>55.2</v>
      </c>
      <c r="E12" s="5">
        <v>51.2</v>
      </c>
      <c r="F12" s="5">
        <v>56.6</v>
      </c>
      <c r="G12" s="5">
        <v>52.8</v>
      </c>
      <c r="H12" s="5">
        <v>54.3</v>
      </c>
      <c r="I12" s="5">
        <v>58.5</v>
      </c>
      <c r="J12" s="5">
        <v>60.6</v>
      </c>
      <c r="K12" s="5">
        <v>56.1</v>
      </c>
      <c r="L12" s="5">
        <v>60.4</v>
      </c>
      <c r="M12" s="5">
        <v>55.8</v>
      </c>
      <c r="N12" s="5">
        <v>57.8</v>
      </c>
      <c r="O12" s="5">
        <v>54.4</v>
      </c>
      <c r="P12" s="5">
        <v>59.4</v>
      </c>
      <c r="Q12" s="5">
        <v>51</v>
      </c>
      <c r="R12" s="5">
        <v>50.2</v>
      </c>
      <c r="S12" s="5">
        <v>53.6</v>
      </c>
      <c r="T12" s="5">
        <v>50.3</v>
      </c>
      <c r="U12" s="5">
        <v>50.1</v>
      </c>
      <c r="V12" s="5">
        <v>51.1</v>
      </c>
      <c r="W12" s="5">
        <v>52.8</v>
      </c>
      <c r="X12" s="5">
        <v>53.4</v>
      </c>
      <c r="Y12" s="5">
        <v>52.1</v>
      </c>
      <c r="Z12" s="5">
        <v>58.5</v>
      </c>
      <c r="AA12" s="5">
        <v>51.2</v>
      </c>
      <c r="AB12" s="5">
        <v>49.2</v>
      </c>
      <c r="AC12" s="5">
        <v>54.1</v>
      </c>
      <c r="AD12" s="5">
        <v>51.6</v>
      </c>
      <c r="AE12" s="5">
        <v>55.3</v>
      </c>
      <c r="AF12" s="5">
        <v>55.6</v>
      </c>
      <c r="AG12" s="5">
        <v>53.4</v>
      </c>
      <c r="AH12" s="5">
        <v>55</v>
      </c>
      <c r="AI12" s="5">
        <v>54.7</v>
      </c>
      <c r="AJ12" s="5">
        <v>57.3</v>
      </c>
      <c r="AK12" s="5">
        <v>54.6</v>
      </c>
      <c r="AL12" s="5">
        <v>52.1</v>
      </c>
      <c r="AM12" s="5">
        <v>57.5</v>
      </c>
      <c r="AN12" s="5">
        <v>51.2</v>
      </c>
      <c r="AO12" s="5">
        <v>51.7</v>
      </c>
      <c r="AP12" s="5">
        <v>53.9</v>
      </c>
      <c r="AQ12" s="5">
        <v>48.8</v>
      </c>
      <c r="AR12" s="5">
        <v>53.9</v>
      </c>
      <c r="AS12" s="5">
        <v>51.5</v>
      </c>
      <c r="AT12" s="5">
        <v>55.2</v>
      </c>
      <c r="AU12" s="5">
        <v>55.9</v>
      </c>
      <c r="AV12" s="5">
        <v>53.4</v>
      </c>
      <c r="AW12" s="5">
        <v>56</v>
      </c>
      <c r="AX12" s="5">
        <v>56.6</v>
      </c>
      <c r="AY12" s="5">
        <v>57.4</v>
      </c>
      <c r="AZ12" s="5">
        <v>55.1</v>
      </c>
      <c r="BA12" s="5">
        <v>53.9</v>
      </c>
      <c r="BB12" s="5">
        <v>56</v>
      </c>
      <c r="BC12" s="5">
        <v>51</v>
      </c>
      <c r="BD12" s="5">
        <v>51.3</v>
      </c>
      <c r="BE12" s="5">
        <v>53.2</v>
      </c>
      <c r="BF12" s="5">
        <v>49.5</v>
      </c>
      <c r="BG12" s="5">
        <v>51.6</v>
      </c>
      <c r="BH12" s="5">
        <v>54.3</v>
      </c>
      <c r="BI12" s="5">
        <v>58.8</v>
      </c>
      <c r="BJ12" s="5">
        <v>59.6</v>
      </c>
    </row>
    <row r="13" spans="1:62" x14ac:dyDescent="0.3">
      <c r="A13" s="56">
        <v>43069</v>
      </c>
      <c r="B13" s="5">
        <v>53.9</v>
      </c>
      <c r="C13" s="5">
        <v>53.8</v>
      </c>
      <c r="D13" s="5">
        <v>55.8</v>
      </c>
      <c r="E13" s="5">
        <v>51.5</v>
      </c>
      <c r="F13" s="5">
        <v>58.2</v>
      </c>
      <c r="G13" s="5">
        <v>53.6</v>
      </c>
      <c r="H13" s="5">
        <v>54.4</v>
      </c>
      <c r="I13" s="5">
        <v>60.1</v>
      </c>
      <c r="J13" s="5">
        <v>62.5</v>
      </c>
      <c r="K13" s="5">
        <v>57.7</v>
      </c>
      <c r="L13" s="5">
        <v>62.4</v>
      </c>
      <c r="M13" s="5">
        <v>56.1</v>
      </c>
      <c r="N13" s="5">
        <v>58.3</v>
      </c>
      <c r="O13" s="5">
        <v>58.1</v>
      </c>
      <c r="P13" s="5">
        <v>61.9</v>
      </c>
      <c r="Q13" s="5">
        <v>50.8</v>
      </c>
      <c r="R13" s="5">
        <v>51.2</v>
      </c>
      <c r="S13" s="5">
        <v>56.3</v>
      </c>
      <c r="T13" s="5">
        <v>52.6</v>
      </c>
      <c r="U13" s="5">
        <v>50.4</v>
      </c>
      <c r="V13" s="5">
        <v>51.5</v>
      </c>
      <c r="W13" s="5">
        <v>52.9</v>
      </c>
      <c r="X13" s="5">
        <v>54.2</v>
      </c>
      <c r="Y13" s="5">
        <v>52.2</v>
      </c>
      <c r="Z13" s="5">
        <v>58.7</v>
      </c>
      <c r="AA13" s="5">
        <v>53.5</v>
      </c>
      <c r="AB13" s="5">
        <v>52.4</v>
      </c>
      <c r="AC13" s="5">
        <v>53.7</v>
      </c>
      <c r="AD13" s="5">
        <v>51.5</v>
      </c>
      <c r="AE13" s="5">
        <v>54.5</v>
      </c>
      <c r="AF13" s="5">
        <v>53.8</v>
      </c>
      <c r="AG13" s="5">
        <v>51.2</v>
      </c>
      <c r="AH13" s="5">
        <v>56.2</v>
      </c>
      <c r="AI13" s="5">
        <v>54.3</v>
      </c>
      <c r="AJ13" s="5">
        <v>60.4</v>
      </c>
      <c r="AK13" s="5">
        <v>54.4</v>
      </c>
      <c r="AL13" s="5">
        <v>54.7</v>
      </c>
      <c r="AM13" s="5">
        <v>56</v>
      </c>
      <c r="AN13" s="5">
        <v>51.9</v>
      </c>
      <c r="AO13" s="5">
        <v>48.5</v>
      </c>
      <c r="AP13" s="5">
        <v>57.4</v>
      </c>
      <c r="AQ13" s="5">
        <v>46.9</v>
      </c>
      <c r="AR13" s="5">
        <v>54</v>
      </c>
      <c r="AS13" s="5">
        <v>51.8</v>
      </c>
      <c r="AT13" s="5">
        <v>54.5</v>
      </c>
      <c r="AU13" s="5">
        <v>54.9</v>
      </c>
      <c r="AV13" s="5">
        <v>52.2</v>
      </c>
      <c r="AW13" s="5">
        <v>57.5</v>
      </c>
      <c r="AX13" s="5">
        <v>57.3</v>
      </c>
      <c r="AY13" s="5">
        <v>60.3</v>
      </c>
      <c r="AZ13" s="5">
        <v>55.2</v>
      </c>
      <c r="BA13" s="5">
        <v>56</v>
      </c>
      <c r="BB13" s="5">
        <v>57.7</v>
      </c>
      <c r="BC13" s="5">
        <v>51.6</v>
      </c>
      <c r="BD13" s="5">
        <v>50.3</v>
      </c>
      <c r="BE13" s="5">
        <v>56.3</v>
      </c>
      <c r="BF13" s="5">
        <v>48.9</v>
      </c>
      <c r="BG13" s="5">
        <v>51.8</v>
      </c>
      <c r="BH13" s="5">
        <v>54.8</v>
      </c>
      <c r="BI13" s="5">
        <v>58.1</v>
      </c>
      <c r="BJ13" s="5">
        <v>57.1</v>
      </c>
    </row>
    <row r="14" spans="1:62" x14ac:dyDescent="0.3">
      <c r="A14" s="56">
        <v>43100</v>
      </c>
      <c r="B14" s="5">
        <v>55.1</v>
      </c>
      <c r="C14" s="5">
        <v>54.3</v>
      </c>
      <c r="D14" s="5">
        <v>56.2</v>
      </c>
      <c r="E14" s="5">
        <v>52.1</v>
      </c>
      <c r="F14" s="5">
        <v>55.7</v>
      </c>
      <c r="G14" s="5">
        <v>54</v>
      </c>
      <c r="H14" s="5">
        <v>54.7</v>
      </c>
      <c r="I14" s="5">
        <v>60.6</v>
      </c>
      <c r="J14" s="5">
        <v>63.3</v>
      </c>
      <c r="K14" s="5">
        <v>58.8</v>
      </c>
      <c r="L14" s="5">
        <v>62.2</v>
      </c>
      <c r="M14" s="5">
        <v>55.8</v>
      </c>
      <c r="N14" s="5">
        <v>57.4</v>
      </c>
      <c r="O14" s="5">
        <v>59.1</v>
      </c>
      <c r="P14" s="5">
        <v>64.3</v>
      </c>
      <c r="Q14" s="5">
        <v>51.5</v>
      </c>
      <c r="R14" s="5">
        <v>49.9</v>
      </c>
      <c r="S14" s="5">
        <v>56.6</v>
      </c>
      <c r="T14" s="5">
        <v>54.7</v>
      </c>
      <c r="U14" s="5">
        <v>49.3</v>
      </c>
      <c r="V14" s="5">
        <v>52</v>
      </c>
      <c r="W14" s="5">
        <v>54.9</v>
      </c>
      <c r="X14" s="5">
        <v>55</v>
      </c>
      <c r="Y14" s="5">
        <v>53.1</v>
      </c>
      <c r="Z14" s="5">
        <v>59.8</v>
      </c>
      <c r="AA14" s="5">
        <v>52.4</v>
      </c>
      <c r="AB14" s="5">
        <v>51.7</v>
      </c>
      <c r="AC14" s="5">
        <v>53.8</v>
      </c>
      <c r="AD14" s="5">
        <v>52.9</v>
      </c>
      <c r="AE14" s="5">
        <v>53.7</v>
      </c>
      <c r="AF14" s="5">
        <v>54.2</v>
      </c>
      <c r="AG14" s="5">
        <v>51.1</v>
      </c>
      <c r="AH14" s="5">
        <v>56.6</v>
      </c>
      <c r="AI14" s="5">
        <v>55.8</v>
      </c>
      <c r="AJ14" s="5">
        <v>59.1</v>
      </c>
      <c r="AK14" s="5">
        <v>54.6</v>
      </c>
      <c r="AL14" s="5">
        <v>55.4</v>
      </c>
      <c r="AM14" s="5">
        <v>60.4</v>
      </c>
      <c r="AN14" s="5">
        <v>53.9</v>
      </c>
      <c r="AO14" s="5">
        <v>50.9</v>
      </c>
      <c r="AP14" s="5">
        <v>56.8</v>
      </c>
      <c r="AQ14" s="5">
        <v>47.4</v>
      </c>
      <c r="AR14" s="5">
        <v>54.3</v>
      </c>
      <c r="AS14" s="5">
        <v>53</v>
      </c>
      <c r="AT14" s="5">
        <v>54.1</v>
      </c>
      <c r="AU14" s="5">
        <v>54.8</v>
      </c>
      <c r="AV14" s="5">
        <v>52.2</v>
      </c>
      <c r="AW14" s="5">
        <v>58.1</v>
      </c>
      <c r="AX14" s="5">
        <v>58.9</v>
      </c>
      <c r="AY14" s="5">
        <v>59.6</v>
      </c>
      <c r="AZ14" s="5">
        <v>55.4</v>
      </c>
      <c r="BA14" s="5">
        <v>56.5</v>
      </c>
      <c r="BB14" s="5">
        <v>60.2</v>
      </c>
      <c r="BC14" s="5">
        <v>53</v>
      </c>
      <c r="BD14" s="5">
        <v>53</v>
      </c>
      <c r="BE14" s="5">
        <v>56</v>
      </c>
      <c r="BF14" s="5">
        <v>48.8</v>
      </c>
      <c r="BG14" s="5">
        <v>51.6</v>
      </c>
      <c r="BH14" s="5">
        <v>55</v>
      </c>
      <c r="BI14" s="5">
        <v>59.1</v>
      </c>
      <c r="BJ14" s="5">
        <v>55.9</v>
      </c>
    </row>
    <row r="15" spans="1:62" x14ac:dyDescent="0.3">
      <c r="A15" s="56">
        <v>43131</v>
      </c>
      <c r="B15" s="5">
        <v>55.5</v>
      </c>
      <c r="C15" s="5">
        <v>54.2</v>
      </c>
      <c r="D15" s="5">
        <v>56.2</v>
      </c>
      <c r="E15" s="5">
        <v>51.8</v>
      </c>
      <c r="F15" s="5">
        <v>55.2</v>
      </c>
      <c r="G15" s="5">
        <v>54.8</v>
      </c>
      <c r="H15" s="5">
        <v>55.9</v>
      </c>
      <c r="I15" s="5">
        <v>59.6</v>
      </c>
      <c r="J15" s="5">
        <v>61.1</v>
      </c>
      <c r="K15" s="5">
        <v>58.4</v>
      </c>
      <c r="L15" s="5">
        <v>62.5</v>
      </c>
      <c r="M15" s="5">
        <v>55.2</v>
      </c>
      <c r="N15" s="5">
        <v>59</v>
      </c>
      <c r="O15" s="5">
        <v>57.6</v>
      </c>
      <c r="P15" s="5">
        <v>61.3</v>
      </c>
      <c r="Q15" s="5">
        <v>51.5</v>
      </c>
      <c r="R15" s="5">
        <v>50.7</v>
      </c>
      <c r="S15" s="5">
        <v>56.9</v>
      </c>
      <c r="T15" s="5">
        <v>52.4</v>
      </c>
      <c r="U15" s="5">
        <v>49.9</v>
      </c>
      <c r="V15" s="5">
        <v>52.1</v>
      </c>
      <c r="W15" s="5">
        <v>55.7</v>
      </c>
      <c r="X15" s="5">
        <v>54.6</v>
      </c>
      <c r="Y15" s="5">
        <v>55.2</v>
      </c>
      <c r="Z15" s="5">
        <v>59.8</v>
      </c>
      <c r="AA15" s="5">
        <v>51.2</v>
      </c>
      <c r="AB15" s="5">
        <v>52.6</v>
      </c>
      <c r="AC15" s="5">
        <v>54.2</v>
      </c>
      <c r="AD15" s="5">
        <v>53.7</v>
      </c>
      <c r="AE15" s="5">
        <v>53.3</v>
      </c>
      <c r="AF15" s="5">
        <v>53</v>
      </c>
      <c r="AG15" s="5">
        <v>51.9</v>
      </c>
      <c r="AH15" s="5">
        <v>58</v>
      </c>
      <c r="AI15" s="5">
        <v>57.3</v>
      </c>
      <c r="AJ15" s="5">
        <v>59.2</v>
      </c>
      <c r="AK15" s="5">
        <v>56.9</v>
      </c>
      <c r="AL15" s="5">
        <v>57.7</v>
      </c>
      <c r="AM15" s="5">
        <v>59.8</v>
      </c>
      <c r="AN15" s="5">
        <v>54.7</v>
      </c>
      <c r="AO15" s="5">
        <v>51.7</v>
      </c>
      <c r="AP15" s="5">
        <v>55.1</v>
      </c>
      <c r="AQ15" s="5">
        <v>50</v>
      </c>
      <c r="AR15" s="5">
        <v>54.5</v>
      </c>
      <c r="AS15" s="5">
        <v>53.5</v>
      </c>
      <c r="AT15" s="5">
        <v>53.8</v>
      </c>
      <c r="AU15" s="5">
        <v>53.4</v>
      </c>
      <c r="AV15" s="5">
        <v>52.8</v>
      </c>
      <c r="AW15" s="5">
        <v>58.8</v>
      </c>
      <c r="AX15" s="5">
        <v>59</v>
      </c>
      <c r="AY15" s="5">
        <v>59.6</v>
      </c>
      <c r="AZ15" s="5">
        <v>56.7</v>
      </c>
      <c r="BA15" s="5">
        <v>59</v>
      </c>
      <c r="BB15" s="5">
        <v>59</v>
      </c>
      <c r="BC15" s="5">
        <v>53.7</v>
      </c>
      <c r="BD15" s="5">
        <v>52.5</v>
      </c>
      <c r="BE15" s="5">
        <v>54.8</v>
      </c>
      <c r="BF15" s="5">
        <v>50.7</v>
      </c>
      <c r="BG15" s="5">
        <v>51.3</v>
      </c>
      <c r="BH15" s="5">
        <v>55.3</v>
      </c>
      <c r="BI15" s="5">
        <v>59.2</v>
      </c>
      <c r="BJ15" s="5">
        <v>59.5</v>
      </c>
    </row>
    <row r="16" spans="1:62" x14ac:dyDescent="0.3">
      <c r="A16" s="56">
        <v>43159</v>
      </c>
      <c r="B16" s="5">
        <v>55.3</v>
      </c>
      <c r="C16" s="5">
        <v>53.9</v>
      </c>
      <c r="D16" s="5">
        <v>55.7</v>
      </c>
      <c r="E16" s="5">
        <v>51.9</v>
      </c>
      <c r="F16" s="5">
        <v>55.3</v>
      </c>
      <c r="G16" s="5">
        <v>54.1</v>
      </c>
      <c r="H16" s="5">
        <v>55.6</v>
      </c>
      <c r="I16" s="5">
        <v>58.6</v>
      </c>
      <c r="J16" s="5">
        <v>60.6</v>
      </c>
      <c r="K16" s="5">
        <v>55.9</v>
      </c>
      <c r="L16" s="5">
        <v>63.4</v>
      </c>
      <c r="M16" s="5">
        <v>56</v>
      </c>
      <c r="N16" s="5">
        <v>56.8</v>
      </c>
      <c r="O16" s="5">
        <v>56.2</v>
      </c>
      <c r="P16" s="5">
        <v>59.2</v>
      </c>
      <c r="Q16" s="5">
        <v>51.6</v>
      </c>
      <c r="R16" s="5">
        <v>50.3</v>
      </c>
      <c r="S16" s="5">
        <v>56</v>
      </c>
      <c r="T16" s="5">
        <v>52.1</v>
      </c>
      <c r="U16" s="5">
        <v>51.4</v>
      </c>
      <c r="V16" s="5">
        <v>50.2</v>
      </c>
      <c r="W16" s="5">
        <v>55.6</v>
      </c>
      <c r="X16" s="5">
        <v>53.7</v>
      </c>
      <c r="Y16" s="5">
        <v>56.1</v>
      </c>
      <c r="Z16" s="5">
        <v>58.8</v>
      </c>
      <c r="AA16" s="5">
        <v>53.2</v>
      </c>
      <c r="AB16" s="5">
        <v>51.6</v>
      </c>
      <c r="AC16" s="5">
        <v>54.8</v>
      </c>
      <c r="AD16" s="5">
        <v>53.4</v>
      </c>
      <c r="AE16" s="5">
        <v>55.9</v>
      </c>
      <c r="AF16" s="5">
        <v>54.5</v>
      </c>
      <c r="AG16" s="5">
        <v>51.7</v>
      </c>
      <c r="AH16" s="5">
        <v>56.2</v>
      </c>
      <c r="AI16" s="5">
        <v>55.3</v>
      </c>
      <c r="AJ16" s="5">
        <v>57.4</v>
      </c>
      <c r="AK16" s="5">
        <v>57.3</v>
      </c>
      <c r="AL16" s="5">
        <v>55</v>
      </c>
      <c r="AM16" s="5">
        <v>57.2</v>
      </c>
      <c r="AN16" s="5">
        <v>54.2</v>
      </c>
      <c r="AO16" s="5">
        <v>47.8</v>
      </c>
      <c r="AP16" s="5">
        <v>56.5</v>
      </c>
      <c r="AQ16" s="5">
        <v>52.7</v>
      </c>
      <c r="AR16" s="5">
        <v>54.7</v>
      </c>
      <c r="AS16" s="5">
        <v>53.2</v>
      </c>
      <c r="AT16" s="5">
        <v>55.8</v>
      </c>
      <c r="AU16" s="5">
        <v>54.5</v>
      </c>
      <c r="AV16" s="5">
        <v>52.2</v>
      </c>
      <c r="AW16" s="5">
        <v>57.1</v>
      </c>
      <c r="AX16" s="5">
        <v>57.6</v>
      </c>
      <c r="AY16" s="5">
        <v>57.3</v>
      </c>
      <c r="AZ16" s="5">
        <v>57.1</v>
      </c>
      <c r="BA16" s="5">
        <v>56</v>
      </c>
      <c r="BB16" s="5">
        <v>56.8</v>
      </c>
      <c r="BC16" s="5">
        <v>53.3</v>
      </c>
      <c r="BD16" s="5">
        <v>49.7</v>
      </c>
      <c r="BE16" s="5">
        <v>55.2</v>
      </c>
      <c r="BF16" s="5">
        <v>53.1</v>
      </c>
      <c r="BG16" s="5">
        <v>50.3</v>
      </c>
      <c r="BH16" s="5">
        <v>54.4</v>
      </c>
      <c r="BI16" s="5">
        <v>60.6</v>
      </c>
      <c r="BJ16" s="5">
        <v>58.2</v>
      </c>
    </row>
    <row r="17" spans="1:342" x14ac:dyDescent="0.3">
      <c r="A17" s="56">
        <v>43190</v>
      </c>
      <c r="B17" s="5">
        <v>55.6</v>
      </c>
      <c r="C17" s="5">
        <v>53.1</v>
      </c>
      <c r="D17" s="5">
        <v>54.8</v>
      </c>
      <c r="E17" s="5">
        <v>51.3</v>
      </c>
      <c r="F17" s="5">
        <v>54.8</v>
      </c>
      <c r="G17" s="5">
        <v>53.1</v>
      </c>
      <c r="H17" s="5">
        <v>55.7</v>
      </c>
      <c r="I17" s="5">
        <v>56.6</v>
      </c>
      <c r="J17" s="5">
        <v>58.2</v>
      </c>
      <c r="K17" s="5">
        <v>53.7</v>
      </c>
      <c r="L17" s="5">
        <v>61.5</v>
      </c>
      <c r="M17" s="5">
        <v>54.8</v>
      </c>
      <c r="N17" s="5">
        <v>55.1</v>
      </c>
      <c r="O17" s="5">
        <v>54.1</v>
      </c>
      <c r="P17" s="5">
        <v>58</v>
      </c>
      <c r="Q17" s="5">
        <v>51</v>
      </c>
      <c r="R17" s="5">
        <v>49.1</v>
      </c>
      <c r="S17" s="5">
        <v>55.3</v>
      </c>
      <c r="T17" s="5">
        <v>51</v>
      </c>
      <c r="U17" s="5">
        <v>50.7</v>
      </c>
      <c r="V17" s="5">
        <v>50.6</v>
      </c>
      <c r="W17" s="5">
        <v>51.8</v>
      </c>
      <c r="X17" s="5">
        <v>53.7</v>
      </c>
      <c r="Y17" s="5">
        <v>55</v>
      </c>
      <c r="Z17" s="5">
        <v>57.3</v>
      </c>
      <c r="AA17" s="5">
        <v>53.4</v>
      </c>
      <c r="AB17" s="5">
        <v>52.4</v>
      </c>
      <c r="AC17" s="5">
        <v>53.3</v>
      </c>
      <c r="AD17" s="5">
        <v>52.6</v>
      </c>
      <c r="AE17" s="5">
        <v>54</v>
      </c>
      <c r="AF17" s="5">
        <v>51.7</v>
      </c>
      <c r="AG17" s="5">
        <v>50.9</v>
      </c>
      <c r="AH17" s="5">
        <v>54.9</v>
      </c>
      <c r="AI17" s="5">
        <v>53.9</v>
      </c>
      <c r="AJ17" s="5">
        <v>56.9</v>
      </c>
      <c r="AK17" s="5">
        <v>56.2</v>
      </c>
      <c r="AL17" s="5">
        <v>52.6</v>
      </c>
      <c r="AM17" s="5">
        <v>56.5</v>
      </c>
      <c r="AN17" s="5">
        <v>52.3</v>
      </c>
      <c r="AO17" s="5">
        <v>50.3</v>
      </c>
      <c r="AP17" s="5">
        <v>53.7</v>
      </c>
      <c r="AQ17" s="5">
        <v>50.4</v>
      </c>
      <c r="AR17" s="5">
        <v>53.3</v>
      </c>
      <c r="AS17" s="5">
        <v>52.3</v>
      </c>
      <c r="AT17" s="5">
        <v>54.2</v>
      </c>
      <c r="AU17" s="5">
        <v>52.4</v>
      </c>
      <c r="AV17" s="5">
        <v>51.3</v>
      </c>
      <c r="AW17" s="5">
        <v>55.2</v>
      </c>
      <c r="AX17" s="5">
        <v>55.1</v>
      </c>
      <c r="AY17" s="5">
        <v>56.3</v>
      </c>
      <c r="AZ17" s="5">
        <v>55.8</v>
      </c>
      <c r="BA17" s="5">
        <v>53.5</v>
      </c>
      <c r="BB17" s="5">
        <v>53.7</v>
      </c>
      <c r="BC17" s="5">
        <v>51.8</v>
      </c>
      <c r="BD17" s="5">
        <v>50.8</v>
      </c>
      <c r="BE17" s="5">
        <v>53.2</v>
      </c>
      <c r="BF17" s="5">
        <v>51.5</v>
      </c>
      <c r="BG17" s="5">
        <v>51.5</v>
      </c>
      <c r="BH17" s="5">
        <v>54.6</v>
      </c>
      <c r="BI17" s="5">
        <v>58.9</v>
      </c>
      <c r="BJ17" s="5">
        <v>58.7</v>
      </c>
    </row>
    <row r="18" spans="1:342" x14ac:dyDescent="0.3">
      <c r="A18" s="56">
        <v>43220</v>
      </c>
      <c r="B18" s="5">
        <v>56.5</v>
      </c>
      <c r="C18" s="5">
        <v>53.3</v>
      </c>
      <c r="D18" s="5">
        <v>55.1</v>
      </c>
      <c r="E18" s="5">
        <v>51.3</v>
      </c>
      <c r="F18" s="5">
        <v>53.8</v>
      </c>
      <c r="G18" s="5">
        <v>53.8</v>
      </c>
      <c r="H18" s="5">
        <v>55.5</v>
      </c>
      <c r="I18" s="5">
        <v>56.2</v>
      </c>
      <c r="J18" s="5">
        <v>58.1</v>
      </c>
      <c r="K18" s="5">
        <v>53.8</v>
      </c>
      <c r="L18" s="5">
        <v>60.7</v>
      </c>
      <c r="M18" s="5">
        <v>54.4</v>
      </c>
      <c r="N18" s="5">
        <v>53.5</v>
      </c>
      <c r="O18" s="5">
        <v>55.3</v>
      </c>
      <c r="P18" s="5">
        <v>58</v>
      </c>
      <c r="Q18" s="5">
        <v>51.1</v>
      </c>
      <c r="R18" s="5">
        <v>48.4</v>
      </c>
      <c r="S18" s="5">
        <v>54.8</v>
      </c>
      <c r="T18" s="5">
        <v>51.6</v>
      </c>
      <c r="U18" s="5">
        <v>51.6</v>
      </c>
      <c r="V18" s="5">
        <v>51.3</v>
      </c>
      <c r="W18" s="5">
        <v>48.9</v>
      </c>
      <c r="X18" s="5">
        <v>53.9</v>
      </c>
      <c r="Y18" s="5">
        <v>52.9</v>
      </c>
      <c r="Z18" s="5">
        <v>57.2</v>
      </c>
      <c r="AA18" s="5">
        <v>52.3</v>
      </c>
      <c r="AB18" s="5">
        <v>51.6</v>
      </c>
      <c r="AC18" s="5">
        <v>53.9</v>
      </c>
      <c r="AD18" s="5">
        <v>52.8</v>
      </c>
      <c r="AE18" s="5">
        <v>54.6</v>
      </c>
      <c r="AF18" s="5">
        <v>52.8</v>
      </c>
      <c r="AG18" s="5">
        <v>52.5</v>
      </c>
      <c r="AH18" s="5">
        <v>54.7</v>
      </c>
      <c r="AI18" s="5">
        <v>53</v>
      </c>
      <c r="AJ18" s="5">
        <v>57.4</v>
      </c>
      <c r="AK18" s="5">
        <v>55.6</v>
      </c>
      <c r="AL18" s="5">
        <v>52.6</v>
      </c>
      <c r="AM18" s="5">
        <v>58.4</v>
      </c>
      <c r="AN18" s="5">
        <v>52.9</v>
      </c>
      <c r="AO18" s="5">
        <v>51.4</v>
      </c>
      <c r="AP18" s="5">
        <v>55.5</v>
      </c>
      <c r="AQ18" s="5">
        <v>50</v>
      </c>
      <c r="AR18" s="5">
        <v>53.8</v>
      </c>
      <c r="AS18" s="5">
        <v>52.4</v>
      </c>
      <c r="AT18" s="5">
        <v>54.9</v>
      </c>
      <c r="AU18" s="5">
        <v>53.2</v>
      </c>
      <c r="AV18" s="5">
        <v>53.1</v>
      </c>
      <c r="AW18" s="5">
        <v>55.1</v>
      </c>
      <c r="AX18" s="5">
        <v>54.6</v>
      </c>
      <c r="AY18" s="5">
        <v>56.9</v>
      </c>
      <c r="AZ18" s="5">
        <v>55.4</v>
      </c>
      <c r="BA18" s="5">
        <v>52.9</v>
      </c>
      <c r="BB18" s="5">
        <v>57.6</v>
      </c>
      <c r="BC18" s="5">
        <v>52.3</v>
      </c>
      <c r="BD18" s="5">
        <v>51.9</v>
      </c>
      <c r="BE18" s="5">
        <v>54.9</v>
      </c>
      <c r="BF18" s="5">
        <v>50.6</v>
      </c>
      <c r="BG18" s="5">
        <v>51.4</v>
      </c>
      <c r="BH18" s="5">
        <v>54.8</v>
      </c>
      <c r="BI18" s="5">
        <v>58.4</v>
      </c>
      <c r="BJ18" s="5">
        <v>57.5</v>
      </c>
    </row>
    <row r="19" spans="1:342" x14ac:dyDescent="0.3">
      <c r="A19" s="56">
        <v>43251</v>
      </c>
      <c r="B19" s="5">
        <v>56.4</v>
      </c>
      <c r="C19" s="5">
        <v>53</v>
      </c>
      <c r="D19" s="5">
        <v>54.7</v>
      </c>
      <c r="E19" s="5">
        <v>51.1</v>
      </c>
      <c r="F19" s="5">
        <v>54.3</v>
      </c>
      <c r="G19" s="5">
        <v>52.8</v>
      </c>
      <c r="H19" s="5">
        <v>56.2</v>
      </c>
      <c r="I19" s="5">
        <v>55.5</v>
      </c>
      <c r="J19" s="5">
        <v>56.9</v>
      </c>
      <c r="K19" s="5">
        <v>54.4</v>
      </c>
      <c r="L19" s="5">
        <v>60.3</v>
      </c>
      <c r="M19" s="5">
        <v>53.4</v>
      </c>
      <c r="N19" s="5">
        <v>52.7</v>
      </c>
      <c r="O19" s="5">
        <v>55.4</v>
      </c>
      <c r="P19" s="5">
        <v>57.3</v>
      </c>
      <c r="Q19" s="5">
        <v>51.1</v>
      </c>
      <c r="R19" s="5">
        <v>48.9</v>
      </c>
      <c r="S19" s="5">
        <v>53.4</v>
      </c>
      <c r="T19" s="5">
        <v>51.2</v>
      </c>
      <c r="U19" s="5">
        <v>51.7</v>
      </c>
      <c r="V19" s="5">
        <v>49.8</v>
      </c>
      <c r="W19" s="5">
        <v>46.4</v>
      </c>
      <c r="X19" s="5">
        <v>53.3</v>
      </c>
      <c r="Y19" s="5">
        <v>54.2</v>
      </c>
      <c r="Z19" s="5">
        <v>56.5</v>
      </c>
      <c r="AA19" s="5">
        <v>50.7</v>
      </c>
      <c r="AB19" s="5">
        <v>51</v>
      </c>
      <c r="AC19" s="5">
        <v>54.3</v>
      </c>
      <c r="AD19" s="5">
        <v>52.5</v>
      </c>
      <c r="AE19" s="5">
        <v>56.8</v>
      </c>
      <c r="AF19" s="5">
        <v>54</v>
      </c>
      <c r="AG19" s="5">
        <v>51</v>
      </c>
      <c r="AH19" s="5">
        <v>53.8</v>
      </c>
      <c r="AI19" s="5">
        <v>52.1</v>
      </c>
      <c r="AJ19" s="5">
        <v>54.3</v>
      </c>
      <c r="AK19" s="5">
        <v>56.4</v>
      </c>
      <c r="AL19" s="5">
        <v>53.1</v>
      </c>
      <c r="AM19" s="5">
        <v>59.3</v>
      </c>
      <c r="AN19" s="5">
        <v>52.9</v>
      </c>
      <c r="AO19" s="5">
        <v>49.6</v>
      </c>
      <c r="AP19" s="5">
        <v>54.1</v>
      </c>
      <c r="AQ19" s="5">
        <v>49.5</v>
      </c>
      <c r="AR19" s="5">
        <v>54</v>
      </c>
      <c r="AS19" s="5">
        <v>52.2</v>
      </c>
      <c r="AT19" s="5">
        <v>56.6</v>
      </c>
      <c r="AU19" s="5">
        <v>54.4</v>
      </c>
      <c r="AV19" s="5">
        <v>51.7</v>
      </c>
      <c r="AW19" s="5">
        <v>54.1</v>
      </c>
      <c r="AX19" s="5">
        <v>53.4</v>
      </c>
      <c r="AY19" s="5">
        <v>54.2</v>
      </c>
      <c r="AZ19" s="5">
        <v>55.9</v>
      </c>
      <c r="BA19" s="5">
        <v>52.9</v>
      </c>
      <c r="BB19" s="5">
        <v>57.7</v>
      </c>
      <c r="BC19" s="5">
        <v>52.3</v>
      </c>
      <c r="BD19" s="5">
        <v>50.4</v>
      </c>
      <c r="BE19" s="5">
        <v>53.4</v>
      </c>
      <c r="BF19" s="5">
        <v>49.7</v>
      </c>
      <c r="BG19" s="5">
        <v>51.9</v>
      </c>
      <c r="BH19" s="5">
        <v>54.9</v>
      </c>
      <c r="BI19" s="5">
        <v>59</v>
      </c>
      <c r="BJ19" s="5">
        <v>58.2</v>
      </c>
    </row>
    <row r="20" spans="1:342" x14ac:dyDescent="0.3">
      <c r="A20" s="56">
        <v>43281</v>
      </c>
      <c r="B20" s="5">
        <v>55.4</v>
      </c>
      <c r="C20" s="5">
        <v>52.8</v>
      </c>
      <c r="D20" s="5">
        <v>54.4</v>
      </c>
      <c r="E20" s="5">
        <v>51.2</v>
      </c>
      <c r="F20" s="5">
        <v>54</v>
      </c>
      <c r="G20" s="5">
        <v>53</v>
      </c>
      <c r="H20" s="5">
        <v>57.1</v>
      </c>
      <c r="I20" s="5">
        <v>54.9</v>
      </c>
      <c r="J20" s="5">
        <v>55.9</v>
      </c>
      <c r="K20" s="5">
        <v>52.5</v>
      </c>
      <c r="L20" s="5">
        <v>60.1</v>
      </c>
      <c r="M20" s="5">
        <v>53.4</v>
      </c>
      <c r="N20" s="5">
        <v>53.3</v>
      </c>
      <c r="O20" s="5">
        <v>56.6</v>
      </c>
      <c r="P20" s="5">
        <v>56.6</v>
      </c>
      <c r="Q20" s="5">
        <v>51</v>
      </c>
      <c r="R20" s="5">
        <v>49.8</v>
      </c>
      <c r="S20" s="5">
        <v>54.5</v>
      </c>
      <c r="T20" s="5">
        <v>53.1</v>
      </c>
      <c r="U20" s="5">
        <v>50.3</v>
      </c>
      <c r="V20" s="5">
        <v>49.5</v>
      </c>
      <c r="W20" s="5">
        <v>46.8</v>
      </c>
      <c r="X20" s="5">
        <v>54.2</v>
      </c>
      <c r="Y20" s="5">
        <v>53.5</v>
      </c>
      <c r="Z20" s="5">
        <v>56.8</v>
      </c>
      <c r="AA20" s="5">
        <v>49.8</v>
      </c>
      <c r="AB20" s="5">
        <v>52.1</v>
      </c>
      <c r="AC20" s="5">
        <v>54.6</v>
      </c>
      <c r="AD20" s="5">
        <v>52.8</v>
      </c>
      <c r="AE20" s="5">
        <v>56.5</v>
      </c>
      <c r="AF20" s="5">
        <v>55.1</v>
      </c>
      <c r="AG20" s="5">
        <v>51.4</v>
      </c>
      <c r="AH20" s="5">
        <v>55.2</v>
      </c>
      <c r="AI20" s="5">
        <v>54.5</v>
      </c>
      <c r="AJ20" s="5">
        <v>55.9</v>
      </c>
      <c r="AK20" s="5">
        <v>55.4</v>
      </c>
      <c r="AL20" s="5">
        <v>54.3</v>
      </c>
      <c r="AM20" s="5">
        <v>59.5</v>
      </c>
      <c r="AN20" s="5">
        <v>53.9</v>
      </c>
      <c r="AO20" s="5">
        <v>52.6</v>
      </c>
      <c r="AP20" s="5">
        <v>52.3</v>
      </c>
      <c r="AQ20" s="5">
        <v>47</v>
      </c>
      <c r="AR20" s="5">
        <v>54.2</v>
      </c>
      <c r="AS20" s="5">
        <v>52.4</v>
      </c>
      <c r="AT20" s="5">
        <v>56.2</v>
      </c>
      <c r="AU20" s="5">
        <v>55.1</v>
      </c>
      <c r="AV20" s="5">
        <v>52.1</v>
      </c>
      <c r="AW20" s="5">
        <v>54.9</v>
      </c>
      <c r="AX20" s="5">
        <v>54.8</v>
      </c>
      <c r="AY20" s="5">
        <v>55</v>
      </c>
      <c r="AZ20" s="5">
        <v>54.8</v>
      </c>
      <c r="BA20" s="5">
        <v>53.9</v>
      </c>
      <c r="BB20" s="5">
        <v>58.1</v>
      </c>
      <c r="BC20" s="5">
        <v>53</v>
      </c>
      <c r="BD20" s="5">
        <v>53.3</v>
      </c>
      <c r="BE20" s="5">
        <v>52</v>
      </c>
      <c r="BF20" s="5">
        <v>47</v>
      </c>
      <c r="BG20" s="5">
        <v>51.5</v>
      </c>
      <c r="BH20" s="5">
        <v>55</v>
      </c>
      <c r="BI20" s="5">
        <v>59.9</v>
      </c>
      <c r="BJ20" s="5">
        <v>59.2</v>
      </c>
    </row>
    <row r="21" spans="1:342" x14ac:dyDescent="0.3">
      <c r="A21" s="56">
        <v>43312</v>
      </c>
      <c r="B21" s="5">
        <v>55.3</v>
      </c>
      <c r="C21" s="5">
        <v>52.6</v>
      </c>
      <c r="D21" s="5">
        <v>54</v>
      </c>
      <c r="E21" s="5">
        <v>51</v>
      </c>
      <c r="F21" s="5">
        <v>53.9</v>
      </c>
      <c r="G21" s="5">
        <v>52.3</v>
      </c>
      <c r="H21" s="5">
        <v>56.9</v>
      </c>
      <c r="I21" s="5">
        <v>55.1</v>
      </c>
      <c r="J21" s="5">
        <v>56.9</v>
      </c>
      <c r="K21" s="5">
        <v>53.3</v>
      </c>
      <c r="L21" s="5">
        <v>58</v>
      </c>
      <c r="M21" s="5">
        <v>52.9</v>
      </c>
      <c r="N21" s="5">
        <v>51.5</v>
      </c>
      <c r="O21" s="5">
        <v>56.3</v>
      </c>
      <c r="P21" s="5">
        <v>56.8</v>
      </c>
      <c r="Q21" s="5">
        <v>50.8</v>
      </c>
      <c r="R21" s="5">
        <v>48.3</v>
      </c>
      <c r="S21" s="5">
        <v>53.1</v>
      </c>
      <c r="T21" s="5">
        <v>52.3</v>
      </c>
      <c r="U21" s="5">
        <v>50.5</v>
      </c>
      <c r="V21" s="5">
        <v>48.1</v>
      </c>
      <c r="W21" s="5">
        <v>49</v>
      </c>
      <c r="X21" s="5">
        <v>52.9</v>
      </c>
      <c r="Y21" s="5">
        <v>53.5</v>
      </c>
      <c r="Z21" s="5">
        <v>55.4</v>
      </c>
      <c r="AA21" s="5">
        <v>50.5</v>
      </c>
      <c r="AB21" s="5">
        <v>52.1</v>
      </c>
      <c r="AC21" s="5">
        <v>54</v>
      </c>
      <c r="AD21" s="5">
        <v>52.9</v>
      </c>
      <c r="AE21" s="5">
        <v>56</v>
      </c>
      <c r="AF21" s="5">
        <v>53.5</v>
      </c>
      <c r="AG21" s="5">
        <v>51.3</v>
      </c>
      <c r="AH21" s="5">
        <v>54.2</v>
      </c>
      <c r="AI21" s="5">
        <v>54.1</v>
      </c>
      <c r="AJ21" s="5">
        <v>54.9</v>
      </c>
      <c r="AK21" s="5">
        <v>52.6</v>
      </c>
      <c r="AL21" s="5">
        <v>54</v>
      </c>
      <c r="AM21" s="5">
        <v>57.4</v>
      </c>
      <c r="AN21" s="5">
        <v>52.8</v>
      </c>
      <c r="AO21" s="5">
        <v>54.2</v>
      </c>
      <c r="AP21" s="5">
        <v>52.8</v>
      </c>
      <c r="AQ21" s="5">
        <v>50.4</v>
      </c>
      <c r="AR21" s="5">
        <v>53.7</v>
      </c>
      <c r="AS21" s="5">
        <v>52.5</v>
      </c>
      <c r="AT21" s="5">
        <v>55.7</v>
      </c>
      <c r="AU21" s="5">
        <v>53.5</v>
      </c>
      <c r="AV21" s="5">
        <v>51.8</v>
      </c>
      <c r="AW21" s="5">
        <v>54.3</v>
      </c>
      <c r="AX21" s="5">
        <v>55</v>
      </c>
      <c r="AY21" s="5">
        <v>54.4</v>
      </c>
      <c r="AZ21" s="5">
        <v>52.7</v>
      </c>
      <c r="BA21" s="5">
        <v>53</v>
      </c>
      <c r="BB21" s="5">
        <v>56.8</v>
      </c>
      <c r="BC21" s="5">
        <v>52.3</v>
      </c>
      <c r="BD21" s="5">
        <v>54.1</v>
      </c>
      <c r="BE21" s="5">
        <v>51.7</v>
      </c>
      <c r="BF21" s="5">
        <v>50.4</v>
      </c>
      <c r="BG21" s="5">
        <v>51.2</v>
      </c>
      <c r="BH21" s="5">
        <v>54</v>
      </c>
      <c r="BI21" s="5">
        <v>58.2</v>
      </c>
      <c r="BJ21" s="5">
        <v>57.5</v>
      </c>
    </row>
    <row r="22" spans="1:342" x14ac:dyDescent="0.3">
      <c r="A22" s="56">
        <v>43343</v>
      </c>
      <c r="B22" s="5">
        <v>54.7</v>
      </c>
      <c r="C22" s="5">
        <v>52.4</v>
      </c>
      <c r="D22" s="5">
        <v>53.8</v>
      </c>
      <c r="E22" s="5">
        <v>50.8</v>
      </c>
      <c r="F22" s="5">
        <v>52.9</v>
      </c>
      <c r="G22" s="5">
        <v>52.5</v>
      </c>
      <c r="H22" s="5">
        <v>56.8</v>
      </c>
      <c r="I22" s="5">
        <v>54.6</v>
      </c>
      <c r="J22" s="5">
        <v>55.9</v>
      </c>
      <c r="K22" s="5">
        <v>53.5</v>
      </c>
      <c r="L22" s="5">
        <v>59.1</v>
      </c>
      <c r="M22" s="5">
        <v>53</v>
      </c>
      <c r="N22" s="5">
        <v>50.1</v>
      </c>
      <c r="O22" s="5">
        <v>57.5</v>
      </c>
      <c r="P22" s="5">
        <v>56.4</v>
      </c>
      <c r="Q22" s="5">
        <v>50.6</v>
      </c>
      <c r="R22" s="5">
        <v>49.9</v>
      </c>
      <c r="S22" s="5">
        <v>53</v>
      </c>
      <c r="T22" s="5">
        <v>51.7</v>
      </c>
      <c r="U22" s="5">
        <v>51.9</v>
      </c>
      <c r="V22" s="5">
        <v>48.9</v>
      </c>
      <c r="W22" s="5">
        <v>46.4</v>
      </c>
      <c r="X22" s="5">
        <v>51.4</v>
      </c>
      <c r="Y22" s="5">
        <v>53.9</v>
      </c>
      <c r="Z22" s="5">
        <v>54.9</v>
      </c>
      <c r="AA22" s="5">
        <v>51.1</v>
      </c>
      <c r="AB22" s="5">
        <v>50.7</v>
      </c>
      <c r="AC22" s="5">
        <v>53.5</v>
      </c>
      <c r="AD22" s="5">
        <v>51.7</v>
      </c>
      <c r="AE22" s="5">
        <v>54.8</v>
      </c>
      <c r="AF22" s="5">
        <v>54.3</v>
      </c>
      <c r="AG22" s="5">
        <v>51.5</v>
      </c>
      <c r="AH22" s="5">
        <v>54.4</v>
      </c>
      <c r="AI22" s="5">
        <v>55</v>
      </c>
      <c r="AJ22" s="5">
        <v>55.4</v>
      </c>
      <c r="AK22" s="5">
        <v>52.7</v>
      </c>
      <c r="AL22" s="5">
        <v>52.6</v>
      </c>
      <c r="AM22" s="5">
        <v>58</v>
      </c>
      <c r="AN22" s="5">
        <v>51.5</v>
      </c>
      <c r="AO22" s="5">
        <v>51.5</v>
      </c>
      <c r="AP22" s="5">
        <v>53.3</v>
      </c>
      <c r="AQ22" s="5">
        <v>46.8</v>
      </c>
      <c r="AR22" s="5">
        <v>53.4</v>
      </c>
      <c r="AS22" s="5">
        <v>51.8</v>
      </c>
      <c r="AT22" s="5">
        <v>54.7</v>
      </c>
      <c r="AU22" s="5">
        <v>54.2</v>
      </c>
      <c r="AV22" s="5">
        <v>52</v>
      </c>
      <c r="AW22" s="5">
        <v>54.5</v>
      </c>
      <c r="AX22" s="5">
        <v>55.6</v>
      </c>
      <c r="AY22" s="5">
        <v>54.9</v>
      </c>
      <c r="AZ22" s="5">
        <v>53</v>
      </c>
      <c r="BA22" s="5">
        <v>51.7</v>
      </c>
      <c r="BB22" s="5">
        <v>58.4</v>
      </c>
      <c r="BC22" s="5">
        <v>52</v>
      </c>
      <c r="BD22" s="5">
        <v>51.9</v>
      </c>
      <c r="BE22" s="5">
        <v>52.1</v>
      </c>
      <c r="BF22" s="5">
        <v>47.8</v>
      </c>
      <c r="BG22" s="5">
        <v>51.3</v>
      </c>
      <c r="BH22" s="5">
        <v>54.2</v>
      </c>
      <c r="BI22" s="5">
        <v>60.8</v>
      </c>
      <c r="BJ22" s="5">
        <v>58.9</v>
      </c>
    </row>
    <row r="23" spans="1:342" x14ac:dyDescent="0.3">
      <c r="A23" s="56">
        <v>43373</v>
      </c>
      <c r="B23" s="5">
        <v>55.6</v>
      </c>
      <c r="C23" s="5">
        <v>52</v>
      </c>
      <c r="D23" s="5">
        <v>53.6</v>
      </c>
      <c r="E23" s="5">
        <v>50.3</v>
      </c>
      <c r="F23" s="5">
        <v>53.7</v>
      </c>
      <c r="G23" s="5">
        <v>52.5</v>
      </c>
      <c r="H23" s="5">
        <v>54.8</v>
      </c>
      <c r="I23" s="5">
        <v>53.2</v>
      </c>
      <c r="J23" s="5">
        <v>53.7</v>
      </c>
      <c r="K23" s="5">
        <v>52.5</v>
      </c>
      <c r="L23" s="5">
        <v>59.8</v>
      </c>
      <c r="M23" s="5">
        <v>51.4</v>
      </c>
      <c r="N23" s="5">
        <v>50</v>
      </c>
      <c r="O23" s="5">
        <v>56.3</v>
      </c>
      <c r="P23" s="5">
        <v>55</v>
      </c>
      <c r="Q23" s="5">
        <v>50</v>
      </c>
      <c r="R23" s="5">
        <v>51.3</v>
      </c>
      <c r="S23" s="5">
        <v>50.8</v>
      </c>
      <c r="T23" s="5">
        <v>52.2</v>
      </c>
      <c r="U23" s="5">
        <v>50.7</v>
      </c>
      <c r="V23" s="5">
        <v>50</v>
      </c>
      <c r="W23" s="5">
        <v>42.7</v>
      </c>
      <c r="X23" s="5">
        <v>50.5</v>
      </c>
      <c r="Y23" s="5">
        <v>53.6</v>
      </c>
      <c r="Z23" s="5">
        <v>53.4</v>
      </c>
      <c r="AA23" s="5">
        <v>50.9</v>
      </c>
      <c r="AB23" s="5">
        <v>51.7</v>
      </c>
      <c r="AC23" s="5">
        <v>52.9</v>
      </c>
      <c r="AD23" s="5">
        <v>52.1</v>
      </c>
      <c r="AE23" s="5">
        <v>53.5</v>
      </c>
      <c r="AF23" s="5">
        <v>53.9</v>
      </c>
      <c r="AG23" s="5">
        <v>50.2</v>
      </c>
      <c r="AH23" s="5">
        <v>54.7</v>
      </c>
      <c r="AI23" s="5">
        <v>55.9</v>
      </c>
      <c r="AJ23" s="5">
        <v>54.8</v>
      </c>
      <c r="AK23" s="5">
        <v>52.5</v>
      </c>
      <c r="AL23" s="5">
        <v>53.3</v>
      </c>
      <c r="AM23" s="5">
        <v>58.7</v>
      </c>
      <c r="AN23" s="5">
        <v>53.1</v>
      </c>
      <c r="AO23" s="5">
        <v>50.9</v>
      </c>
      <c r="AP23" s="5">
        <v>54.7</v>
      </c>
      <c r="AQ23" s="5">
        <v>46.4</v>
      </c>
      <c r="AR23" s="5">
        <v>52.7</v>
      </c>
      <c r="AS23" s="5">
        <v>51.6</v>
      </c>
      <c r="AT23" s="5">
        <v>53.9</v>
      </c>
      <c r="AU23" s="5">
        <v>54.1</v>
      </c>
      <c r="AV23" s="5">
        <v>50.7</v>
      </c>
      <c r="AW23" s="5">
        <v>54.1</v>
      </c>
      <c r="AX23" s="5">
        <v>55</v>
      </c>
      <c r="AY23" s="5">
        <v>54</v>
      </c>
      <c r="AZ23" s="5">
        <v>52.5</v>
      </c>
      <c r="BA23" s="5">
        <v>52.4</v>
      </c>
      <c r="BB23" s="5">
        <v>58.4</v>
      </c>
      <c r="BC23" s="5">
        <v>52.1</v>
      </c>
      <c r="BD23" s="5">
        <v>51.6</v>
      </c>
      <c r="BE23" s="5">
        <v>53.5</v>
      </c>
      <c r="BF23" s="5">
        <v>47.3</v>
      </c>
      <c r="BG23" s="5">
        <v>50.8</v>
      </c>
      <c r="BH23" s="5">
        <v>54.9</v>
      </c>
      <c r="BI23" s="5">
        <v>59.3</v>
      </c>
      <c r="BJ23" s="5">
        <v>61.2</v>
      </c>
    </row>
    <row r="24" spans="1:342" x14ac:dyDescent="0.3">
      <c r="A24" s="56">
        <v>43404</v>
      </c>
      <c r="B24" s="5">
        <v>55.7</v>
      </c>
      <c r="C24" s="5">
        <v>51.9</v>
      </c>
      <c r="D24" s="5">
        <v>53.2</v>
      </c>
      <c r="E24" s="5">
        <v>50.5</v>
      </c>
      <c r="F24" s="5">
        <v>51.1</v>
      </c>
      <c r="G24" s="5">
        <v>52.9</v>
      </c>
      <c r="H24" s="5">
        <v>53.9</v>
      </c>
      <c r="I24" s="5">
        <v>52</v>
      </c>
      <c r="J24" s="5">
        <v>52.2</v>
      </c>
      <c r="K24" s="5">
        <v>51.2</v>
      </c>
      <c r="L24" s="5">
        <v>57.1</v>
      </c>
      <c r="M24" s="5">
        <v>51.8</v>
      </c>
      <c r="N24" s="5">
        <v>49.2</v>
      </c>
      <c r="O24" s="5">
        <v>54.9</v>
      </c>
      <c r="P24" s="5">
        <v>53.8</v>
      </c>
      <c r="Q24" s="5">
        <v>50.1</v>
      </c>
      <c r="R24" s="5">
        <v>51</v>
      </c>
      <c r="S24" s="5">
        <v>48.7</v>
      </c>
      <c r="T24" s="5">
        <v>53.1</v>
      </c>
      <c r="U24" s="5">
        <v>50.5</v>
      </c>
      <c r="V24" s="5">
        <v>51.3</v>
      </c>
      <c r="W24" s="5">
        <v>44.3</v>
      </c>
      <c r="X24" s="5">
        <v>50.4</v>
      </c>
      <c r="Y24" s="5">
        <v>53.1</v>
      </c>
      <c r="Z24" s="5">
        <v>52.5</v>
      </c>
      <c r="AA24" s="5">
        <v>51.1</v>
      </c>
      <c r="AB24" s="5">
        <v>50.7</v>
      </c>
      <c r="AC24" s="5">
        <v>53.4</v>
      </c>
      <c r="AD24" s="5">
        <v>51.9</v>
      </c>
      <c r="AE24" s="5">
        <v>54.8</v>
      </c>
      <c r="AF24" s="5">
        <v>52.2</v>
      </c>
      <c r="AG24" s="5">
        <v>52.4</v>
      </c>
      <c r="AH24" s="5">
        <v>53.7</v>
      </c>
      <c r="AI24" s="5">
        <v>54.7</v>
      </c>
      <c r="AJ24" s="5">
        <v>55.3</v>
      </c>
      <c r="AK24" s="5">
        <v>54</v>
      </c>
      <c r="AL24" s="5">
        <v>49.2</v>
      </c>
      <c r="AM24" s="5">
        <v>57.2</v>
      </c>
      <c r="AN24" s="5">
        <v>50.8</v>
      </c>
      <c r="AO24" s="5">
        <v>52.2</v>
      </c>
      <c r="AP24" s="5">
        <v>56.9</v>
      </c>
      <c r="AQ24" s="5">
        <v>50.5</v>
      </c>
      <c r="AR24" s="5">
        <v>52.9</v>
      </c>
      <c r="AS24" s="5">
        <v>51.3</v>
      </c>
      <c r="AT24" s="5">
        <v>54.9</v>
      </c>
      <c r="AU24" s="5">
        <v>52.1</v>
      </c>
      <c r="AV24" s="5">
        <v>52.5</v>
      </c>
      <c r="AW24" s="5">
        <v>53.1</v>
      </c>
      <c r="AX24" s="5">
        <v>53.4</v>
      </c>
      <c r="AY24" s="5">
        <v>54.1</v>
      </c>
      <c r="AZ24" s="5">
        <v>53.7</v>
      </c>
      <c r="BA24" s="5">
        <v>49.3</v>
      </c>
      <c r="BB24" s="5">
        <v>56.1</v>
      </c>
      <c r="BC24" s="5">
        <v>50.5</v>
      </c>
      <c r="BD24" s="5">
        <v>53</v>
      </c>
      <c r="BE24" s="5">
        <v>55.8</v>
      </c>
      <c r="BF24" s="5">
        <v>50.5</v>
      </c>
      <c r="BG24" s="5">
        <v>50.2</v>
      </c>
      <c r="BH24" s="5">
        <v>53.9</v>
      </c>
      <c r="BI24" s="5">
        <v>58.5</v>
      </c>
      <c r="BJ24" s="5">
        <v>60.3</v>
      </c>
    </row>
    <row r="25" spans="1:342" x14ac:dyDescent="0.3">
      <c r="A25" s="56">
        <v>43434</v>
      </c>
      <c r="B25" s="5">
        <v>55.3</v>
      </c>
      <c r="C25" s="5">
        <v>51.8</v>
      </c>
      <c r="D25" s="5">
        <v>52.8</v>
      </c>
      <c r="E25" s="5">
        <v>50.7</v>
      </c>
      <c r="F25" s="5">
        <v>53.3</v>
      </c>
      <c r="G25" s="5">
        <v>52.2</v>
      </c>
      <c r="H25" s="5">
        <v>54.9</v>
      </c>
      <c r="I25" s="5">
        <v>51.8</v>
      </c>
      <c r="J25" s="5">
        <v>51.8</v>
      </c>
      <c r="K25" s="5">
        <v>50.8</v>
      </c>
      <c r="L25" s="5">
        <v>56.1</v>
      </c>
      <c r="M25" s="5">
        <v>52.6</v>
      </c>
      <c r="N25" s="5">
        <v>48.6</v>
      </c>
      <c r="O25" s="5">
        <v>55.4</v>
      </c>
      <c r="P25" s="5">
        <v>54.9</v>
      </c>
      <c r="Q25" s="5">
        <v>50.2</v>
      </c>
      <c r="R25" s="5">
        <v>48.6</v>
      </c>
      <c r="S25" s="5">
        <v>48.4</v>
      </c>
      <c r="T25" s="5">
        <v>54</v>
      </c>
      <c r="U25" s="5">
        <v>50.4</v>
      </c>
      <c r="V25" s="5">
        <v>52.6</v>
      </c>
      <c r="W25" s="5">
        <v>44.7</v>
      </c>
      <c r="X25" s="5">
        <v>49.5</v>
      </c>
      <c r="Y25" s="5">
        <v>54</v>
      </c>
      <c r="Z25" s="5">
        <v>51.8</v>
      </c>
      <c r="AA25" s="5">
        <v>52.7</v>
      </c>
      <c r="AB25" s="5">
        <v>49.7</v>
      </c>
      <c r="AC25" s="5">
        <v>53.7</v>
      </c>
      <c r="AD25" s="5">
        <v>53.7</v>
      </c>
      <c r="AE25" s="5">
        <v>54.7</v>
      </c>
      <c r="AF25" s="5">
        <v>50.4</v>
      </c>
      <c r="AG25" s="5">
        <v>52.3</v>
      </c>
      <c r="AH25" s="5">
        <v>53.4</v>
      </c>
      <c r="AI25" s="5">
        <v>53.3</v>
      </c>
      <c r="AJ25" s="5">
        <v>55.1</v>
      </c>
      <c r="AK25" s="5">
        <v>54</v>
      </c>
      <c r="AL25" s="5">
        <v>50.3</v>
      </c>
      <c r="AM25" s="5">
        <v>57.1</v>
      </c>
      <c r="AN25" s="5">
        <v>53.8</v>
      </c>
      <c r="AO25" s="5">
        <v>53.7</v>
      </c>
      <c r="AP25" s="5">
        <v>55.6</v>
      </c>
      <c r="AQ25" s="5">
        <v>51.3</v>
      </c>
      <c r="AR25" s="5">
        <v>53.1</v>
      </c>
      <c r="AS25" s="5">
        <v>52.6</v>
      </c>
      <c r="AT25" s="5">
        <v>54.7</v>
      </c>
      <c r="AU25" s="5">
        <v>50.8</v>
      </c>
      <c r="AV25" s="5">
        <v>52.4</v>
      </c>
      <c r="AW25" s="5">
        <v>52.7</v>
      </c>
      <c r="AX25" s="5">
        <v>52.3</v>
      </c>
      <c r="AY25" s="5">
        <v>54.2</v>
      </c>
      <c r="AZ25" s="5">
        <v>53.9</v>
      </c>
      <c r="BA25" s="5">
        <v>49.3</v>
      </c>
      <c r="BB25" s="5">
        <v>56.6</v>
      </c>
      <c r="BC25" s="5">
        <v>51.9</v>
      </c>
      <c r="BD25" s="5">
        <v>54.5</v>
      </c>
      <c r="BE25" s="5">
        <v>55</v>
      </c>
      <c r="BF25" s="5">
        <v>51.6</v>
      </c>
      <c r="BG25" s="5">
        <v>50</v>
      </c>
      <c r="BH25" s="5">
        <v>53.4</v>
      </c>
      <c r="BI25" s="5">
        <v>58.8</v>
      </c>
      <c r="BJ25" s="5">
        <v>60.2</v>
      </c>
    </row>
    <row r="26" spans="1:342" s="7" customFormat="1" x14ac:dyDescent="0.3">
      <c r="A26" s="56">
        <v>43465</v>
      </c>
      <c r="B26" s="5">
        <v>53.8</v>
      </c>
      <c r="C26" s="5">
        <v>51.4</v>
      </c>
      <c r="D26" s="5">
        <v>52.3</v>
      </c>
      <c r="E26" s="5">
        <v>50.2</v>
      </c>
      <c r="F26" s="5">
        <v>54.3</v>
      </c>
      <c r="G26" s="5">
        <v>52.6</v>
      </c>
      <c r="H26" s="5">
        <v>53.6</v>
      </c>
      <c r="I26" s="5">
        <v>51.4</v>
      </c>
      <c r="J26" s="5">
        <v>51.5</v>
      </c>
      <c r="K26" s="5">
        <v>49.7</v>
      </c>
      <c r="L26" s="5">
        <v>57.2</v>
      </c>
      <c r="M26" s="5">
        <v>51.1</v>
      </c>
      <c r="N26" s="5">
        <v>49.2</v>
      </c>
      <c r="O26" s="5">
        <v>54.5</v>
      </c>
      <c r="P26" s="5">
        <v>53.9</v>
      </c>
      <c r="Q26" s="5">
        <v>49.7</v>
      </c>
      <c r="R26" s="5">
        <v>49.8</v>
      </c>
      <c r="S26" s="5">
        <v>47.7</v>
      </c>
      <c r="T26" s="5">
        <v>53.2</v>
      </c>
      <c r="U26" s="5">
        <v>51.2</v>
      </c>
      <c r="V26" s="5">
        <v>51.7</v>
      </c>
      <c r="W26" s="5">
        <v>44.2</v>
      </c>
      <c r="X26" s="5">
        <v>47.6</v>
      </c>
      <c r="Y26" s="5">
        <v>53.8</v>
      </c>
      <c r="Z26" s="5">
        <v>49.7</v>
      </c>
      <c r="AA26" s="5">
        <v>52.6</v>
      </c>
      <c r="AB26" s="5">
        <v>49.7</v>
      </c>
      <c r="AC26" s="5">
        <v>53</v>
      </c>
      <c r="AD26" s="5">
        <v>53.7</v>
      </c>
      <c r="AE26" s="5">
        <v>54.4</v>
      </c>
      <c r="AF26" s="5">
        <v>51.2</v>
      </c>
      <c r="AG26" s="5">
        <v>51</v>
      </c>
      <c r="AH26" s="5">
        <v>51.2</v>
      </c>
      <c r="AI26" s="5">
        <v>51.8</v>
      </c>
      <c r="AJ26" s="5">
        <v>49</v>
      </c>
      <c r="AK26" s="5">
        <v>54</v>
      </c>
      <c r="AL26" s="5">
        <v>50.5</v>
      </c>
      <c r="AM26" s="5">
        <v>56.3</v>
      </c>
      <c r="AN26" s="5">
        <v>53.9</v>
      </c>
      <c r="AO26" s="5">
        <v>53.2</v>
      </c>
      <c r="AP26" s="5">
        <v>54.4</v>
      </c>
      <c r="AQ26" s="5">
        <v>51.9</v>
      </c>
      <c r="AR26" s="5">
        <v>52.7</v>
      </c>
      <c r="AS26" s="5">
        <v>52.5</v>
      </c>
      <c r="AT26" s="5">
        <v>54.4</v>
      </c>
      <c r="AU26" s="5">
        <v>51.4</v>
      </c>
      <c r="AV26" s="5">
        <v>52</v>
      </c>
      <c r="AW26" s="5">
        <v>51.1</v>
      </c>
      <c r="AX26" s="5">
        <v>51.6</v>
      </c>
      <c r="AY26" s="5">
        <v>48.7</v>
      </c>
      <c r="AZ26" s="5">
        <v>53.4</v>
      </c>
      <c r="BA26" s="5">
        <v>50</v>
      </c>
      <c r="BB26" s="5">
        <v>55.5</v>
      </c>
      <c r="BC26" s="5">
        <v>52.2</v>
      </c>
      <c r="BD26" s="5">
        <v>53.6</v>
      </c>
      <c r="BE26" s="5">
        <v>53.9</v>
      </c>
      <c r="BF26" s="5">
        <v>52.4</v>
      </c>
      <c r="BG26" s="7">
        <v>49.4</v>
      </c>
      <c r="BH26" s="7">
        <v>53.8</v>
      </c>
      <c r="BI26" s="5">
        <v>55</v>
      </c>
      <c r="BJ26" s="5">
        <v>58</v>
      </c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</row>
    <row r="27" spans="1:342" s="7" customFormat="1" x14ac:dyDescent="0.3">
      <c r="A27" s="56">
        <v>43496</v>
      </c>
      <c r="B27" s="5">
        <v>54.9</v>
      </c>
      <c r="C27" s="5">
        <v>50.6</v>
      </c>
      <c r="D27" s="5">
        <v>51.7</v>
      </c>
      <c r="E27" s="5">
        <v>49.4</v>
      </c>
      <c r="F27" s="5">
        <v>52.8</v>
      </c>
      <c r="G27" s="5">
        <v>50.3</v>
      </c>
      <c r="H27" s="5">
        <v>53</v>
      </c>
      <c r="I27" s="5">
        <v>50.5</v>
      </c>
      <c r="J27" s="5">
        <v>49.7</v>
      </c>
      <c r="K27" s="5">
        <v>51.2</v>
      </c>
      <c r="L27" s="5">
        <v>55.1</v>
      </c>
      <c r="M27" s="5">
        <v>52.4</v>
      </c>
      <c r="N27" s="5">
        <v>47.8</v>
      </c>
      <c r="O27" s="5">
        <v>52.6</v>
      </c>
      <c r="P27" s="5">
        <v>52.7</v>
      </c>
      <c r="Q27" s="5">
        <v>48.3</v>
      </c>
      <c r="R27" s="5">
        <v>48.3</v>
      </c>
      <c r="S27" s="5">
        <v>47.5</v>
      </c>
      <c r="T27" s="5">
        <v>53.9</v>
      </c>
      <c r="U27" s="5">
        <v>49.9</v>
      </c>
      <c r="V27" s="5">
        <v>50.9</v>
      </c>
      <c r="W27" s="5">
        <v>44.2</v>
      </c>
      <c r="X27" s="5">
        <v>48.2</v>
      </c>
      <c r="Y27" s="5">
        <v>53.7</v>
      </c>
      <c r="Z27" s="5">
        <v>49</v>
      </c>
      <c r="AA27" s="5">
        <v>52.7</v>
      </c>
      <c r="AB27" s="5">
        <v>50.9</v>
      </c>
      <c r="AC27" s="5">
        <v>52.6</v>
      </c>
      <c r="AD27" s="5">
        <v>52.9</v>
      </c>
      <c r="AE27" s="5">
        <v>54.2</v>
      </c>
      <c r="AF27" s="5">
        <v>50.1</v>
      </c>
      <c r="AG27" s="5">
        <v>51.6</v>
      </c>
      <c r="AH27" s="5">
        <v>51.2</v>
      </c>
      <c r="AI27" s="5">
        <v>53</v>
      </c>
      <c r="AJ27" s="5">
        <v>47.8</v>
      </c>
      <c r="AK27" s="5">
        <v>54.7</v>
      </c>
      <c r="AL27" s="5">
        <v>49.7</v>
      </c>
      <c r="AM27" s="5">
        <v>54.2</v>
      </c>
      <c r="AN27" s="5">
        <v>53.6</v>
      </c>
      <c r="AO27" s="5">
        <v>52.2</v>
      </c>
      <c r="AP27" s="5">
        <v>54.9</v>
      </c>
      <c r="AQ27" s="5">
        <v>52</v>
      </c>
      <c r="AR27" s="5">
        <v>52.1</v>
      </c>
      <c r="AS27" s="5">
        <v>51.5</v>
      </c>
      <c r="AT27" s="5">
        <v>54.4</v>
      </c>
      <c r="AU27" s="5">
        <v>50.3</v>
      </c>
      <c r="AV27" s="5">
        <v>50.9</v>
      </c>
      <c r="AW27" s="5">
        <v>51</v>
      </c>
      <c r="AX27" s="5">
        <v>52.1</v>
      </c>
      <c r="AY27" s="5">
        <v>48.2</v>
      </c>
      <c r="AZ27" s="5">
        <v>54.5</v>
      </c>
      <c r="BA27" s="5">
        <v>48.8</v>
      </c>
      <c r="BB27" s="5">
        <v>53.3</v>
      </c>
      <c r="BC27" s="5">
        <v>50.9</v>
      </c>
      <c r="BD27" s="5">
        <v>53.6</v>
      </c>
      <c r="BE27" s="5">
        <v>53.6</v>
      </c>
      <c r="BF27" s="5">
        <v>52.3</v>
      </c>
      <c r="BG27" s="7">
        <v>49.5</v>
      </c>
      <c r="BH27" s="7">
        <v>54.7</v>
      </c>
      <c r="BI27" s="5">
        <v>55.5</v>
      </c>
      <c r="BJ27" s="5">
        <v>56</v>
      </c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</row>
    <row r="28" spans="1:342" s="7" customFormat="1" x14ac:dyDescent="0.3">
      <c r="A28" s="56">
        <v>43524</v>
      </c>
      <c r="B28" s="5">
        <v>53</v>
      </c>
      <c r="C28" s="5">
        <v>50.5</v>
      </c>
      <c r="D28" s="5">
        <v>50.3</v>
      </c>
      <c r="E28" s="5">
        <v>50.5</v>
      </c>
      <c r="F28" s="5">
        <v>52.1</v>
      </c>
      <c r="G28" s="5">
        <v>48.9</v>
      </c>
      <c r="H28" s="5">
        <v>52.6</v>
      </c>
      <c r="I28" s="5">
        <v>49.3</v>
      </c>
      <c r="J28" s="5">
        <v>47.6</v>
      </c>
      <c r="K28" s="5">
        <v>51.5</v>
      </c>
      <c r="L28" s="5">
        <v>52.7</v>
      </c>
      <c r="M28" s="5">
        <v>49.9</v>
      </c>
      <c r="N28" s="5">
        <v>47.7</v>
      </c>
      <c r="O28" s="5">
        <v>54</v>
      </c>
      <c r="P28" s="5">
        <v>51.8</v>
      </c>
      <c r="Q28" s="5">
        <v>49.9</v>
      </c>
      <c r="R28" s="5">
        <v>47.2</v>
      </c>
      <c r="S28" s="5">
        <v>46.3</v>
      </c>
      <c r="T28" s="5">
        <v>54.3</v>
      </c>
      <c r="U28" s="5">
        <v>50.1</v>
      </c>
      <c r="V28" s="5">
        <v>50.1</v>
      </c>
      <c r="W28" s="5">
        <v>46.4</v>
      </c>
      <c r="X28" s="5">
        <v>47.6</v>
      </c>
      <c r="Y28" s="5">
        <v>54.2</v>
      </c>
      <c r="Z28" s="5">
        <v>48.6</v>
      </c>
      <c r="AA28" s="5">
        <v>53.4</v>
      </c>
      <c r="AB28" s="5">
        <v>52.6</v>
      </c>
      <c r="AC28" s="5">
        <v>53.3</v>
      </c>
      <c r="AD28" s="5">
        <v>52</v>
      </c>
      <c r="AE28" s="5">
        <v>56</v>
      </c>
      <c r="AF28" s="5">
        <v>51.3</v>
      </c>
      <c r="AG28" s="5">
        <v>52.3</v>
      </c>
      <c r="AH28" s="5">
        <v>52.8</v>
      </c>
      <c r="AI28" s="5">
        <v>55.3</v>
      </c>
      <c r="AJ28" s="5">
        <v>50.2</v>
      </c>
      <c r="AK28" s="5">
        <v>54.5</v>
      </c>
      <c r="AL28" s="5">
        <v>50.4</v>
      </c>
      <c r="AM28" s="5">
        <v>55.9</v>
      </c>
      <c r="AN28" s="5">
        <v>51.1</v>
      </c>
      <c r="AO28" s="5">
        <v>52.5</v>
      </c>
      <c r="AP28" s="5">
        <v>55.3</v>
      </c>
      <c r="AQ28" s="5">
        <v>52.2</v>
      </c>
      <c r="AR28" s="5">
        <v>52.5</v>
      </c>
      <c r="AS28" s="5">
        <v>51.6</v>
      </c>
      <c r="AT28" s="5">
        <v>55.5</v>
      </c>
      <c r="AU28" s="5">
        <v>51.5</v>
      </c>
      <c r="AV28" s="5">
        <v>50.7</v>
      </c>
      <c r="AW28" s="5">
        <v>51.9</v>
      </c>
      <c r="AX28" s="5">
        <v>52.8</v>
      </c>
      <c r="AY28" s="5">
        <v>50.4</v>
      </c>
      <c r="AZ28" s="5">
        <v>53.5</v>
      </c>
      <c r="BA28" s="5">
        <v>49.6</v>
      </c>
      <c r="BB28" s="5">
        <v>55.4</v>
      </c>
      <c r="BC28" s="5">
        <v>50.7</v>
      </c>
      <c r="BD28" s="5">
        <v>53.8</v>
      </c>
      <c r="BE28" s="5">
        <v>54.1</v>
      </c>
      <c r="BF28" s="5">
        <v>52.6</v>
      </c>
      <c r="BG28" s="7">
        <v>49.2</v>
      </c>
      <c r="BH28" s="7">
        <v>54.3</v>
      </c>
      <c r="BI28" s="5">
        <v>54.1</v>
      </c>
      <c r="BJ28" s="5">
        <v>58.5</v>
      </c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</row>
    <row r="29" spans="1:342" s="7" customFormat="1" x14ac:dyDescent="0.3">
      <c r="A29" s="56">
        <v>43555</v>
      </c>
      <c r="B29" s="5">
        <v>52.4</v>
      </c>
      <c r="C29" s="5">
        <v>50.5</v>
      </c>
      <c r="D29" s="5">
        <v>49.9</v>
      </c>
      <c r="E29" s="5">
        <v>51</v>
      </c>
      <c r="F29" s="5">
        <v>55.1</v>
      </c>
      <c r="G29" s="5">
        <v>49.2</v>
      </c>
      <c r="H29" s="5">
        <v>50.5</v>
      </c>
      <c r="I29" s="5">
        <v>47.5</v>
      </c>
      <c r="J29" s="5">
        <v>44.1</v>
      </c>
      <c r="K29" s="5">
        <v>49.7</v>
      </c>
      <c r="L29" s="5">
        <v>52.5</v>
      </c>
      <c r="M29" s="5">
        <v>50.9</v>
      </c>
      <c r="N29" s="5">
        <v>47.4</v>
      </c>
      <c r="O29" s="5">
        <v>53.9</v>
      </c>
      <c r="P29" s="5">
        <v>50</v>
      </c>
      <c r="Q29" s="5">
        <v>50.8</v>
      </c>
      <c r="R29" s="5">
        <v>48.8</v>
      </c>
      <c r="S29" s="5">
        <v>49</v>
      </c>
      <c r="T29" s="5">
        <v>52.6</v>
      </c>
      <c r="U29" s="5">
        <v>51.2</v>
      </c>
      <c r="V29" s="5">
        <v>52.8</v>
      </c>
      <c r="W29" s="5">
        <v>47.2</v>
      </c>
      <c r="X29" s="5">
        <v>48.7</v>
      </c>
      <c r="Y29" s="5">
        <v>54.7</v>
      </c>
      <c r="Z29" s="5">
        <v>47.3</v>
      </c>
      <c r="AA29" s="5">
        <v>52.8</v>
      </c>
      <c r="AB29" s="5">
        <v>49.8</v>
      </c>
      <c r="AC29" s="5">
        <v>53.8</v>
      </c>
      <c r="AD29" s="5">
        <v>53.7</v>
      </c>
      <c r="AE29" s="5">
        <v>55.3</v>
      </c>
      <c r="AF29" s="5">
        <v>48.9</v>
      </c>
      <c r="AG29" s="5">
        <v>52</v>
      </c>
      <c r="AH29" s="5">
        <v>53.3</v>
      </c>
      <c r="AI29" s="5">
        <v>55.4</v>
      </c>
      <c r="AJ29" s="5">
        <v>49.1</v>
      </c>
      <c r="AK29" s="5">
        <v>56.8</v>
      </c>
      <c r="AL29" s="5">
        <v>53.1</v>
      </c>
      <c r="AM29" s="5">
        <v>55.3</v>
      </c>
      <c r="AN29" s="5">
        <v>54.4</v>
      </c>
      <c r="AO29" s="5">
        <v>52</v>
      </c>
      <c r="AP29" s="5">
        <v>54.4</v>
      </c>
      <c r="AQ29" s="5">
        <v>52.7</v>
      </c>
      <c r="AR29" s="5">
        <v>52.8</v>
      </c>
      <c r="AS29" s="5">
        <v>52.9</v>
      </c>
      <c r="AT29" s="5">
        <v>54.6</v>
      </c>
      <c r="AU29" s="5">
        <v>50</v>
      </c>
      <c r="AV29" s="5">
        <v>50.4</v>
      </c>
      <c r="AW29" s="5">
        <v>51.6</v>
      </c>
      <c r="AX29" s="5">
        <v>51.4</v>
      </c>
      <c r="AY29" s="5">
        <v>48.9</v>
      </c>
      <c r="AZ29" s="5">
        <v>55.4</v>
      </c>
      <c r="BA29" s="5">
        <v>51.5</v>
      </c>
      <c r="BB29" s="5">
        <v>54.1</v>
      </c>
      <c r="BC29" s="5">
        <v>52.9</v>
      </c>
      <c r="BD29" s="5">
        <v>52.7</v>
      </c>
      <c r="BE29" s="5">
        <v>54.6</v>
      </c>
      <c r="BF29" s="5">
        <v>53.1</v>
      </c>
      <c r="BG29" s="7">
        <v>50.5</v>
      </c>
      <c r="BH29" s="7">
        <v>54.8</v>
      </c>
      <c r="BI29" s="5">
        <v>54.6</v>
      </c>
      <c r="BJ29" s="5">
        <v>56.3</v>
      </c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</row>
    <row r="30" spans="1:342" s="7" customFormat="1" x14ac:dyDescent="0.3">
      <c r="A30" s="56">
        <v>43585</v>
      </c>
      <c r="B30" s="5">
        <v>52.6</v>
      </c>
      <c r="C30" s="5">
        <v>50.5</v>
      </c>
      <c r="D30" s="5">
        <v>50.2</v>
      </c>
      <c r="E30" s="5">
        <v>50.5</v>
      </c>
      <c r="F30" s="5">
        <v>53.1</v>
      </c>
      <c r="G30" s="5">
        <v>50.2</v>
      </c>
      <c r="H30" s="5">
        <v>49.7</v>
      </c>
      <c r="I30" s="5">
        <v>47.9</v>
      </c>
      <c r="J30" s="5">
        <v>44.4</v>
      </c>
      <c r="K30" s="5">
        <v>50</v>
      </c>
      <c r="L30" s="5">
        <v>52</v>
      </c>
      <c r="M30" s="5">
        <v>51.8</v>
      </c>
      <c r="N30" s="5">
        <v>49.1</v>
      </c>
      <c r="O30" s="5">
        <v>52.5</v>
      </c>
      <c r="P30" s="5">
        <v>49.2</v>
      </c>
      <c r="Q30" s="5">
        <v>50.2</v>
      </c>
      <c r="R30" s="5">
        <v>50.2</v>
      </c>
      <c r="S30" s="5">
        <v>48.2</v>
      </c>
      <c r="T30" s="5">
        <v>51.8</v>
      </c>
      <c r="U30" s="5">
        <v>50.4</v>
      </c>
      <c r="V30" s="5">
        <v>51.8</v>
      </c>
      <c r="W30" s="5">
        <v>46.8</v>
      </c>
      <c r="X30" s="5">
        <v>49</v>
      </c>
      <c r="Y30" s="5">
        <v>56.6</v>
      </c>
      <c r="Z30" s="5">
        <v>46.6</v>
      </c>
      <c r="AA30" s="5">
        <v>51.5</v>
      </c>
      <c r="AB30" s="5">
        <v>50.1</v>
      </c>
      <c r="AC30" s="5">
        <v>52.8</v>
      </c>
      <c r="AD30" s="5">
        <v>53.4</v>
      </c>
      <c r="AE30" s="5">
        <v>53</v>
      </c>
      <c r="AF30" s="5">
        <v>50.4</v>
      </c>
      <c r="AG30" s="5">
        <v>51.8</v>
      </c>
      <c r="AH30" s="5">
        <v>52.8</v>
      </c>
      <c r="AI30" s="5">
        <v>55.7</v>
      </c>
      <c r="AJ30" s="5">
        <v>50.5</v>
      </c>
      <c r="AK30" s="5">
        <v>53.1</v>
      </c>
      <c r="AL30" s="5">
        <v>50.4</v>
      </c>
      <c r="AM30" s="5">
        <v>54.7</v>
      </c>
      <c r="AN30" s="5">
        <v>54.5</v>
      </c>
      <c r="AO30" s="5">
        <v>51</v>
      </c>
      <c r="AP30" s="5">
        <v>52.6</v>
      </c>
      <c r="AQ30" s="5">
        <v>49.9</v>
      </c>
      <c r="AR30" s="5">
        <v>52.2</v>
      </c>
      <c r="AS30" s="5">
        <v>52.5</v>
      </c>
      <c r="AT30" s="5">
        <v>53</v>
      </c>
      <c r="AU30" s="5">
        <v>50.9</v>
      </c>
      <c r="AV30" s="5">
        <v>50.8</v>
      </c>
      <c r="AW30" s="5">
        <v>51.5</v>
      </c>
      <c r="AX30" s="5">
        <v>52.2</v>
      </c>
      <c r="AY30" s="5">
        <v>50.1</v>
      </c>
      <c r="AZ30" s="5">
        <v>52.9</v>
      </c>
      <c r="BA30" s="5">
        <v>49.5</v>
      </c>
      <c r="BB30" s="5">
        <v>53.4</v>
      </c>
      <c r="BC30" s="5">
        <v>52.7</v>
      </c>
      <c r="BD30" s="5">
        <v>51.7</v>
      </c>
      <c r="BE30" s="5">
        <v>53</v>
      </c>
      <c r="BF30" s="5">
        <v>50.6</v>
      </c>
      <c r="BG30" s="7">
        <v>50.1</v>
      </c>
      <c r="BH30" s="7">
        <v>54.3</v>
      </c>
      <c r="BI30" s="5">
        <v>53.4</v>
      </c>
      <c r="BJ30" s="5">
        <v>55.7</v>
      </c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</row>
    <row r="31" spans="1:342" s="7" customFormat="1" x14ac:dyDescent="0.3">
      <c r="A31" s="56">
        <v>43616</v>
      </c>
      <c r="B31" s="5">
        <v>50.5</v>
      </c>
      <c r="C31" s="5">
        <v>49.8</v>
      </c>
      <c r="D31" s="5">
        <v>49.2</v>
      </c>
      <c r="E31" s="5">
        <v>50.4</v>
      </c>
      <c r="F31" s="5">
        <v>49.4</v>
      </c>
      <c r="G31" s="5">
        <v>49.8</v>
      </c>
      <c r="H31" s="5">
        <v>49.1</v>
      </c>
      <c r="I31" s="5">
        <v>47.7</v>
      </c>
      <c r="J31" s="5">
        <v>44.3</v>
      </c>
      <c r="K31" s="5">
        <v>50.6</v>
      </c>
      <c r="L31" s="5">
        <v>52.2</v>
      </c>
      <c r="M31" s="5">
        <v>50.1</v>
      </c>
      <c r="N31" s="5">
        <v>49.7</v>
      </c>
      <c r="O31" s="5">
        <v>50.4</v>
      </c>
      <c r="P31" s="5">
        <v>48.3</v>
      </c>
      <c r="Q31" s="5">
        <v>50.2</v>
      </c>
      <c r="R31" s="5">
        <v>48.4</v>
      </c>
      <c r="S31" s="5">
        <v>48.4</v>
      </c>
      <c r="T31" s="5">
        <v>52.7</v>
      </c>
      <c r="U31" s="5">
        <v>51.6</v>
      </c>
      <c r="V31" s="5">
        <v>49.8</v>
      </c>
      <c r="W31" s="5">
        <v>45.3</v>
      </c>
      <c r="X31" s="5">
        <v>48.8</v>
      </c>
      <c r="Y31" s="5">
        <v>54.2</v>
      </c>
      <c r="Z31" s="5">
        <v>46.6</v>
      </c>
      <c r="AA31" s="5">
        <v>50.2</v>
      </c>
      <c r="AB31" s="5">
        <v>50</v>
      </c>
      <c r="AC31" s="5">
        <v>51.6</v>
      </c>
      <c r="AD31" s="5">
        <v>51.7</v>
      </c>
      <c r="AE31" s="5">
        <v>50.9</v>
      </c>
      <c r="AF31" s="5">
        <v>51</v>
      </c>
      <c r="AG31" s="5">
        <v>51.7</v>
      </c>
      <c r="AH31" s="5">
        <v>52.9</v>
      </c>
      <c r="AI31" s="5">
        <v>55.4</v>
      </c>
      <c r="AJ31" s="5">
        <v>51.5</v>
      </c>
      <c r="AK31" s="5">
        <v>52.8</v>
      </c>
      <c r="AL31" s="5">
        <v>50</v>
      </c>
      <c r="AM31" s="5">
        <v>57</v>
      </c>
      <c r="AN31" s="5">
        <v>52.7</v>
      </c>
      <c r="AO31" s="5">
        <v>50.2</v>
      </c>
      <c r="AP31" s="5">
        <v>52</v>
      </c>
      <c r="AQ31" s="5">
        <v>47.8</v>
      </c>
      <c r="AR31" s="5">
        <v>51.2</v>
      </c>
      <c r="AS31" s="5">
        <v>51.3</v>
      </c>
      <c r="AT31" s="5">
        <v>50.9</v>
      </c>
      <c r="AU31" s="5">
        <v>50.9</v>
      </c>
      <c r="AV31" s="5">
        <v>50.7</v>
      </c>
      <c r="AW31" s="5">
        <v>51.8</v>
      </c>
      <c r="AX31" s="5">
        <v>52.6</v>
      </c>
      <c r="AY31" s="5">
        <v>51.2</v>
      </c>
      <c r="AZ31" s="5">
        <v>52.1</v>
      </c>
      <c r="BA31" s="5">
        <v>49.9</v>
      </c>
      <c r="BB31" s="5">
        <v>54.1</v>
      </c>
      <c r="BC31" s="5">
        <v>51.5</v>
      </c>
      <c r="BD31" s="5">
        <v>51.7</v>
      </c>
      <c r="BE31" s="5">
        <v>51.5</v>
      </c>
      <c r="BF31" s="5">
        <v>48.4</v>
      </c>
      <c r="BG31" s="7">
        <v>49.4</v>
      </c>
      <c r="BH31" s="7">
        <v>54.3</v>
      </c>
      <c r="BI31" s="5">
        <v>52.3</v>
      </c>
      <c r="BJ31" s="5">
        <v>56.3</v>
      </c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</row>
    <row r="32" spans="1:342" s="7" customFormat="1" x14ac:dyDescent="0.3">
      <c r="A32" s="56">
        <v>43646</v>
      </c>
      <c r="B32" s="5">
        <v>50.6</v>
      </c>
      <c r="C32" s="5">
        <v>49.4</v>
      </c>
      <c r="D32" s="5">
        <v>48.9</v>
      </c>
      <c r="E32" s="5">
        <v>49.8</v>
      </c>
      <c r="F32" s="5">
        <v>48</v>
      </c>
      <c r="G32" s="5">
        <v>49.3</v>
      </c>
      <c r="H32" s="5">
        <v>49.2</v>
      </c>
      <c r="I32" s="5">
        <v>47.6</v>
      </c>
      <c r="J32" s="5">
        <v>45</v>
      </c>
      <c r="K32" s="5">
        <v>51.9</v>
      </c>
      <c r="L32" s="5">
        <v>50.7</v>
      </c>
      <c r="M32" s="5">
        <v>47.9</v>
      </c>
      <c r="N32" s="5">
        <v>48.4</v>
      </c>
      <c r="O32" s="5">
        <v>49.8</v>
      </c>
      <c r="P32" s="5">
        <v>47.5</v>
      </c>
      <c r="Q32" s="5">
        <v>49.4</v>
      </c>
      <c r="R32" s="5">
        <v>47.5</v>
      </c>
      <c r="S32" s="5">
        <v>45.5</v>
      </c>
      <c r="T32" s="5">
        <v>52.1</v>
      </c>
      <c r="U32" s="5">
        <v>50.6</v>
      </c>
      <c r="V32" s="5">
        <v>48.6</v>
      </c>
      <c r="W32" s="5">
        <v>47.9</v>
      </c>
      <c r="X32" s="5">
        <v>48.4</v>
      </c>
      <c r="Y32" s="5">
        <v>52.4</v>
      </c>
      <c r="Z32" s="5">
        <v>45.9</v>
      </c>
      <c r="AA32" s="5">
        <v>51</v>
      </c>
      <c r="AB32" s="5">
        <v>49.2</v>
      </c>
      <c r="AC32" s="5">
        <v>51.9</v>
      </c>
      <c r="AD32" s="5">
        <v>51.7</v>
      </c>
      <c r="AE32" s="5">
        <v>51.5</v>
      </c>
      <c r="AF32" s="5">
        <v>50.2</v>
      </c>
      <c r="AG32" s="5">
        <v>51.9</v>
      </c>
      <c r="AH32" s="5">
        <v>53.6</v>
      </c>
      <c r="AI32" s="5">
        <v>55.8</v>
      </c>
      <c r="AJ32" s="5">
        <v>52.9</v>
      </c>
      <c r="AK32" s="5">
        <v>53.6</v>
      </c>
      <c r="AL32" s="5">
        <v>50.5</v>
      </c>
      <c r="AM32" s="5">
        <v>56.9</v>
      </c>
      <c r="AN32" s="5">
        <v>52</v>
      </c>
      <c r="AO32" s="5">
        <v>49.6</v>
      </c>
      <c r="AP32" s="5">
        <v>49.7</v>
      </c>
      <c r="AQ32" s="5">
        <v>48.2</v>
      </c>
      <c r="AR32" s="5">
        <v>51.2</v>
      </c>
      <c r="AS32" s="5">
        <v>51</v>
      </c>
      <c r="AT32" s="5">
        <v>51.5</v>
      </c>
      <c r="AU32" s="5">
        <v>49.7</v>
      </c>
      <c r="AV32" s="5">
        <v>50.8</v>
      </c>
      <c r="AW32" s="5">
        <v>52.2</v>
      </c>
      <c r="AX32" s="5">
        <v>52.6</v>
      </c>
      <c r="AY32" s="5">
        <v>52.7</v>
      </c>
      <c r="AZ32" s="5">
        <v>52.1</v>
      </c>
      <c r="BA32" s="5">
        <v>50.1</v>
      </c>
      <c r="BB32" s="5">
        <v>54.4</v>
      </c>
      <c r="BC32" s="5">
        <v>50.6</v>
      </c>
      <c r="BD32" s="5">
        <v>50.8</v>
      </c>
      <c r="BE32" s="5">
        <v>49.2</v>
      </c>
      <c r="BF32" s="5">
        <v>49</v>
      </c>
      <c r="BG32" s="7">
        <v>49.4</v>
      </c>
      <c r="BH32" s="7">
        <v>54.2</v>
      </c>
      <c r="BI32" s="5">
        <v>51.6</v>
      </c>
      <c r="BJ32" s="5">
        <v>55.4</v>
      </c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</row>
    <row r="33" spans="1:342" s="7" customFormat="1" x14ac:dyDescent="0.3">
      <c r="A33" s="56">
        <v>43677</v>
      </c>
      <c r="B33" s="5">
        <v>50.4</v>
      </c>
      <c r="C33" s="5">
        <v>49.3</v>
      </c>
      <c r="D33" s="5">
        <v>48.6</v>
      </c>
      <c r="E33" s="5">
        <v>50.1</v>
      </c>
      <c r="F33" s="5">
        <v>48</v>
      </c>
      <c r="G33" s="5">
        <v>49.4</v>
      </c>
      <c r="H33" s="5">
        <v>50.2</v>
      </c>
      <c r="I33" s="5">
        <v>46.5</v>
      </c>
      <c r="J33" s="5">
        <v>43.2</v>
      </c>
      <c r="K33" s="5">
        <v>49.7</v>
      </c>
      <c r="L33" s="5">
        <v>50.7</v>
      </c>
      <c r="M33" s="5">
        <v>48.2</v>
      </c>
      <c r="N33" s="5">
        <v>48.5</v>
      </c>
      <c r="O33" s="5">
        <v>48.7</v>
      </c>
      <c r="P33" s="5">
        <v>47</v>
      </c>
      <c r="Q33" s="5">
        <v>49.9</v>
      </c>
      <c r="R33" s="5">
        <v>47.3</v>
      </c>
      <c r="S33" s="5">
        <v>48.1</v>
      </c>
      <c r="T33" s="5">
        <v>52.5</v>
      </c>
      <c r="U33" s="5">
        <v>49.6</v>
      </c>
      <c r="V33" s="5">
        <v>49.3</v>
      </c>
      <c r="W33" s="5">
        <v>46.7</v>
      </c>
      <c r="X33" s="5">
        <v>47.4</v>
      </c>
      <c r="Y33" s="5">
        <v>54.6</v>
      </c>
      <c r="Z33" s="5">
        <v>43.1</v>
      </c>
      <c r="AA33" s="5">
        <v>49.9</v>
      </c>
      <c r="AB33" s="5">
        <v>49.8</v>
      </c>
      <c r="AC33" s="5">
        <v>52.5</v>
      </c>
      <c r="AD33" s="5">
        <v>52.1</v>
      </c>
      <c r="AE33" s="5">
        <v>53</v>
      </c>
      <c r="AF33" s="5">
        <v>51.4</v>
      </c>
      <c r="AG33" s="5">
        <v>51.8</v>
      </c>
      <c r="AH33" s="5">
        <v>53.2</v>
      </c>
      <c r="AI33" s="5">
        <v>54.5</v>
      </c>
      <c r="AJ33" s="5">
        <v>52.6</v>
      </c>
      <c r="AK33" s="5">
        <v>52.9</v>
      </c>
      <c r="AL33" s="5">
        <v>51.7</v>
      </c>
      <c r="AM33" s="5">
        <v>55</v>
      </c>
      <c r="AN33" s="5">
        <v>51.6</v>
      </c>
      <c r="AO33" s="5">
        <v>53.8</v>
      </c>
      <c r="AP33" s="5">
        <v>50.4</v>
      </c>
      <c r="AQ33" s="5">
        <v>52.2</v>
      </c>
      <c r="AR33" s="5">
        <v>51.6</v>
      </c>
      <c r="AS33" s="5">
        <v>51.5</v>
      </c>
      <c r="AT33" s="5">
        <v>52.6</v>
      </c>
      <c r="AU33" s="5">
        <v>50.7</v>
      </c>
      <c r="AV33" s="5">
        <v>50.6</v>
      </c>
      <c r="AW33" s="5">
        <v>51.5</v>
      </c>
      <c r="AX33" s="5">
        <v>50.9</v>
      </c>
      <c r="AY33" s="5">
        <v>51.9</v>
      </c>
      <c r="AZ33" s="5">
        <v>51.7</v>
      </c>
      <c r="BA33" s="5">
        <v>51</v>
      </c>
      <c r="BB33" s="5">
        <v>51.8</v>
      </c>
      <c r="BC33" s="5">
        <v>50.9</v>
      </c>
      <c r="BD33" s="5">
        <v>53.9</v>
      </c>
      <c r="BE33" s="5">
        <v>50.2</v>
      </c>
      <c r="BF33" s="5">
        <v>51.6</v>
      </c>
      <c r="BG33" s="7">
        <v>49.7</v>
      </c>
      <c r="BH33" s="7">
        <v>53.7</v>
      </c>
      <c r="BI33" s="5">
        <v>51.3</v>
      </c>
      <c r="BJ33" s="5">
        <v>54.8</v>
      </c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</row>
    <row r="34" spans="1:342" s="7" customFormat="1" x14ac:dyDescent="0.3">
      <c r="A34" s="56">
        <v>43708</v>
      </c>
      <c r="B34" s="5">
        <v>50.3</v>
      </c>
      <c r="C34" s="5">
        <v>49.5</v>
      </c>
      <c r="D34" s="5">
        <v>48.7</v>
      </c>
      <c r="E34" s="5">
        <v>50.4</v>
      </c>
      <c r="F34" s="5">
        <v>47.4</v>
      </c>
      <c r="G34" s="5">
        <v>49.3</v>
      </c>
      <c r="H34" s="5">
        <v>49.1</v>
      </c>
      <c r="I34" s="5">
        <v>47</v>
      </c>
      <c r="J34" s="5">
        <v>43.5</v>
      </c>
      <c r="K34" s="5">
        <v>51.1</v>
      </c>
      <c r="L34" s="5">
        <v>51.6</v>
      </c>
      <c r="M34" s="5">
        <v>48.8</v>
      </c>
      <c r="N34" s="5">
        <v>48.7</v>
      </c>
      <c r="O34" s="5">
        <v>48.6</v>
      </c>
      <c r="P34" s="5">
        <v>47.9</v>
      </c>
      <c r="Q34" s="5">
        <v>50.4</v>
      </c>
      <c r="R34" s="5">
        <v>49</v>
      </c>
      <c r="S34" s="5">
        <v>47.9</v>
      </c>
      <c r="T34" s="5">
        <v>51.4</v>
      </c>
      <c r="U34" s="5">
        <v>49</v>
      </c>
      <c r="V34" s="5">
        <v>49.1</v>
      </c>
      <c r="W34" s="5">
        <v>48</v>
      </c>
      <c r="X34" s="5">
        <v>48.8</v>
      </c>
      <c r="Y34" s="5">
        <v>54.9</v>
      </c>
      <c r="Z34" s="5">
        <v>44.9</v>
      </c>
      <c r="AA34" s="5">
        <v>52.5</v>
      </c>
      <c r="AB34" s="5">
        <v>49</v>
      </c>
      <c r="AC34" s="5">
        <v>51.8</v>
      </c>
      <c r="AD34" s="5">
        <v>52.3</v>
      </c>
      <c r="AE34" s="5">
        <v>50.7</v>
      </c>
      <c r="AF34" s="5">
        <v>50.6</v>
      </c>
      <c r="AG34" s="5">
        <v>53.3</v>
      </c>
      <c r="AH34" s="5">
        <v>53.5</v>
      </c>
      <c r="AI34" s="5">
        <v>54.8</v>
      </c>
      <c r="AJ34" s="5">
        <v>53.4</v>
      </c>
      <c r="AK34" s="5">
        <v>54.3</v>
      </c>
      <c r="AL34" s="5">
        <v>50.6</v>
      </c>
      <c r="AM34" s="5">
        <v>54.6</v>
      </c>
      <c r="AN34" s="5">
        <v>52.1</v>
      </c>
      <c r="AO34" s="5">
        <v>52.4</v>
      </c>
      <c r="AP34" s="5">
        <v>52.1</v>
      </c>
      <c r="AQ34" s="5">
        <v>51.4</v>
      </c>
      <c r="AR34" s="5">
        <v>51.3</v>
      </c>
      <c r="AS34" s="5">
        <v>51.8</v>
      </c>
      <c r="AT34" s="5">
        <v>50.7</v>
      </c>
      <c r="AU34" s="5">
        <v>50.2</v>
      </c>
      <c r="AV34" s="5">
        <v>51.9</v>
      </c>
      <c r="AW34" s="5">
        <v>51.9</v>
      </c>
      <c r="AX34" s="5">
        <v>51.7</v>
      </c>
      <c r="AY34" s="5">
        <v>52.9</v>
      </c>
      <c r="AZ34" s="5">
        <v>52.6</v>
      </c>
      <c r="BA34" s="5">
        <v>50.3</v>
      </c>
      <c r="BB34" s="5">
        <v>51.8</v>
      </c>
      <c r="BC34" s="5">
        <v>51.6</v>
      </c>
      <c r="BD34" s="5">
        <v>52.6</v>
      </c>
      <c r="BE34" s="5">
        <v>51.5</v>
      </c>
      <c r="BF34" s="5">
        <v>51.9</v>
      </c>
      <c r="BG34" s="7">
        <v>49.5</v>
      </c>
      <c r="BH34" s="7">
        <v>53.8</v>
      </c>
      <c r="BI34" s="5">
        <v>48.8</v>
      </c>
      <c r="BJ34" s="5">
        <v>56</v>
      </c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</row>
    <row r="35" spans="1:342" s="7" customFormat="1" x14ac:dyDescent="0.3">
      <c r="A35" s="56">
        <v>43738</v>
      </c>
      <c r="B35" s="5">
        <v>51.1</v>
      </c>
      <c r="C35" s="5">
        <v>49.8</v>
      </c>
      <c r="D35" s="5">
        <v>48.6</v>
      </c>
      <c r="E35" s="5">
        <v>51</v>
      </c>
      <c r="F35" s="5">
        <v>48.3</v>
      </c>
      <c r="G35" s="5">
        <v>48.9</v>
      </c>
      <c r="H35" s="5">
        <v>51</v>
      </c>
      <c r="I35" s="5">
        <v>45.7</v>
      </c>
      <c r="J35" s="5">
        <v>41.7</v>
      </c>
      <c r="K35" s="5">
        <v>50.1</v>
      </c>
      <c r="L35" s="5">
        <v>51.6</v>
      </c>
      <c r="M35" s="5">
        <v>47.7</v>
      </c>
      <c r="N35" s="5">
        <v>47.8</v>
      </c>
      <c r="O35" s="5">
        <v>48.7</v>
      </c>
      <c r="P35" s="5">
        <v>45.1</v>
      </c>
      <c r="Q35" s="5">
        <v>51.4</v>
      </c>
      <c r="R35" s="5">
        <v>48</v>
      </c>
      <c r="S35" s="5">
        <v>50</v>
      </c>
      <c r="T35" s="5">
        <v>51.4</v>
      </c>
      <c r="U35" s="5">
        <v>49.1</v>
      </c>
      <c r="V35" s="5">
        <v>46.3</v>
      </c>
      <c r="W35" s="5">
        <v>50</v>
      </c>
      <c r="X35" s="5">
        <v>47.8</v>
      </c>
      <c r="Y35" s="5">
        <v>53.6</v>
      </c>
      <c r="Z35" s="5">
        <v>44.9</v>
      </c>
      <c r="AA35" s="5">
        <v>53.4</v>
      </c>
      <c r="AB35" s="5">
        <v>49.1</v>
      </c>
      <c r="AC35" s="5">
        <v>51.4</v>
      </c>
      <c r="AD35" s="5">
        <v>51.7</v>
      </c>
      <c r="AE35" s="5">
        <v>50.9</v>
      </c>
      <c r="AF35" s="5">
        <v>49.5</v>
      </c>
      <c r="AG35" s="5">
        <v>52.8</v>
      </c>
      <c r="AH35" s="5">
        <v>51.6</v>
      </c>
      <c r="AI35" s="5">
        <v>51.4</v>
      </c>
      <c r="AJ35" s="5">
        <v>51.1</v>
      </c>
      <c r="AK35" s="5">
        <v>53.3</v>
      </c>
      <c r="AL35" s="5">
        <v>51.4</v>
      </c>
      <c r="AM35" s="5">
        <v>53.1</v>
      </c>
      <c r="AN35" s="5">
        <v>51.3</v>
      </c>
      <c r="AO35" s="5">
        <v>48.7</v>
      </c>
      <c r="AP35" s="5">
        <v>53.6</v>
      </c>
      <c r="AQ35" s="5">
        <v>51.8</v>
      </c>
      <c r="AR35" s="5">
        <v>51.1</v>
      </c>
      <c r="AS35" s="5">
        <v>51.8</v>
      </c>
      <c r="AT35" s="5">
        <v>51</v>
      </c>
      <c r="AU35" s="5">
        <v>49.3</v>
      </c>
      <c r="AV35" s="5">
        <v>51.5</v>
      </c>
      <c r="AW35" s="5">
        <v>50.1</v>
      </c>
      <c r="AX35" s="5">
        <v>48.5</v>
      </c>
      <c r="AY35" s="5">
        <v>50.8</v>
      </c>
      <c r="AZ35" s="5">
        <v>51.7</v>
      </c>
      <c r="BA35" s="5">
        <v>50.6</v>
      </c>
      <c r="BB35" s="5">
        <v>51</v>
      </c>
      <c r="BC35" s="5">
        <v>51.9</v>
      </c>
      <c r="BD35" s="5">
        <v>49.8</v>
      </c>
      <c r="BE35" s="5">
        <v>51.4</v>
      </c>
      <c r="BF35" s="5">
        <v>52.5</v>
      </c>
      <c r="BG35" s="7">
        <v>49.8</v>
      </c>
      <c r="BH35" s="7">
        <v>53.7</v>
      </c>
      <c r="BI35" s="5">
        <v>48.2</v>
      </c>
      <c r="BJ35" s="5">
        <v>53.5</v>
      </c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</row>
    <row r="36" spans="1:342" s="7" customFormat="1" x14ac:dyDescent="0.3">
      <c r="A36" s="56">
        <v>43769</v>
      </c>
      <c r="B36" s="5">
        <v>51.3</v>
      </c>
      <c r="C36" s="5">
        <v>49.8</v>
      </c>
      <c r="D36" s="5">
        <v>48.6</v>
      </c>
      <c r="E36" s="5">
        <v>51</v>
      </c>
      <c r="F36" s="5">
        <v>49.6</v>
      </c>
      <c r="G36" s="5">
        <v>48.4</v>
      </c>
      <c r="H36" s="5">
        <v>51.2</v>
      </c>
      <c r="I36" s="7">
        <v>45.9</v>
      </c>
      <c r="J36" s="5">
        <v>42.1</v>
      </c>
      <c r="K36" s="5">
        <v>50.7</v>
      </c>
      <c r="L36" s="5">
        <v>50.3</v>
      </c>
      <c r="M36" s="5">
        <v>46.8</v>
      </c>
      <c r="N36" s="5">
        <v>47.7</v>
      </c>
      <c r="O36" s="5">
        <v>50.7</v>
      </c>
      <c r="P36" s="5">
        <v>45.5</v>
      </c>
      <c r="Q36" s="5">
        <v>51.7</v>
      </c>
      <c r="R36" s="5">
        <v>48.4</v>
      </c>
      <c r="S36" s="5">
        <v>49.8</v>
      </c>
      <c r="T36" s="5">
        <v>50.6</v>
      </c>
      <c r="U36" s="5">
        <v>47.7</v>
      </c>
      <c r="V36" s="5">
        <v>47.2</v>
      </c>
      <c r="W36" s="5">
        <v>49</v>
      </c>
      <c r="X36" s="5">
        <v>45.6</v>
      </c>
      <c r="Y36" s="5">
        <v>53.5</v>
      </c>
      <c r="Z36" s="5">
        <v>45</v>
      </c>
      <c r="AA36" s="5">
        <v>52.2</v>
      </c>
      <c r="AB36" s="5">
        <v>50.4</v>
      </c>
      <c r="AC36" s="5">
        <v>51</v>
      </c>
      <c r="AD36" s="5">
        <v>51.7</v>
      </c>
      <c r="AE36" s="5">
        <v>50.6</v>
      </c>
      <c r="AF36" s="5">
        <v>50</v>
      </c>
      <c r="AG36" s="5">
        <v>49.7</v>
      </c>
      <c r="AH36" s="5">
        <v>52.2</v>
      </c>
      <c r="AI36" s="5">
        <v>51.6</v>
      </c>
      <c r="AJ36" s="5">
        <v>52.9</v>
      </c>
      <c r="AK36" s="5">
        <v>52.7</v>
      </c>
      <c r="AL36" s="5">
        <v>52.2</v>
      </c>
      <c r="AM36" s="5">
        <v>50.6</v>
      </c>
      <c r="AN36" s="5">
        <v>51.1</v>
      </c>
      <c r="AO36" s="5">
        <v>49.2</v>
      </c>
      <c r="AP36" s="5">
        <v>55.8</v>
      </c>
      <c r="AQ36" s="5">
        <v>51.2</v>
      </c>
      <c r="AR36" s="5">
        <v>50.8</v>
      </c>
      <c r="AS36" s="5">
        <v>51.8</v>
      </c>
      <c r="AT36" s="5">
        <v>50.9</v>
      </c>
      <c r="AU36" s="5">
        <v>50</v>
      </c>
      <c r="AV36" s="5">
        <v>49.1</v>
      </c>
      <c r="AW36" s="5">
        <v>50.6</v>
      </c>
      <c r="AX36" s="5">
        <v>48.9</v>
      </c>
      <c r="AY36" s="5">
        <v>52.6</v>
      </c>
      <c r="AZ36" s="5">
        <v>51.2</v>
      </c>
      <c r="BA36" s="5">
        <v>50.8</v>
      </c>
      <c r="BB36" s="5">
        <v>50.6</v>
      </c>
      <c r="BC36" s="5">
        <v>52</v>
      </c>
      <c r="BD36" s="5">
        <v>49.6</v>
      </c>
      <c r="BE36" s="5">
        <v>53.3</v>
      </c>
      <c r="BF36" s="5">
        <v>51.8</v>
      </c>
      <c r="BG36" s="7">
        <v>49.3</v>
      </c>
      <c r="BH36" s="7">
        <v>52.8</v>
      </c>
      <c r="BI36" s="5">
        <v>48.5</v>
      </c>
      <c r="BJ36" s="5">
        <v>54.4</v>
      </c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</row>
    <row r="37" spans="1:342" s="7" customFormat="1" x14ac:dyDescent="0.3">
      <c r="A37" s="56">
        <v>43799</v>
      </c>
      <c r="B37" s="5">
        <v>52.6</v>
      </c>
      <c r="C37" s="5">
        <v>50.3</v>
      </c>
      <c r="D37" s="5">
        <v>49.5</v>
      </c>
      <c r="E37" s="5">
        <v>51.1</v>
      </c>
      <c r="F37" s="5">
        <v>48.9</v>
      </c>
      <c r="G37" s="5">
        <v>48.9</v>
      </c>
      <c r="H37" s="5">
        <v>51.4</v>
      </c>
      <c r="I37" s="7">
        <v>46.9</v>
      </c>
      <c r="J37" s="5">
        <v>44.1</v>
      </c>
      <c r="K37" s="5">
        <v>51.7</v>
      </c>
      <c r="L37" s="5">
        <v>49.6</v>
      </c>
      <c r="M37" s="5">
        <v>47.5</v>
      </c>
      <c r="N37" s="5">
        <v>47.6</v>
      </c>
      <c r="O37" s="5">
        <v>49.7</v>
      </c>
      <c r="P37" s="5">
        <v>46</v>
      </c>
      <c r="Q37" s="5">
        <v>51.8</v>
      </c>
      <c r="R37" s="5">
        <v>49.4</v>
      </c>
      <c r="S37" s="5">
        <v>49.8</v>
      </c>
      <c r="T37" s="5">
        <v>51.2</v>
      </c>
      <c r="U37" s="5">
        <v>48.2</v>
      </c>
      <c r="V37" s="5">
        <v>45.6</v>
      </c>
      <c r="W37" s="5">
        <v>49.5</v>
      </c>
      <c r="X37" s="5">
        <v>46.7</v>
      </c>
      <c r="Y37" s="5">
        <v>54.1</v>
      </c>
      <c r="Z37" s="5">
        <v>43.5</v>
      </c>
      <c r="AA37" s="5">
        <v>52.9</v>
      </c>
      <c r="AB37" s="5">
        <v>48</v>
      </c>
      <c r="AC37" s="5">
        <v>51.6</v>
      </c>
      <c r="AD37" s="5">
        <v>53.1</v>
      </c>
      <c r="AE37" s="5">
        <v>51.6</v>
      </c>
      <c r="AF37" s="5">
        <v>49.3</v>
      </c>
      <c r="AG37" s="5">
        <v>50.3</v>
      </c>
      <c r="AH37" s="5">
        <v>51.9</v>
      </c>
      <c r="AI37" s="5">
        <v>51.7</v>
      </c>
      <c r="AJ37" s="5">
        <v>52.2</v>
      </c>
      <c r="AK37" s="5">
        <v>53.2</v>
      </c>
      <c r="AL37" s="5">
        <v>50.4</v>
      </c>
      <c r="AM37" s="5">
        <v>53.7</v>
      </c>
      <c r="AN37" s="5">
        <v>53.5</v>
      </c>
      <c r="AO37" s="5">
        <v>52.7</v>
      </c>
      <c r="AP37" s="5">
        <v>55.6</v>
      </c>
      <c r="AQ37" s="5">
        <v>50.9</v>
      </c>
      <c r="AR37" s="5">
        <v>51.4</v>
      </c>
      <c r="AS37" s="5">
        <v>52.6</v>
      </c>
      <c r="AT37" s="5">
        <v>52</v>
      </c>
      <c r="AU37" s="5">
        <v>49.3</v>
      </c>
      <c r="AV37" s="5">
        <v>49.8</v>
      </c>
      <c r="AW37" s="5">
        <v>50.6</v>
      </c>
      <c r="AX37" s="5">
        <v>49.4</v>
      </c>
      <c r="AY37" s="5">
        <v>52.1</v>
      </c>
      <c r="AZ37" s="5">
        <v>51.9</v>
      </c>
      <c r="BA37" s="5">
        <v>49.6</v>
      </c>
      <c r="BB37" s="5">
        <v>52</v>
      </c>
      <c r="BC37" s="5">
        <v>53.2</v>
      </c>
      <c r="BD37" s="5">
        <v>52.7</v>
      </c>
      <c r="BE37" s="5">
        <v>52.9</v>
      </c>
      <c r="BF37" s="5">
        <v>51.8</v>
      </c>
      <c r="BG37" s="7">
        <v>50.2</v>
      </c>
      <c r="BH37" s="7">
        <v>54.4</v>
      </c>
      <c r="BI37" s="5">
        <v>48.1</v>
      </c>
      <c r="BJ37" s="5">
        <v>53.9</v>
      </c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</row>
    <row r="38" spans="1:342" s="7" customFormat="1" x14ac:dyDescent="0.3">
      <c r="A38" s="56">
        <v>43830</v>
      </c>
      <c r="B38" s="5">
        <v>52.4</v>
      </c>
      <c r="C38" s="5">
        <v>50.1</v>
      </c>
      <c r="D38" s="5">
        <v>49.1</v>
      </c>
      <c r="E38" s="5">
        <v>51</v>
      </c>
      <c r="F38" s="5">
        <v>47.5</v>
      </c>
      <c r="G38" s="5">
        <v>48.4</v>
      </c>
      <c r="H38" s="5">
        <v>50.4</v>
      </c>
      <c r="I38" s="7">
        <v>46.3</v>
      </c>
      <c r="J38" s="5">
        <v>43.7</v>
      </c>
      <c r="K38" s="5">
        <v>50.4</v>
      </c>
      <c r="L38" s="5">
        <v>48.3</v>
      </c>
      <c r="M38" s="5">
        <v>47.4</v>
      </c>
      <c r="N38" s="5">
        <v>46.2</v>
      </c>
      <c r="O38" s="5">
        <v>49.5</v>
      </c>
      <c r="P38" s="5">
        <v>46</v>
      </c>
      <c r="Q38" s="5">
        <v>51.5</v>
      </c>
      <c r="R38" s="5">
        <v>50.1</v>
      </c>
      <c r="S38" s="5">
        <v>50.8</v>
      </c>
      <c r="T38" s="5">
        <v>52.7</v>
      </c>
      <c r="U38" s="5">
        <v>49.5</v>
      </c>
      <c r="V38" s="5">
        <v>47.5</v>
      </c>
      <c r="W38" s="5">
        <v>49.5</v>
      </c>
      <c r="X38" s="5">
        <v>48</v>
      </c>
      <c r="Y38" s="5">
        <v>53.9</v>
      </c>
      <c r="Z38" s="5">
        <v>43.6</v>
      </c>
      <c r="AA38" s="5">
        <v>50.2</v>
      </c>
      <c r="AB38" s="5">
        <v>47.1</v>
      </c>
      <c r="AC38" s="5">
        <v>52</v>
      </c>
      <c r="AD38" s="5">
        <v>52.3</v>
      </c>
      <c r="AE38" s="5">
        <v>52.8</v>
      </c>
      <c r="AF38" s="5">
        <v>50</v>
      </c>
      <c r="AG38" s="5">
        <v>49.4</v>
      </c>
      <c r="AH38" s="5">
        <v>52.8</v>
      </c>
      <c r="AI38" s="5">
        <v>52.9</v>
      </c>
      <c r="AJ38" s="5">
        <v>52.4</v>
      </c>
      <c r="AK38" s="5">
        <v>54.9</v>
      </c>
      <c r="AL38" s="5">
        <v>51.1</v>
      </c>
      <c r="AM38" s="5">
        <v>55.9</v>
      </c>
      <c r="AN38" s="5">
        <v>52.5</v>
      </c>
      <c r="AO38" s="5">
        <v>53.3</v>
      </c>
      <c r="AP38" s="5">
        <v>53.1</v>
      </c>
      <c r="AQ38" s="5">
        <v>51</v>
      </c>
      <c r="AR38" s="5">
        <v>51.5</v>
      </c>
      <c r="AS38" s="5">
        <v>52.1</v>
      </c>
      <c r="AT38" s="5">
        <v>52.7</v>
      </c>
      <c r="AU38" s="5">
        <v>49.3</v>
      </c>
      <c r="AV38" s="5">
        <v>48.6</v>
      </c>
      <c r="AW38" s="5">
        <v>50.9</v>
      </c>
      <c r="AX38" s="5">
        <v>50.2</v>
      </c>
      <c r="AY38" s="5">
        <v>52</v>
      </c>
      <c r="AZ38" s="5">
        <v>52.7</v>
      </c>
      <c r="BA38" s="5">
        <v>49.3</v>
      </c>
      <c r="BB38" s="5">
        <v>53</v>
      </c>
      <c r="BC38" s="5">
        <v>52.6</v>
      </c>
      <c r="BD38" s="5">
        <v>53.7</v>
      </c>
      <c r="BE38" s="5">
        <v>51.8</v>
      </c>
      <c r="BF38" s="5">
        <v>50.9</v>
      </c>
      <c r="BG38" s="7">
        <v>50.2</v>
      </c>
      <c r="BH38" s="7">
        <v>53.5</v>
      </c>
      <c r="BI38" s="5">
        <v>47.8</v>
      </c>
      <c r="BJ38" s="5">
        <v>54.9</v>
      </c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</row>
    <row r="39" spans="1:342" s="7" customFormat="1" x14ac:dyDescent="0.3">
      <c r="A39" s="56">
        <v>43861</v>
      </c>
      <c r="B39" s="5">
        <v>51.9</v>
      </c>
      <c r="C39" s="5">
        <v>50.3</v>
      </c>
      <c r="D39" s="5">
        <v>49.8</v>
      </c>
      <c r="E39" s="5">
        <v>51</v>
      </c>
      <c r="F39" s="5">
        <v>50</v>
      </c>
      <c r="G39" s="5">
        <v>48.8</v>
      </c>
      <c r="H39" s="5">
        <v>50.6</v>
      </c>
      <c r="I39" s="7">
        <v>47.9</v>
      </c>
      <c r="J39" s="5">
        <v>45.3</v>
      </c>
      <c r="K39" s="5">
        <v>51.1</v>
      </c>
      <c r="L39" s="5">
        <v>49.9</v>
      </c>
      <c r="M39" s="5">
        <v>48.5</v>
      </c>
      <c r="N39" s="5">
        <v>48.9</v>
      </c>
      <c r="O39" s="5">
        <v>51.4</v>
      </c>
      <c r="P39" s="5">
        <v>49.2</v>
      </c>
      <c r="Q39" s="5">
        <v>51.1</v>
      </c>
      <c r="R39" s="5">
        <v>49.8</v>
      </c>
      <c r="S39" s="5">
        <v>51.8</v>
      </c>
      <c r="T39" s="5">
        <v>55.3</v>
      </c>
      <c r="U39" s="5">
        <v>49.3</v>
      </c>
      <c r="V39" s="5">
        <v>47.9</v>
      </c>
      <c r="W39" s="5">
        <v>51.3</v>
      </c>
      <c r="X39" s="5">
        <v>47.4</v>
      </c>
      <c r="Y39" s="5">
        <v>54.4</v>
      </c>
      <c r="Z39" s="5">
        <v>45.2</v>
      </c>
      <c r="AA39" s="5">
        <v>51</v>
      </c>
      <c r="AB39" s="5">
        <v>49</v>
      </c>
      <c r="AC39" s="5">
        <v>52.7</v>
      </c>
      <c r="AD39" s="5">
        <v>52.4</v>
      </c>
      <c r="AE39" s="5">
        <v>53.4</v>
      </c>
      <c r="AF39" s="5">
        <v>53.9</v>
      </c>
      <c r="AG39" s="5">
        <v>51</v>
      </c>
      <c r="AH39" s="5">
        <v>52.5</v>
      </c>
      <c r="AI39" s="5">
        <v>54.2</v>
      </c>
      <c r="AJ39" s="5">
        <v>51</v>
      </c>
      <c r="AK39" s="5">
        <v>52.3</v>
      </c>
      <c r="AL39" s="5">
        <v>51.4</v>
      </c>
      <c r="AM39" s="5">
        <v>56.9</v>
      </c>
      <c r="AN39" s="5">
        <v>51.8</v>
      </c>
      <c r="AO39" s="5">
        <v>55.5</v>
      </c>
      <c r="AP39" s="5">
        <v>54.1</v>
      </c>
      <c r="AQ39" s="5">
        <v>52.7</v>
      </c>
      <c r="AR39" s="5">
        <v>52.1</v>
      </c>
      <c r="AS39" s="5">
        <v>52.2</v>
      </c>
      <c r="AT39" s="5">
        <v>53.3</v>
      </c>
      <c r="AU39" s="5">
        <v>53.3</v>
      </c>
      <c r="AV39" s="5">
        <v>50.1</v>
      </c>
      <c r="AW39" s="5">
        <v>51.3</v>
      </c>
      <c r="AX39" s="5">
        <v>51.2</v>
      </c>
      <c r="AY39" s="5">
        <v>51.1</v>
      </c>
      <c r="AZ39" s="5">
        <v>51.5</v>
      </c>
      <c r="BA39" s="5">
        <v>50.4</v>
      </c>
      <c r="BB39" s="5">
        <v>54.7</v>
      </c>
      <c r="BC39" s="5">
        <v>51.9</v>
      </c>
      <c r="BD39" s="5">
        <v>56.3</v>
      </c>
      <c r="BE39" s="5">
        <v>52.6</v>
      </c>
      <c r="BF39" s="5">
        <v>52.2</v>
      </c>
      <c r="BG39" s="7">
        <v>50</v>
      </c>
      <c r="BH39" s="7">
        <v>54.1</v>
      </c>
      <c r="BI39" s="5">
        <v>50.9</v>
      </c>
      <c r="BJ39" s="5">
        <v>55.5</v>
      </c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</row>
    <row r="40" spans="1:342" s="7" customFormat="1" x14ac:dyDescent="0.3">
      <c r="A40" s="56">
        <v>43890</v>
      </c>
      <c r="B40" s="5">
        <v>50.7</v>
      </c>
      <c r="C40" s="5">
        <v>47.1</v>
      </c>
      <c r="D40" s="5">
        <v>49.5</v>
      </c>
      <c r="E40" s="5">
        <v>44.6</v>
      </c>
      <c r="F40" s="5">
        <v>51.7</v>
      </c>
      <c r="G40" s="5">
        <v>47.8</v>
      </c>
      <c r="H40" s="5">
        <v>51.8</v>
      </c>
      <c r="I40" s="7">
        <v>49.2</v>
      </c>
      <c r="J40" s="5">
        <v>48</v>
      </c>
      <c r="K40" s="5">
        <v>49.8</v>
      </c>
      <c r="L40" s="5">
        <v>52.9</v>
      </c>
      <c r="M40" s="5">
        <v>50.4</v>
      </c>
      <c r="N40" s="5">
        <v>48.7</v>
      </c>
      <c r="O40" s="5">
        <v>51.2</v>
      </c>
      <c r="P40" s="5">
        <v>50.2</v>
      </c>
      <c r="Q40" s="5">
        <v>40.299999999999997</v>
      </c>
      <c r="R40" s="5">
        <v>48.7</v>
      </c>
      <c r="S40" s="5">
        <v>49.9</v>
      </c>
      <c r="T40" s="5">
        <v>54.5</v>
      </c>
      <c r="U40" s="5">
        <v>51.9</v>
      </c>
      <c r="V40" s="5">
        <v>48.2</v>
      </c>
      <c r="W40" s="5">
        <v>52.4</v>
      </c>
      <c r="X40" s="5">
        <v>48.2</v>
      </c>
      <c r="Y40" s="5">
        <v>56.2</v>
      </c>
      <c r="Z40" s="5">
        <v>46.5</v>
      </c>
      <c r="AA40" s="5">
        <v>52.3</v>
      </c>
      <c r="AB40" s="5">
        <v>50</v>
      </c>
      <c r="AC40" s="5">
        <v>47.1</v>
      </c>
      <c r="AD40" s="5">
        <v>39.700000000000003</v>
      </c>
      <c r="AE40" s="5">
        <v>49.4</v>
      </c>
      <c r="AF40" s="5">
        <v>53.2</v>
      </c>
      <c r="AG40" s="5">
        <v>46.8</v>
      </c>
      <c r="AH40" s="5">
        <v>52.6</v>
      </c>
      <c r="AI40" s="5">
        <v>52.5</v>
      </c>
      <c r="AJ40" s="5">
        <v>52.5</v>
      </c>
      <c r="AK40" s="5">
        <v>52.1</v>
      </c>
      <c r="AL40" s="5">
        <v>52.1</v>
      </c>
      <c r="AM40" s="5">
        <v>59.9</v>
      </c>
      <c r="AN40" s="5">
        <v>26.5</v>
      </c>
      <c r="AO40" s="5">
        <v>57.5</v>
      </c>
      <c r="AP40" s="5">
        <v>52</v>
      </c>
      <c r="AQ40" s="5">
        <v>50.4</v>
      </c>
      <c r="AR40" s="5">
        <v>46.1</v>
      </c>
      <c r="AS40" s="5">
        <v>38.9</v>
      </c>
      <c r="AT40" s="5">
        <v>49.6</v>
      </c>
      <c r="AU40" s="5">
        <v>53</v>
      </c>
      <c r="AV40" s="5">
        <v>47</v>
      </c>
      <c r="AW40" s="5">
        <v>51.6</v>
      </c>
      <c r="AX40" s="5">
        <v>50.7</v>
      </c>
      <c r="AY40" s="5">
        <v>52</v>
      </c>
      <c r="AZ40" s="5">
        <v>51.8</v>
      </c>
      <c r="BA40" s="5">
        <v>50.7</v>
      </c>
      <c r="BB40" s="5">
        <v>56.7</v>
      </c>
      <c r="BC40" s="5">
        <v>27.5</v>
      </c>
      <c r="BD40" s="5">
        <v>57.6</v>
      </c>
      <c r="BE40" s="5">
        <v>50.9</v>
      </c>
      <c r="BF40" s="5">
        <v>50.9</v>
      </c>
      <c r="BG40" s="7">
        <v>35.700000000000003</v>
      </c>
      <c r="BH40" s="7">
        <v>29.6</v>
      </c>
      <c r="BI40" s="5">
        <v>50.1</v>
      </c>
      <c r="BJ40" s="5">
        <v>57.3</v>
      </c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</row>
    <row r="41" spans="1:342" s="7" customFormat="1" x14ac:dyDescent="0.3">
      <c r="A41" s="56">
        <v>43921</v>
      </c>
      <c r="B41" s="5">
        <v>48.5</v>
      </c>
      <c r="C41" s="5">
        <v>47.3</v>
      </c>
      <c r="D41" s="5">
        <v>45.9</v>
      </c>
      <c r="E41" s="5">
        <v>49</v>
      </c>
      <c r="F41" s="5">
        <v>47.8</v>
      </c>
      <c r="G41" s="5">
        <v>44.8</v>
      </c>
      <c r="H41" s="5">
        <v>46.1</v>
      </c>
      <c r="I41" s="7">
        <v>44.5</v>
      </c>
      <c r="J41" s="5">
        <v>45.4</v>
      </c>
      <c r="K41" s="5">
        <v>43.2</v>
      </c>
      <c r="L41" s="5">
        <v>50.5</v>
      </c>
      <c r="M41" s="5">
        <v>45.7</v>
      </c>
      <c r="N41" s="5">
        <v>40.299999999999997</v>
      </c>
      <c r="O41" s="5">
        <v>45.1</v>
      </c>
      <c r="P41" s="5">
        <v>45.8</v>
      </c>
      <c r="Q41" s="5">
        <v>50.1</v>
      </c>
      <c r="R41" s="5">
        <v>44.2</v>
      </c>
      <c r="S41" s="5">
        <v>50.4</v>
      </c>
      <c r="T41" s="5">
        <v>51.8</v>
      </c>
      <c r="U41" s="5">
        <v>45.3</v>
      </c>
      <c r="V41" s="5">
        <v>47.5</v>
      </c>
      <c r="W41" s="5">
        <v>48.1</v>
      </c>
      <c r="X41" s="5">
        <v>42.4</v>
      </c>
      <c r="Y41" s="5">
        <v>42.5</v>
      </c>
      <c r="Z41" s="5">
        <v>41.3</v>
      </c>
      <c r="AA41" s="5">
        <v>48.4</v>
      </c>
      <c r="AB41" s="5">
        <v>47.9</v>
      </c>
      <c r="AC41" s="5">
        <v>36.799999999999997</v>
      </c>
      <c r="AD41" s="5">
        <v>42.1</v>
      </c>
      <c r="AE41" s="5">
        <v>39.799999999999997</v>
      </c>
      <c r="AF41" s="5">
        <v>34.5</v>
      </c>
      <c r="AG41" s="5">
        <v>33.799999999999997</v>
      </c>
      <c r="AH41" s="5">
        <v>26.4</v>
      </c>
      <c r="AI41" s="5">
        <v>31.7</v>
      </c>
      <c r="AJ41" s="5">
        <v>27.4</v>
      </c>
      <c r="AK41" s="5">
        <v>23</v>
      </c>
      <c r="AL41" s="5">
        <v>17.399999999999999</v>
      </c>
      <c r="AM41" s="5">
        <v>32.5</v>
      </c>
      <c r="AN41" s="5">
        <v>43</v>
      </c>
      <c r="AO41" s="5">
        <v>49.3</v>
      </c>
      <c r="AP41" s="5">
        <v>37.1</v>
      </c>
      <c r="AQ41" s="5">
        <v>34.5</v>
      </c>
      <c r="AR41" s="5">
        <v>39.200000000000003</v>
      </c>
      <c r="AS41" s="5">
        <v>44.9</v>
      </c>
      <c r="AT41" s="5">
        <v>40.9</v>
      </c>
      <c r="AU41" s="5">
        <v>36</v>
      </c>
      <c r="AV41" s="5">
        <v>36.200000000000003</v>
      </c>
      <c r="AW41" s="5">
        <v>29.7</v>
      </c>
      <c r="AX41" s="5">
        <v>35</v>
      </c>
      <c r="AY41" s="5">
        <v>28.9</v>
      </c>
      <c r="AZ41" s="5">
        <v>26.7</v>
      </c>
      <c r="BA41" s="5">
        <v>20.2</v>
      </c>
      <c r="BB41" s="5">
        <v>37.299999999999997</v>
      </c>
      <c r="BC41" s="5">
        <v>46.7</v>
      </c>
      <c r="BD41" s="5">
        <v>50.6</v>
      </c>
      <c r="BE41" s="5">
        <v>39.5</v>
      </c>
      <c r="BF41" s="5">
        <v>37.6</v>
      </c>
      <c r="BG41" s="7">
        <v>52</v>
      </c>
      <c r="BH41" s="7">
        <v>52.3</v>
      </c>
      <c r="BI41" s="5">
        <v>49.1</v>
      </c>
      <c r="BJ41" s="5">
        <v>52.5</v>
      </c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</row>
    <row r="42" spans="1:342" s="7" customFormat="1" x14ac:dyDescent="0.3">
      <c r="A42" s="56">
        <v>43951</v>
      </c>
      <c r="B42" s="5">
        <v>36.1</v>
      </c>
      <c r="C42" s="5">
        <v>39.6</v>
      </c>
      <c r="D42" s="5">
        <v>36.799999999999997</v>
      </c>
      <c r="E42" s="5">
        <v>42.7</v>
      </c>
      <c r="F42" s="5">
        <v>32.6</v>
      </c>
      <c r="G42" s="5">
        <v>41.9</v>
      </c>
      <c r="H42" s="5">
        <v>33</v>
      </c>
      <c r="I42" s="7">
        <v>33.4</v>
      </c>
      <c r="J42" s="5">
        <v>34.5</v>
      </c>
      <c r="K42" s="5">
        <v>31.5</v>
      </c>
      <c r="L42" s="5">
        <v>41.3</v>
      </c>
      <c r="M42" s="5">
        <v>30.8</v>
      </c>
      <c r="N42" s="5">
        <v>31.1</v>
      </c>
      <c r="O42" s="5">
        <v>36</v>
      </c>
      <c r="P42" s="5">
        <v>31.6</v>
      </c>
      <c r="Q42" s="5">
        <v>49.4</v>
      </c>
      <c r="R42" s="5">
        <v>41.6</v>
      </c>
      <c r="S42" s="5">
        <v>42.2</v>
      </c>
      <c r="T42" s="5">
        <v>27.4</v>
      </c>
      <c r="U42" s="5">
        <v>27.5</v>
      </c>
      <c r="V42" s="5">
        <v>31.3</v>
      </c>
      <c r="W42" s="5">
        <v>33.4</v>
      </c>
      <c r="X42" s="5">
        <v>31.9</v>
      </c>
      <c r="Y42" s="5">
        <v>29.5</v>
      </c>
      <c r="Z42" s="5">
        <v>35.1</v>
      </c>
      <c r="AA42" s="5">
        <v>36</v>
      </c>
      <c r="AB42" s="5">
        <v>35</v>
      </c>
      <c r="AC42" s="5">
        <v>23.7</v>
      </c>
      <c r="AD42" s="5">
        <v>31.6</v>
      </c>
      <c r="AE42" s="5">
        <v>26.7</v>
      </c>
      <c r="AF42" s="5">
        <v>13.4</v>
      </c>
      <c r="AG42" s="5">
        <v>21.5</v>
      </c>
      <c r="AH42" s="5">
        <v>12</v>
      </c>
      <c r="AI42" s="5">
        <v>16.2</v>
      </c>
      <c r="AJ42" s="5">
        <v>10.199999999999999</v>
      </c>
      <c r="AK42" s="5">
        <v>7.1</v>
      </c>
      <c r="AL42" s="5">
        <v>10.8</v>
      </c>
      <c r="AM42" s="5">
        <v>13.9</v>
      </c>
      <c r="AN42" s="5">
        <v>44.4</v>
      </c>
      <c r="AO42" s="5">
        <v>5.4</v>
      </c>
      <c r="AP42" s="5">
        <v>12.2</v>
      </c>
      <c r="AQ42" s="5">
        <v>27.4</v>
      </c>
      <c r="AR42" s="5">
        <v>26.2</v>
      </c>
      <c r="AS42" s="5">
        <v>34.6</v>
      </c>
      <c r="AT42" s="5">
        <v>27</v>
      </c>
      <c r="AU42" s="5">
        <v>13.8</v>
      </c>
      <c r="AV42" s="5">
        <v>25.8</v>
      </c>
      <c r="AW42" s="5">
        <v>13.6</v>
      </c>
      <c r="AX42" s="5">
        <v>17.399999999999999</v>
      </c>
      <c r="AY42" s="5">
        <v>11.1</v>
      </c>
      <c r="AZ42" s="5">
        <v>9.1999999999999993</v>
      </c>
      <c r="BA42" s="5">
        <v>10.9</v>
      </c>
      <c r="BB42" s="5">
        <v>17.3</v>
      </c>
      <c r="BC42" s="5">
        <v>47.6</v>
      </c>
      <c r="BD42" s="5">
        <v>7.2</v>
      </c>
      <c r="BE42" s="5">
        <v>13.9</v>
      </c>
      <c r="BF42" s="5">
        <v>26.5</v>
      </c>
      <c r="BG42" s="7">
        <v>50.8</v>
      </c>
      <c r="BH42" s="7">
        <v>53.2</v>
      </c>
      <c r="BI42" s="5">
        <v>41.5</v>
      </c>
      <c r="BJ42" s="5">
        <v>41.8</v>
      </c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</row>
    <row r="43" spans="1:342" s="7" customFormat="1" x14ac:dyDescent="0.3">
      <c r="A43" s="56">
        <v>43982</v>
      </c>
      <c r="B43" s="5">
        <v>39.799999999999997</v>
      </c>
      <c r="C43" s="5">
        <v>42.4</v>
      </c>
      <c r="D43" s="5">
        <v>39.5</v>
      </c>
      <c r="E43" s="5">
        <v>45.4</v>
      </c>
      <c r="F43" s="5">
        <v>40.700000000000003</v>
      </c>
      <c r="G43" s="5">
        <v>38.4</v>
      </c>
      <c r="H43" s="5">
        <v>40.6</v>
      </c>
      <c r="I43" s="7">
        <v>39.4</v>
      </c>
      <c r="J43" s="5">
        <v>36.6</v>
      </c>
      <c r="K43" s="5">
        <v>40.6</v>
      </c>
      <c r="L43" s="5">
        <v>40.5</v>
      </c>
      <c r="M43" s="5">
        <v>38.299999999999997</v>
      </c>
      <c r="N43" s="5">
        <v>45.4</v>
      </c>
      <c r="O43" s="5">
        <v>39.200000000000003</v>
      </c>
      <c r="P43" s="5">
        <v>40.4</v>
      </c>
      <c r="Q43" s="5">
        <v>50.7</v>
      </c>
      <c r="R43" s="5">
        <v>41.3</v>
      </c>
      <c r="S43" s="5">
        <v>41.9</v>
      </c>
      <c r="T43" s="5">
        <v>30.8</v>
      </c>
      <c r="U43" s="5">
        <v>28.6</v>
      </c>
      <c r="V43" s="5">
        <v>36.200000000000003</v>
      </c>
      <c r="W43" s="5">
        <v>40.9</v>
      </c>
      <c r="X43" s="5">
        <v>40.6</v>
      </c>
      <c r="Y43" s="5">
        <v>41.1</v>
      </c>
      <c r="Z43" s="5">
        <v>39.6</v>
      </c>
      <c r="AA43" s="5">
        <v>38.299999999999997</v>
      </c>
      <c r="AB43" s="5">
        <v>38.299999999999997</v>
      </c>
      <c r="AC43" s="5">
        <v>35.1</v>
      </c>
      <c r="AD43" s="5">
        <v>41.4</v>
      </c>
      <c r="AE43" s="5">
        <v>37.5</v>
      </c>
      <c r="AF43" s="5">
        <v>29</v>
      </c>
      <c r="AG43" s="5">
        <v>26.5</v>
      </c>
      <c r="AH43" s="5">
        <v>30.5</v>
      </c>
      <c r="AI43" s="5">
        <v>32.6</v>
      </c>
      <c r="AJ43" s="5">
        <v>31.1</v>
      </c>
      <c r="AK43" s="5">
        <v>27.9</v>
      </c>
      <c r="AL43" s="5">
        <v>28.9</v>
      </c>
      <c r="AM43" s="5">
        <v>23.4</v>
      </c>
      <c r="AN43" s="5">
        <v>55</v>
      </c>
      <c r="AO43" s="5">
        <v>12.6</v>
      </c>
      <c r="AP43" s="5">
        <v>35.9</v>
      </c>
      <c r="AQ43" s="5">
        <v>27.6</v>
      </c>
      <c r="AR43" s="5">
        <v>36.299999999999997</v>
      </c>
      <c r="AS43" s="5">
        <v>42.7</v>
      </c>
      <c r="AT43" s="5">
        <v>37</v>
      </c>
      <c r="AU43" s="5">
        <v>30</v>
      </c>
      <c r="AV43" s="5">
        <v>27.8</v>
      </c>
      <c r="AW43" s="5">
        <v>31.9</v>
      </c>
      <c r="AX43" s="5">
        <v>32.299999999999997</v>
      </c>
      <c r="AY43" s="5">
        <v>32.1</v>
      </c>
      <c r="AZ43" s="5">
        <v>29.2</v>
      </c>
      <c r="BA43" s="5">
        <v>33.9</v>
      </c>
      <c r="BB43" s="5">
        <v>25.7</v>
      </c>
      <c r="BC43" s="5">
        <v>54.5</v>
      </c>
      <c r="BD43" s="5">
        <v>14.8</v>
      </c>
      <c r="BE43" s="5">
        <v>35</v>
      </c>
      <c r="BF43" s="5">
        <v>28.1</v>
      </c>
      <c r="BG43" s="7">
        <v>50.6</v>
      </c>
      <c r="BH43" s="7">
        <v>53.6</v>
      </c>
      <c r="BI43" s="5">
        <v>43.1</v>
      </c>
      <c r="BJ43" s="5">
        <v>45.4</v>
      </c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</row>
    <row r="44" spans="1:342" s="7" customFormat="1" x14ac:dyDescent="0.3">
      <c r="A44" s="56">
        <v>44012</v>
      </c>
      <c r="B44" s="5">
        <v>49.8</v>
      </c>
      <c r="C44" s="5">
        <v>47.9</v>
      </c>
      <c r="D44" s="5">
        <v>46.4</v>
      </c>
      <c r="E44" s="5">
        <v>49.6</v>
      </c>
      <c r="F44" s="5">
        <v>50.1</v>
      </c>
      <c r="G44" s="5">
        <v>40.1</v>
      </c>
      <c r="H44" s="5">
        <v>47.8</v>
      </c>
      <c r="I44" s="7">
        <v>47.4</v>
      </c>
      <c r="J44" s="5">
        <v>45.2</v>
      </c>
      <c r="K44" s="5">
        <v>52.3</v>
      </c>
      <c r="L44" s="5">
        <v>45.2</v>
      </c>
      <c r="M44" s="5">
        <v>49</v>
      </c>
      <c r="N44" s="5">
        <v>47.5</v>
      </c>
      <c r="O44" s="5">
        <v>51</v>
      </c>
      <c r="P44" s="5">
        <v>46.5</v>
      </c>
      <c r="Q44" s="5">
        <v>51.2</v>
      </c>
      <c r="R44" s="5">
        <v>43.4</v>
      </c>
      <c r="S44" s="5">
        <v>46.2</v>
      </c>
      <c r="T44" s="5">
        <v>47.2</v>
      </c>
      <c r="U44" s="5">
        <v>39.1</v>
      </c>
      <c r="V44" s="5">
        <v>49.4</v>
      </c>
      <c r="W44" s="5">
        <v>53.9</v>
      </c>
      <c r="X44" s="5">
        <v>47.2</v>
      </c>
      <c r="Y44" s="5">
        <v>49.4</v>
      </c>
      <c r="Z44" s="5">
        <v>44.9</v>
      </c>
      <c r="AA44" s="5">
        <v>51.6</v>
      </c>
      <c r="AB44" s="5">
        <v>38.6</v>
      </c>
      <c r="AC44" s="5">
        <v>48</v>
      </c>
      <c r="AD44" s="5">
        <v>49.2</v>
      </c>
      <c r="AE44" s="5">
        <v>47.9</v>
      </c>
      <c r="AF44" s="5">
        <v>47.1</v>
      </c>
      <c r="AG44" s="5">
        <v>45</v>
      </c>
      <c r="AH44" s="5">
        <v>48.3</v>
      </c>
      <c r="AI44" s="5">
        <v>47.3</v>
      </c>
      <c r="AJ44" s="5">
        <v>50.7</v>
      </c>
      <c r="AK44" s="5">
        <v>50.2</v>
      </c>
      <c r="AL44" s="5">
        <v>46.4</v>
      </c>
      <c r="AM44" s="5">
        <v>39.700000000000003</v>
      </c>
      <c r="AN44" s="5">
        <v>58.4</v>
      </c>
      <c r="AO44" s="5">
        <v>33.700000000000003</v>
      </c>
      <c r="AP44" s="5">
        <v>47.8</v>
      </c>
      <c r="AQ44" s="5">
        <v>35.9</v>
      </c>
      <c r="AR44" s="5">
        <v>47.7</v>
      </c>
      <c r="AS44" s="5">
        <v>49.7</v>
      </c>
      <c r="AT44" s="5">
        <v>47.9</v>
      </c>
      <c r="AU44" s="5">
        <v>47.7</v>
      </c>
      <c r="AV44" s="5">
        <v>40.799999999999997</v>
      </c>
      <c r="AW44" s="5">
        <v>48.5</v>
      </c>
      <c r="AX44" s="5">
        <v>47</v>
      </c>
      <c r="AY44" s="5">
        <v>51.7</v>
      </c>
      <c r="AZ44" s="5">
        <v>49.7</v>
      </c>
      <c r="BA44" s="5">
        <v>47.6</v>
      </c>
      <c r="BB44" s="5">
        <v>44.3</v>
      </c>
      <c r="BC44" s="5">
        <v>55.7</v>
      </c>
      <c r="BD44" s="5">
        <v>37.799999999999997</v>
      </c>
      <c r="BE44" s="5">
        <v>48.9</v>
      </c>
      <c r="BF44" s="5">
        <v>40.5</v>
      </c>
      <c r="BG44" s="7">
        <v>50.9</v>
      </c>
      <c r="BH44" s="7">
        <v>54.4</v>
      </c>
      <c r="BI44" s="5">
        <v>52.6</v>
      </c>
      <c r="BJ44" s="5">
        <v>57.1</v>
      </c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</row>
    <row r="45" spans="1:342" s="7" customFormat="1" x14ac:dyDescent="0.3">
      <c r="A45" s="56">
        <v>44043</v>
      </c>
      <c r="B45" s="5">
        <v>50.9</v>
      </c>
      <c r="C45" s="5">
        <v>50.3</v>
      </c>
      <c r="D45" s="5">
        <v>49.8</v>
      </c>
      <c r="E45" s="5">
        <v>51.4</v>
      </c>
      <c r="F45" s="5">
        <v>53.3</v>
      </c>
      <c r="G45" s="5">
        <v>45.2</v>
      </c>
      <c r="H45" s="5"/>
      <c r="I45" s="7">
        <v>51.8</v>
      </c>
      <c r="J45" s="5">
        <v>51</v>
      </c>
      <c r="K45" s="5">
        <v>52.4</v>
      </c>
      <c r="L45" s="5">
        <v>47.9</v>
      </c>
      <c r="M45" s="5">
        <v>53.5</v>
      </c>
      <c r="N45" s="5">
        <v>51.9</v>
      </c>
      <c r="O45" s="5"/>
      <c r="P45" s="5">
        <v>52.8</v>
      </c>
      <c r="Q45" s="5">
        <v>52.8</v>
      </c>
      <c r="R45" s="5">
        <v>46.9</v>
      </c>
      <c r="S45" s="5">
        <v>50.6</v>
      </c>
      <c r="T45" s="5">
        <v>46</v>
      </c>
      <c r="U45" s="5">
        <v>46.9</v>
      </c>
      <c r="V45" s="5">
        <v>48.4</v>
      </c>
      <c r="W45" s="5"/>
      <c r="X45" s="5">
        <v>52.8</v>
      </c>
      <c r="Y45" s="5">
        <v>48.6</v>
      </c>
      <c r="Z45" s="5">
        <v>47</v>
      </c>
      <c r="AA45" s="5">
        <v>58.2</v>
      </c>
      <c r="AB45" s="5">
        <v>40.4</v>
      </c>
      <c r="AC45" s="5"/>
      <c r="AD45" s="5"/>
      <c r="AE45" s="5">
        <v>49.6</v>
      </c>
      <c r="AF45" s="5">
        <v>56.6</v>
      </c>
      <c r="AG45" s="5">
        <v>45.2</v>
      </c>
      <c r="AH45" s="5">
        <v>55.1</v>
      </c>
      <c r="AI45" s="5">
        <v>56.7</v>
      </c>
      <c r="AJ45" s="5">
        <v>57.8</v>
      </c>
      <c r="AK45" s="5"/>
      <c r="AL45" s="5"/>
      <c r="AM45" s="5"/>
      <c r="AN45" s="5"/>
      <c r="AO45" s="5"/>
      <c r="AP45" s="5"/>
      <c r="AQ45" s="5"/>
      <c r="AR45" s="5"/>
      <c r="AS45" s="5"/>
      <c r="AT45" s="5">
        <v>50</v>
      </c>
      <c r="AU45" s="5">
        <v>57.1</v>
      </c>
      <c r="AV45" s="5">
        <v>43.9</v>
      </c>
      <c r="AW45" s="5">
        <v>54.8</v>
      </c>
      <c r="AX45" s="5">
        <v>55.5</v>
      </c>
      <c r="AY45" s="5">
        <v>57.6</v>
      </c>
      <c r="AZ45" s="5"/>
      <c r="BA45" s="5"/>
      <c r="BB45" s="5"/>
      <c r="BC45" s="5"/>
      <c r="BD45" s="5"/>
      <c r="BE45" s="5"/>
      <c r="BF45" s="5"/>
      <c r="BG45" s="7">
        <v>51.1</v>
      </c>
      <c r="BH45" s="7">
        <v>54.2</v>
      </c>
      <c r="BI45" s="5">
        <v>54.2</v>
      </c>
      <c r="BJ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</row>
    <row r="46" spans="1:342" s="7" customFormat="1" x14ac:dyDescent="0.3">
      <c r="A46" s="56"/>
      <c r="B46" s="5"/>
      <c r="C46" s="5"/>
      <c r="D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</row>
    <row r="47" spans="1:342" s="7" customFormat="1" x14ac:dyDescent="0.3">
      <c r="A47" s="8"/>
      <c r="B47" s="5"/>
      <c r="C47" s="5"/>
      <c r="D47" s="10"/>
      <c r="E47" s="5"/>
      <c r="F47" s="5"/>
      <c r="G47" s="5"/>
      <c r="H47" s="5"/>
      <c r="I47" s="5"/>
      <c r="J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</row>
    <row r="48" spans="1:342" s="7" customFormat="1" x14ac:dyDescent="0.3">
      <c r="A48" s="8"/>
      <c r="B48" s="5"/>
      <c r="C48" s="5"/>
      <c r="D48" s="5"/>
      <c r="E48" s="10"/>
      <c r="F48" s="5"/>
      <c r="G48" s="5"/>
      <c r="H48" s="5"/>
      <c r="I48" s="5"/>
      <c r="J48" s="5"/>
      <c r="K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</row>
    <row r="49" spans="1:342" s="7" customFormat="1" x14ac:dyDescent="0.3">
      <c r="A49" s="8"/>
      <c r="B49" s="5"/>
      <c r="C49" s="5"/>
      <c r="D49" s="5"/>
      <c r="E49" s="10"/>
      <c r="F49" s="5"/>
      <c r="G49" s="5"/>
      <c r="H49" s="5"/>
      <c r="I49" s="5"/>
      <c r="J49" s="5"/>
      <c r="K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</row>
    <row r="50" spans="1:342" s="7" customFormat="1" x14ac:dyDescent="0.3">
      <c r="A50" s="8"/>
      <c r="B50" s="4"/>
      <c r="C50" s="60"/>
      <c r="D50" s="60"/>
      <c r="E50" s="60"/>
      <c r="F50" s="60"/>
      <c r="G50" s="60"/>
      <c r="H50" s="60"/>
      <c r="I50" s="5"/>
      <c r="J50" s="5"/>
      <c r="K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</row>
    <row r="51" spans="1:342" s="7" customFormat="1" x14ac:dyDescent="0.3">
      <c r="A51" s="8"/>
      <c r="B51" s="5"/>
      <c r="C51" s="5"/>
      <c r="D51" s="5"/>
      <c r="E51" s="5"/>
      <c r="F51" s="5"/>
      <c r="G51" s="5"/>
      <c r="H51" s="5"/>
      <c r="I51" s="5"/>
      <c r="J51" s="5"/>
      <c r="K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</row>
    <row r="52" spans="1:342" x14ac:dyDescent="0.3">
      <c r="A52" s="8"/>
      <c r="E52" s="5"/>
    </row>
    <row r="53" spans="1:342" x14ac:dyDescent="0.3">
      <c r="A53" s="8"/>
      <c r="E53" s="5"/>
    </row>
    <row r="54" spans="1:342" s="7" customFormat="1" ht="14.5" x14ac:dyDescent="0.35">
      <c r="A54" s="8"/>
      <c r="B54" s="10"/>
      <c r="C54" s="5"/>
      <c r="D54" s="5"/>
      <c r="E54" s="5"/>
      <c r="F54" s="5"/>
      <c r="G54" s="5"/>
      <c r="H54" s="5"/>
      <c r="I54" s="5"/>
      <c r="J54" s="5"/>
      <c r="K54" s="5"/>
      <c r="L54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</row>
    <row r="55" spans="1:342" s="7" customFormat="1" ht="14.5" x14ac:dyDescent="0.35">
      <c r="A55" s="8"/>
      <c r="B55" s="5"/>
      <c r="C55" s="5"/>
      <c r="D55" s="5"/>
      <c r="E55" s="5"/>
      <c r="F55" s="5"/>
      <c r="G55" s="5"/>
      <c r="H55" s="5"/>
      <c r="I55" s="5"/>
      <c r="J55" s="5"/>
      <c r="K55" s="5"/>
      <c r="L5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</row>
    <row r="56" spans="1:342" s="7" customFormat="1" ht="14.5" x14ac:dyDescent="0.35">
      <c r="A56" s="8"/>
      <c r="B56" s="5"/>
      <c r="C56" s="5"/>
      <c r="D56" s="5"/>
      <c r="E56" s="5"/>
      <c r="F56" s="5"/>
      <c r="G56" s="5"/>
      <c r="H56" s="5"/>
      <c r="I56" s="5"/>
      <c r="J56" s="5"/>
      <c r="K56" s="5"/>
      <c r="L56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</row>
    <row r="57" spans="1:342" s="7" customFormat="1" ht="14.5" x14ac:dyDescent="0.35">
      <c r="A57" s="8"/>
      <c r="B57" s="5"/>
      <c r="C57" s="5"/>
      <c r="D57" s="5"/>
      <c r="E57" s="5"/>
      <c r="F57" s="5"/>
      <c r="G57" s="5"/>
      <c r="H57" s="5"/>
      <c r="I57" s="5"/>
      <c r="J57" s="5"/>
      <c r="K57" s="5"/>
      <c r="L57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</row>
    <row r="58" spans="1:342" s="7" customFormat="1" ht="14.5" x14ac:dyDescent="0.35">
      <c r="A58" s="8"/>
      <c r="B58" s="5"/>
      <c r="C58" s="5"/>
      <c r="D58" s="5"/>
      <c r="E58" s="5"/>
      <c r="F58" s="5"/>
      <c r="G58" s="5"/>
      <c r="H58" s="5"/>
      <c r="I58" s="5"/>
      <c r="J58" s="5"/>
      <c r="K58" s="5"/>
      <c r="L58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</row>
    <row r="59" spans="1:342" s="7" customFormat="1" ht="14.5" x14ac:dyDescent="0.35">
      <c r="A59" s="8"/>
      <c r="B59" s="5"/>
      <c r="C59" s="5"/>
      <c r="D59" s="5"/>
      <c r="E59" s="5"/>
      <c r="F59" s="5"/>
      <c r="G59" s="5"/>
      <c r="H59" s="5"/>
      <c r="I59" s="5"/>
      <c r="J59" s="5"/>
      <c r="K59" s="5"/>
      <c r="L59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</row>
    <row r="60" spans="1:342" s="7" customFormat="1" ht="14.5" x14ac:dyDescent="0.35">
      <c r="A60" s="8"/>
      <c r="B60" s="5"/>
      <c r="C60" s="5"/>
      <c r="D60" s="5"/>
      <c r="E60" s="5"/>
      <c r="F60" s="5"/>
      <c r="G60" s="5"/>
      <c r="H60" s="5"/>
      <c r="I60" s="5"/>
      <c r="J60" s="5"/>
      <c r="K60" s="5"/>
      <c r="L60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</row>
    <row r="61" spans="1:342" s="7" customFormat="1" ht="14.5" hidden="1" x14ac:dyDescent="0.35">
      <c r="A61" s="8"/>
      <c r="C61" s="5"/>
      <c r="D61" s="5"/>
      <c r="E61" s="5"/>
      <c r="F61" s="5"/>
      <c r="G61" s="5"/>
      <c r="H61" s="5"/>
      <c r="I61" s="5"/>
      <c r="J61" s="5"/>
      <c r="K61" s="5"/>
      <c r="L61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</row>
    <row r="62" spans="1:342" s="7" customFormat="1" ht="14.5" x14ac:dyDescent="0.35">
      <c r="A62" s="8"/>
      <c r="B62" s="5"/>
      <c r="C62" s="5"/>
      <c r="D62" s="5"/>
      <c r="E62" s="5"/>
      <c r="F62" s="5"/>
      <c r="G62" s="5"/>
      <c r="H62" s="5"/>
      <c r="I62" s="5"/>
      <c r="J62" s="5"/>
      <c r="K62" s="5"/>
      <c r="L62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</row>
    <row r="63" spans="1:342" s="7" customFormat="1" ht="14.5" x14ac:dyDescent="0.35">
      <c r="A63" s="8"/>
      <c r="B63" s="5"/>
      <c r="C63" s="5"/>
      <c r="D63" s="5"/>
      <c r="E63" s="5"/>
      <c r="F63" s="5"/>
      <c r="G63" s="5"/>
      <c r="H63" s="5"/>
      <c r="I63" s="5"/>
      <c r="J63" s="5"/>
      <c r="K63" s="5"/>
      <c r="L63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</row>
    <row r="64" spans="1:342" s="7" customFormat="1" ht="14.5" x14ac:dyDescent="0.35">
      <c r="A64" s="8"/>
      <c r="B64" s="5"/>
      <c r="C64" s="5"/>
      <c r="D64" s="5"/>
      <c r="E64" s="5"/>
      <c r="F64" s="5"/>
      <c r="G64" s="5"/>
      <c r="H64" s="5"/>
      <c r="I64" s="5"/>
      <c r="J64" s="5"/>
      <c r="K64" s="5"/>
      <c r="L64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</row>
    <row r="65" spans="1:342" s="7" customFormat="1" ht="14.5" x14ac:dyDescent="0.35">
      <c r="A65" s="8"/>
      <c r="B65" s="5"/>
      <c r="C65" s="5"/>
      <c r="D65" s="5"/>
      <c r="E65" s="5"/>
      <c r="F65" s="5"/>
      <c r="G65" s="5"/>
      <c r="H65" s="5"/>
      <c r="I65" s="5"/>
      <c r="J65" s="5"/>
      <c r="K65" s="5"/>
      <c r="L6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</row>
    <row r="66" spans="1:342" s="7" customFormat="1" ht="14.5" x14ac:dyDescent="0.35">
      <c r="A66" s="4"/>
      <c r="B66" s="5"/>
      <c r="C66" s="5"/>
      <c r="D66" s="5"/>
      <c r="E66" s="10"/>
      <c r="F66" s="5"/>
      <c r="G66" s="5"/>
      <c r="H66" s="5"/>
      <c r="I66" s="5"/>
      <c r="J66" s="5"/>
      <c r="K66" s="5"/>
      <c r="L66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</row>
    <row r="67" spans="1:342" s="7" customFormat="1" ht="14.5" x14ac:dyDescent="0.35">
      <c r="A67" s="4"/>
      <c r="B67" s="4"/>
      <c r="C67" s="5"/>
      <c r="D67" s="5"/>
      <c r="E67" s="10"/>
      <c r="F67" s="5"/>
      <c r="G67" s="5"/>
      <c r="H67" s="5"/>
      <c r="I67" s="5"/>
      <c r="J67" s="5"/>
      <c r="K67" s="5"/>
      <c r="L67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</row>
    <row r="68" spans="1:342" s="7" customFormat="1" ht="14.5" x14ac:dyDescent="0.35">
      <c r="A68" s="8"/>
      <c r="B68" s="5"/>
      <c r="C68" s="5"/>
      <c r="D68" s="5"/>
      <c r="E68" s="5"/>
      <c r="F68" s="5"/>
      <c r="G68" s="5"/>
      <c r="H68" s="5"/>
      <c r="I68" s="5"/>
      <c r="J68" s="5"/>
      <c r="K68" s="5"/>
      <c r="L68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</row>
    <row r="69" spans="1:342" s="7" customFormat="1" ht="14.5" x14ac:dyDescent="0.35">
      <c r="A69" s="8"/>
      <c r="B69" s="5"/>
      <c r="C69" s="5"/>
      <c r="D69" s="5"/>
      <c r="E69" s="5"/>
      <c r="F69" s="5"/>
      <c r="G69" s="5"/>
      <c r="H69" s="5"/>
      <c r="I69" s="5"/>
      <c r="J69" s="5"/>
      <c r="K69" s="5"/>
      <c r="L69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</row>
    <row r="70" spans="1:342" s="7" customFormat="1" ht="14.5" x14ac:dyDescent="0.35">
      <c r="A70" s="8"/>
      <c r="B70" s="10"/>
      <c r="C70" s="5"/>
      <c r="D70" s="5"/>
      <c r="E70" s="5"/>
      <c r="F70" s="5"/>
      <c r="G70" s="5"/>
      <c r="H70" s="5"/>
      <c r="I70" s="5"/>
      <c r="J70" s="5"/>
      <c r="K70" s="5"/>
      <c r="L70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</row>
    <row r="71" spans="1:342" s="7" customFormat="1" ht="14.5" x14ac:dyDescent="0.35">
      <c r="A71" s="8"/>
      <c r="B71" s="5"/>
      <c r="C71" s="5"/>
      <c r="D71" s="5"/>
      <c r="E71" s="5"/>
      <c r="F71" s="5"/>
      <c r="G71" s="5"/>
      <c r="H71" s="5"/>
      <c r="I71" s="5"/>
      <c r="J71" s="5"/>
      <c r="K71" s="5"/>
      <c r="L71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</row>
    <row r="72" spans="1:342" s="7" customFormat="1" ht="14.5" x14ac:dyDescent="0.35">
      <c r="A72" s="8"/>
      <c r="B72" s="5"/>
      <c r="C72" s="5"/>
      <c r="D72" s="5"/>
      <c r="E72" s="5"/>
      <c r="F72" s="5"/>
      <c r="G72" s="5"/>
      <c r="H72" s="5"/>
      <c r="I72" s="5"/>
      <c r="J72" s="5"/>
      <c r="K72" s="5"/>
      <c r="L72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</row>
    <row r="73" spans="1:342" s="7" customFormat="1" ht="14.5" x14ac:dyDescent="0.35">
      <c r="A73" s="8"/>
      <c r="B73" s="5"/>
      <c r="C73" s="5"/>
      <c r="D73" s="5"/>
      <c r="E73" s="5"/>
      <c r="F73" s="5"/>
      <c r="G73" s="5"/>
      <c r="H73" s="5"/>
      <c r="I73" s="5"/>
      <c r="J73" s="5"/>
      <c r="K73" s="5"/>
      <c r="L73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</row>
    <row r="74" spans="1:342" s="7" customFormat="1" ht="14.5" x14ac:dyDescent="0.35">
      <c r="A74" s="8"/>
      <c r="B74" s="5"/>
      <c r="C74" s="5"/>
      <c r="D74" s="5"/>
      <c r="E74" s="5"/>
      <c r="F74" s="5"/>
      <c r="G74" s="5"/>
      <c r="H74" s="5"/>
      <c r="I74" s="5"/>
      <c r="J74" s="5"/>
      <c r="K74" s="5"/>
      <c r="L74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</row>
    <row r="75" spans="1:342" s="7" customFormat="1" ht="14.5" x14ac:dyDescent="0.35">
      <c r="A75" s="8"/>
      <c r="B75" s="5"/>
      <c r="C75" s="5"/>
      <c r="D75" s="5"/>
      <c r="E75" s="5"/>
      <c r="F75" s="5"/>
      <c r="G75" s="5"/>
      <c r="H75" s="5"/>
      <c r="I75" s="5"/>
      <c r="J75" s="5"/>
      <c r="K75" s="5"/>
      <c r="L7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</row>
    <row r="76" spans="1:342" s="7" customFormat="1" ht="14.5" x14ac:dyDescent="0.35">
      <c r="A76" s="8"/>
      <c r="B76" s="5"/>
      <c r="C76" s="5"/>
      <c r="D76" s="5"/>
      <c r="E76" s="5"/>
      <c r="F76" s="5"/>
      <c r="G76" s="5"/>
      <c r="H76" s="5"/>
      <c r="I76" s="5"/>
      <c r="J76" s="5"/>
      <c r="K76" s="5"/>
      <c r="L76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</row>
    <row r="77" spans="1:342" s="7" customFormat="1" ht="14.5" x14ac:dyDescent="0.35">
      <c r="A77" s="8"/>
      <c r="B77" s="11"/>
      <c r="C77" s="5"/>
      <c r="D77" s="5"/>
      <c r="E77" s="5"/>
      <c r="F77" s="5"/>
      <c r="G77" s="5"/>
      <c r="H77" s="5"/>
      <c r="I77" s="5"/>
      <c r="J77" s="5"/>
      <c r="K77" s="5"/>
      <c r="L77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</row>
    <row r="78" spans="1:342" s="7" customFormat="1" ht="14.5" x14ac:dyDescent="0.35">
      <c r="A78" s="8"/>
      <c r="B78" s="5"/>
      <c r="C78" s="5"/>
      <c r="D78" s="5"/>
      <c r="E78" s="5"/>
      <c r="F78" s="5"/>
      <c r="G78" s="5"/>
      <c r="H78" s="5"/>
      <c r="I78" s="5"/>
      <c r="J78" s="5"/>
      <c r="K78" s="5"/>
      <c r="L78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</row>
    <row r="79" spans="1:342" s="7" customFormat="1" ht="14.5" x14ac:dyDescent="0.35">
      <c r="A79" s="8"/>
      <c r="B79" s="5"/>
      <c r="C79" s="5"/>
      <c r="D79" s="5"/>
      <c r="E79" s="5"/>
      <c r="F79" s="5"/>
      <c r="G79" s="5"/>
      <c r="H79" s="5"/>
      <c r="I79" s="5"/>
      <c r="J79" s="5"/>
      <c r="K79" s="5"/>
      <c r="L79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</row>
    <row r="80" spans="1:342" s="7" customFormat="1" ht="14.5" x14ac:dyDescent="0.35">
      <c r="A80" s="8"/>
      <c r="B80" s="5"/>
      <c r="C80" s="5"/>
      <c r="D80" s="5"/>
      <c r="E80" s="5"/>
      <c r="F80" s="5"/>
      <c r="G80" s="5"/>
      <c r="H80" s="5"/>
      <c r="I80" s="5"/>
      <c r="J80" s="5"/>
      <c r="K80" s="5"/>
      <c r="L80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</row>
    <row r="81" spans="1:342" s="7" customFormat="1" ht="14.5" hidden="1" x14ac:dyDescent="0.35">
      <c r="A81" s="8"/>
      <c r="B81" s="5"/>
      <c r="C81" s="5"/>
      <c r="D81" s="5"/>
      <c r="E81" s="5"/>
      <c r="F81" s="5"/>
      <c r="G81" s="5"/>
      <c r="H81" s="5"/>
      <c r="I81" s="5"/>
      <c r="J81" s="5"/>
      <c r="K81" s="5"/>
      <c r="L81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</row>
    <row r="82" spans="1:342" s="7" customFormat="1" ht="14.5" hidden="1" x14ac:dyDescent="0.35">
      <c r="A82" s="8"/>
      <c r="B82" s="5"/>
      <c r="C82" s="5"/>
      <c r="D82" s="5"/>
      <c r="E82" s="5"/>
      <c r="F82" s="5"/>
      <c r="G82" s="5"/>
      <c r="H82" s="5"/>
      <c r="I82" s="5"/>
      <c r="J82" s="5"/>
      <c r="K82" s="5"/>
      <c r="L82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</row>
    <row r="83" spans="1:342" s="7" customFormat="1" ht="14.5" x14ac:dyDescent="0.35">
      <c r="A83" s="8"/>
      <c r="B83" s="5"/>
      <c r="C83" s="5"/>
      <c r="D83" s="5"/>
      <c r="E83" s="5"/>
      <c r="F83" s="5"/>
      <c r="G83" s="5"/>
      <c r="H83" s="5"/>
      <c r="I83" s="5"/>
      <c r="J83" s="5"/>
      <c r="K83" s="5"/>
      <c r="L83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</row>
    <row r="84" spans="1:342" s="7" customFormat="1" ht="14.5" x14ac:dyDescent="0.35">
      <c r="A84" s="8"/>
      <c r="B84" s="5"/>
      <c r="C84" s="5"/>
      <c r="D84" s="5"/>
      <c r="E84" s="5"/>
      <c r="F84" s="5"/>
      <c r="G84" s="5"/>
      <c r="H84" s="5"/>
      <c r="I84" s="5"/>
      <c r="J84" s="5"/>
      <c r="K84" s="5"/>
      <c r="L84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</row>
    <row r="85" spans="1:342" s="7" customFormat="1" ht="14.5" x14ac:dyDescent="0.35">
      <c r="A85" s="8"/>
      <c r="B85" s="5"/>
      <c r="C85" s="5"/>
      <c r="D85" s="5"/>
      <c r="E85" s="5"/>
      <c r="F85" s="5"/>
      <c r="G85" s="5"/>
      <c r="H85" s="5"/>
      <c r="I85" s="5"/>
      <c r="J85" s="5"/>
      <c r="K85" s="5"/>
      <c r="L8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</row>
    <row r="86" spans="1:342" s="7" customFormat="1" ht="14.5" x14ac:dyDescent="0.35">
      <c r="A86" s="8"/>
      <c r="B86" s="5"/>
      <c r="C86" s="5"/>
      <c r="D86" s="5"/>
      <c r="E86" s="5"/>
      <c r="F86" s="5"/>
      <c r="G86" s="5"/>
      <c r="H86" s="5"/>
      <c r="I86" s="5"/>
      <c r="J86" s="5"/>
      <c r="K86" s="5"/>
      <c r="L86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</row>
    <row r="87" spans="1:342" s="7" customFormat="1" ht="14.5" x14ac:dyDescent="0.35">
      <c r="A87" s="8"/>
      <c r="B87" s="5"/>
      <c r="C87" s="5"/>
      <c r="D87" s="5"/>
      <c r="E87" s="5"/>
      <c r="F87" s="5"/>
      <c r="G87" s="5"/>
      <c r="H87" s="5"/>
      <c r="I87" s="5"/>
      <c r="J87" s="5"/>
      <c r="K87" s="5"/>
      <c r="L87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</row>
    <row r="88" spans="1:342" s="7" customFormat="1" ht="14.5" x14ac:dyDescent="0.35">
      <c r="A88" s="8"/>
      <c r="B88" s="5"/>
      <c r="C88" s="5"/>
      <c r="D88" s="5"/>
      <c r="E88" s="5"/>
      <c r="F88" s="5"/>
      <c r="G88" s="5"/>
      <c r="H88" s="5"/>
      <c r="I88" s="5"/>
      <c r="J88" s="5"/>
      <c r="K88" s="5"/>
      <c r="L88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</row>
    <row r="89" spans="1:342" s="7" customFormat="1" ht="14.5" x14ac:dyDescent="0.35">
      <c r="A89" s="8"/>
      <c r="B89" s="5"/>
      <c r="C89" s="5"/>
      <c r="D89" s="5"/>
      <c r="E89" s="5"/>
      <c r="F89" s="5"/>
      <c r="G89" s="5"/>
      <c r="H89" s="5"/>
      <c r="I89" s="5"/>
      <c r="J89" s="5"/>
      <c r="K89" s="5"/>
      <c r="L89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</row>
    <row r="90" spans="1:342" s="7" customFormat="1" ht="14.5" hidden="1" x14ac:dyDescent="0.35">
      <c r="A90" s="8"/>
      <c r="B90" s="5"/>
      <c r="C90" s="5"/>
      <c r="D90" s="5"/>
      <c r="E90" s="5"/>
      <c r="F90" s="5"/>
      <c r="G90" s="5"/>
      <c r="H90" s="5"/>
      <c r="I90" s="5"/>
      <c r="J90" s="5"/>
      <c r="K90" s="5"/>
      <c r="L90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</row>
    <row r="91" spans="1:342" s="7" customFormat="1" ht="14.5" hidden="1" x14ac:dyDescent="0.35">
      <c r="A91" s="8"/>
      <c r="B91" s="5"/>
      <c r="C91" s="5"/>
      <c r="D91" s="5"/>
      <c r="E91" s="5"/>
      <c r="F91" s="5"/>
      <c r="G91" s="5"/>
      <c r="H91" s="5"/>
      <c r="I91" s="5"/>
      <c r="J91" s="5"/>
      <c r="K91" s="5"/>
      <c r="L91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</row>
    <row r="92" spans="1:342" s="7" customFormat="1" ht="14.5" x14ac:dyDescent="0.35">
      <c r="A92" s="8"/>
      <c r="B92" s="5"/>
      <c r="C92" s="5"/>
      <c r="D92" s="5"/>
      <c r="E92" s="5"/>
      <c r="F92" s="5"/>
      <c r="G92" s="5"/>
      <c r="H92" s="5"/>
      <c r="I92" s="5"/>
      <c r="J92" s="5"/>
      <c r="K92" s="5"/>
      <c r="L92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</row>
    <row r="93" spans="1:342" s="7" customFormat="1" ht="14.5" x14ac:dyDescent="0.35">
      <c r="A93" s="8"/>
      <c r="B93" s="5"/>
      <c r="C93" s="5"/>
      <c r="D93" s="5"/>
      <c r="E93" s="5"/>
      <c r="F93" s="5"/>
      <c r="G93" s="5"/>
      <c r="H93" s="5"/>
      <c r="I93" s="5"/>
      <c r="J93" s="5"/>
      <c r="K93" s="5"/>
      <c r="L93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</row>
    <row r="94" spans="1:342" s="7" customFormat="1" ht="14.5" x14ac:dyDescent="0.35">
      <c r="A94" s="8"/>
      <c r="B94" s="5"/>
      <c r="C94" s="5"/>
      <c r="D94" s="5"/>
      <c r="E94" s="5"/>
      <c r="F94" s="5"/>
      <c r="G94" s="5"/>
      <c r="H94" s="5"/>
      <c r="I94" s="5"/>
      <c r="J94" s="5"/>
      <c r="K94" s="5"/>
      <c r="L94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</row>
    <row r="95" spans="1:342" s="7" customFormat="1" ht="14.5" x14ac:dyDescent="0.35">
      <c r="A95" s="4"/>
      <c r="B95" s="5"/>
      <c r="C95" s="5"/>
      <c r="D95" s="5"/>
      <c r="E95" s="10"/>
      <c r="F95" s="5"/>
      <c r="G95" s="5"/>
      <c r="H95" s="5"/>
      <c r="I95" s="5"/>
      <c r="J95" s="5"/>
      <c r="K95" s="5"/>
      <c r="L9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</row>
    <row r="96" spans="1:342" s="7" customFormat="1" ht="14.5" x14ac:dyDescent="0.35">
      <c r="A96" s="4"/>
      <c r="B96" s="5"/>
      <c r="C96" s="5"/>
      <c r="D96" s="5"/>
      <c r="E96" s="10"/>
      <c r="F96" s="5"/>
      <c r="G96" s="5"/>
      <c r="H96" s="5"/>
      <c r="I96" s="5"/>
      <c r="J96" s="5"/>
      <c r="K96" s="5"/>
      <c r="L96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</row>
    <row r="97" spans="1:342" s="7" customFormat="1" ht="14.5" x14ac:dyDescent="0.35">
      <c r="A97" s="4"/>
      <c r="B97" s="5"/>
      <c r="C97" s="5"/>
      <c r="D97" s="5"/>
      <c r="E97" s="10"/>
      <c r="F97" s="5"/>
      <c r="G97" s="5"/>
      <c r="H97" s="5"/>
      <c r="I97" s="5"/>
      <c r="J97" s="5"/>
      <c r="K97" s="5"/>
      <c r="L97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</row>
    <row r="98" spans="1:342" s="7" customFormat="1" ht="14.5" x14ac:dyDescent="0.35">
      <c r="A98" s="4"/>
      <c r="B98" s="5"/>
      <c r="C98" s="5"/>
      <c r="D98" s="5"/>
      <c r="E98" s="10"/>
      <c r="F98" s="5"/>
      <c r="G98" s="5"/>
      <c r="H98" s="5"/>
      <c r="I98" s="5"/>
      <c r="J98" s="5"/>
      <c r="K98" s="5"/>
      <c r="L98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</row>
    <row r="99" spans="1:342" s="7" customFormat="1" ht="14.5" x14ac:dyDescent="0.35">
      <c r="A99" s="4"/>
      <c r="B99" s="5"/>
      <c r="C99" s="5"/>
      <c r="D99" s="5"/>
      <c r="E99" s="10"/>
      <c r="F99" s="5"/>
      <c r="G99" s="5"/>
      <c r="H99" s="5"/>
      <c r="I99" s="5"/>
      <c r="J99" s="5"/>
      <c r="K99" s="5"/>
      <c r="L99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</row>
    <row r="100" spans="1:342" s="7" customFormat="1" ht="14.5" x14ac:dyDescent="0.35">
      <c r="A100" s="4"/>
      <c r="B100" s="5"/>
      <c r="C100" s="5"/>
      <c r="D100" s="5"/>
      <c r="E100" s="10"/>
      <c r="F100" s="5"/>
      <c r="G100" s="5"/>
      <c r="H100" s="5"/>
      <c r="I100" s="5"/>
      <c r="J100" s="5"/>
      <c r="K100" s="5"/>
      <c r="L100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</row>
    <row r="101" spans="1:342" s="7" customFormat="1" ht="14.5" x14ac:dyDescent="0.35">
      <c r="A101" s="4"/>
      <c r="B101" s="5"/>
      <c r="C101" s="5"/>
      <c r="D101" s="5"/>
      <c r="E101" s="10"/>
      <c r="F101" s="5"/>
      <c r="G101" s="5"/>
      <c r="H101" s="5"/>
      <c r="I101" s="5"/>
      <c r="J101" s="5"/>
      <c r="K101" s="5"/>
      <c r="L101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</row>
    <row r="102" spans="1:342" s="7" customFormat="1" ht="14.5" x14ac:dyDescent="0.35">
      <c r="A102" s="4"/>
      <c r="B102" s="5"/>
      <c r="C102" s="5"/>
      <c r="D102" s="5"/>
      <c r="E102" s="10"/>
      <c r="F102" s="5"/>
      <c r="G102" s="5"/>
      <c r="H102" s="5"/>
      <c r="I102" s="5"/>
      <c r="J102" s="5"/>
      <c r="K102" s="5"/>
      <c r="L102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</row>
    <row r="103" spans="1:342" s="7" customFormat="1" ht="14.5" x14ac:dyDescent="0.35">
      <c r="A103" s="4"/>
      <c r="B103" s="5"/>
      <c r="C103" s="5"/>
      <c r="D103" s="5"/>
      <c r="E103" s="10"/>
      <c r="F103" s="5"/>
      <c r="G103" s="5"/>
      <c r="H103" s="5"/>
      <c r="I103" s="5"/>
      <c r="J103" s="5"/>
      <c r="K103" s="5"/>
      <c r="L103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</row>
    <row r="104" spans="1:342" s="7" customFormat="1" ht="14.5" x14ac:dyDescent="0.35">
      <c r="A104" s="4"/>
      <c r="B104" s="5"/>
      <c r="C104" s="5"/>
      <c r="D104" s="5"/>
      <c r="E104" s="10"/>
      <c r="F104" s="5"/>
      <c r="G104" s="5"/>
      <c r="H104" s="5"/>
      <c r="I104" s="5"/>
      <c r="J104" s="5"/>
      <c r="K104" s="5"/>
      <c r="L104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</row>
    <row r="105" spans="1:342" s="7" customFormat="1" ht="14.5" x14ac:dyDescent="0.35">
      <c r="A105" s="4"/>
      <c r="B105" s="5"/>
      <c r="C105" s="5"/>
      <c r="D105" s="5"/>
      <c r="E105" s="10"/>
      <c r="F105" s="5"/>
      <c r="G105" s="5"/>
      <c r="H105" s="5"/>
      <c r="I105" s="5"/>
      <c r="J105" s="5"/>
      <c r="K105" s="5"/>
      <c r="L10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</row>
    <row r="106" spans="1:342" s="7" customFormat="1" ht="14.5" x14ac:dyDescent="0.35">
      <c r="A106" s="4"/>
      <c r="B106" s="5"/>
      <c r="C106" s="5"/>
      <c r="D106" s="5"/>
      <c r="E106" s="10"/>
      <c r="F106" s="5"/>
      <c r="G106" s="5"/>
      <c r="H106" s="5"/>
      <c r="I106" s="5"/>
      <c r="J106" s="5"/>
      <c r="K106" s="5"/>
      <c r="L106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</row>
    <row r="107" spans="1:342" s="7" customFormat="1" ht="14.5" x14ac:dyDescent="0.35">
      <c r="A107" s="4"/>
      <c r="B107" s="5"/>
      <c r="C107" s="5"/>
      <c r="D107" s="5"/>
      <c r="E107" s="10"/>
      <c r="F107" s="5"/>
      <c r="G107" s="5"/>
      <c r="H107" s="5"/>
      <c r="I107" s="5"/>
      <c r="J107" s="5"/>
      <c r="K107" s="5"/>
      <c r="L107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</row>
    <row r="108" spans="1:342" s="7" customFormat="1" ht="14.5" x14ac:dyDescent="0.35">
      <c r="A108" s="4"/>
      <c r="B108" s="5"/>
      <c r="C108" s="5"/>
      <c r="D108" s="5"/>
      <c r="E108" s="10"/>
      <c r="F108" s="5"/>
      <c r="G108" s="5"/>
      <c r="H108" s="5"/>
      <c r="I108" s="5"/>
      <c r="J108" s="5"/>
      <c r="K108" s="5"/>
      <c r="L108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</row>
    <row r="109" spans="1:342" s="7" customFormat="1" ht="14.5" x14ac:dyDescent="0.35">
      <c r="A109" s="4"/>
      <c r="B109" s="5"/>
      <c r="C109" s="5"/>
      <c r="D109" s="5"/>
      <c r="E109" s="10"/>
      <c r="F109" s="5"/>
      <c r="G109" s="5"/>
      <c r="H109" s="5"/>
      <c r="I109" s="5"/>
      <c r="J109" s="5"/>
      <c r="K109" s="5"/>
      <c r="L109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</row>
    <row r="110" spans="1:342" s="7" customFormat="1" ht="14.5" x14ac:dyDescent="0.35">
      <c r="A110" s="4"/>
      <c r="B110" s="5"/>
      <c r="C110" s="5"/>
      <c r="D110" s="5"/>
      <c r="E110" s="10"/>
      <c r="F110" s="5"/>
      <c r="G110" s="5"/>
      <c r="H110" s="5"/>
      <c r="I110" s="5"/>
      <c r="J110" s="5"/>
      <c r="K110" s="5"/>
      <c r="L110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</row>
    <row r="111" spans="1:342" s="7" customFormat="1" ht="14.5" x14ac:dyDescent="0.35">
      <c r="A111" s="4"/>
      <c r="B111" s="5"/>
      <c r="C111" s="5"/>
      <c r="D111" s="5"/>
      <c r="E111" s="10"/>
      <c r="F111" s="5"/>
      <c r="G111" s="5"/>
      <c r="H111" s="5"/>
      <c r="I111" s="5"/>
      <c r="J111" s="5"/>
      <c r="K111" s="5"/>
      <c r="L111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</row>
    <row r="112" spans="1:342" s="7" customFormat="1" ht="14.5" x14ac:dyDescent="0.35">
      <c r="A112" s="4"/>
      <c r="B112" s="5"/>
      <c r="C112" s="5"/>
      <c r="D112" s="5"/>
      <c r="E112" s="10"/>
      <c r="F112" s="5"/>
      <c r="G112" s="5"/>
      <c r="H112" s="5"/>
      <c r="I112" s="5"/>
      <c r="J112" s="5"/>
      <c r="K112" s="5"/>
      <c r="L112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</row>
    <row r="113" spans="1:342" s="7" customFormat="1" ht="14.5" x14ac:dyDescent="0.35">
      <c r="A113" s="4"/>
      <c r="B113" s="5"/>
      <c r="C113" s="5"/>
      <c r="D113" s="5"/>
      <c r="E113" s="10"/>
      <c r="F113" s="5"/>
      <c r="G113" s="5"/>
      <c r="H113" s="5"/>
      <c r="I113" s="5"/>
      <c r="J113" s="5"/>
      <c r="K113" s="5"/>
      <c r="L113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</row>
    <row r="114" spans="1:342" s="7" customFormat="1" ht="14.5" x14ac:dyDescent="0.35">
      <c r="A114" s="4"/>
      <c r="B114" s="5"/>
      <c r="C114" s="5"/>
      <c r="D114" s="5"/>
      <c r="E114" s="10"/>
      <c r="F114" s="5"/>
      <c r="G114" s="5"/>
      <c r="H114" s="5"/>
      <c r="I114" s="5"/>
      <c r="J114" s="5"/>
      <c r="K114" s="5"/>
      <c r="L114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</row>
    <row r="115" spans="1:342" s="7" customFormat="1" ht="14.5" x14ac:dyDescent="0.35">
      <c r="A115" s="4"/>
      <c r="B115" s="5"/>
      <c r="C115" s="5"/>
      <c r="D115" s="5"/>
      <c r="E115" s="10"/>
      <c r="F115" s="5"/>
      <c r="G115" s="5"/>
      <c r="H115" s="5"/>
      <c r="I115" s="5"/>
      <c r="J115" s="5"/>
      <c r="K115" s="5"/>
      <c r="L11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</row>
    <row r="116" spans="1:342" s="7" customFormat="1" ht="14.5" x14ac:dyDescent="0.35">
      <c r="A116" s="4"/>
      <c r="B116" s="5"/>
      <c r="C116" s="5"/>
      <c r="D116" s="5"/>
      <c r="E116" s="10"/>
      <c r="F116" s="5"/>
      <c r="G116" s="5"/>
      <c r="H116" s="5"/>
      <c r="I116" s="5"/>
      <c r="J116" s="5"/>
      <c r="K116" s="5"/>
      <c r="L116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</row>
    <row r="117" spans="1:342" s="7" customFormat="1" ht="14.5" x14ac:dyDescent="0.35">
      <c r="A117" s="4"/>
      <c r="B117" s="5"/>
      <c r="C117" s="5"/>
      <c r="D117" s="5"/>
      <c r="E117" s="10"/>
      <c r="F117" s="5"/>
      <c r="G117" s="5"/>
      <c r="H117" s="5"/>
      <c r="I117" s="5"/>
      <c r="J117" s="5"/>
      <c r="K117" s="5"/>
      <c r="L117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</row>
    <row r="118" spans="1:342" s="7" customFormat="1" ht="14.5" x14ac:dyDescent="0.35">
      <c r="A118" s="4"/>
      <c r="B118" s="5"/>
      <c r="C118" s="5"/>
      <c r="D118" s="5"/>
      <c r="E118" s="10"/>
      <c r="F118" s="5"/>
      <c r="G118" s="5"/>
      <c r="H118" s="5"/>
      <c r="I118" s="5"/>
      <c r="J118" s="5"/>
      <c r="K118" s="5"/>
      <c r="L118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</row>
    <row r="119" spans="1:342" ht="14.5" x14ac:dyDescent="0.35">
      <c r="L119"/>
    </row>
    <row r="120" spans="1:342" ht="14.5" x14ac:dyDescent="0.35">
      <c r="L120"/>
    </row>
    <row r="121" spans="1:342" ht="14.5" x14ac:dyDescent="0.35">
      <c r="L121"/>
    </row>
    <row r="122" spans="1:342" ht="14.5" x14ac:dyDescent="0.35">
      <c r="L122"/>
    </row>
    <row r="123" spans="1:342" ht="14.5" x14ac:dyDescent="0.35">
      <c r="L123"/>
    </row>
    <row r="124" spans="1:342" ht="14.5" x14ac:dyDescent="0.35">
      <c r="L124"/>
    </row>
    <row r="125" spans="1:342" ht="14.5" x14ac:dyDescent="0.35">
      <c r="L125"/>
    </row>
    <row r="126" spans="1:342" ht="14.5" x14ac:dyDescent="0.35">
      <c r="L126"/>
    </row>
    <row r="127" spans="1:342" ht="14.5" x14ac:dyDescent="0.35">
      <c r="L127"/>
    </row>
    <row r="128" spans="1:342" ht="14.5" x14ac:dyDescent="0.35">
      <c r="L128"/>
    </row>
    <row r="129" spans="12:12" ht="14.5" x14ac:dyDescent="0.35">
      <c r="L129"/>
    </row>
    <row r="130" spans="12:12" ht="14.5" x14ac:dyDescent="0.35">
      <c r="L130"/>
    </row>
    <row r="131" spans="12:12" ht="14.5" x14ac:dyDescent="0.35">
      <c r="L131"/>
    </row>
    <row r="132" spans="12:12" ht="14.5" x14ac:dyDescent="0.35">
      <c r="L132"/>
    </row>
    <row r="133" spans="12:12" ht="14.5" x14ac:dyDescent="0.35">
      <c r="L133"/>
    </row>
    <row r="134" spans="12:12" ht="14.5" x14ac:dyDescent="0.35">
      <c r="L134"/>
    </row>
    <row r="135" spans="12:12" ht="14.5" x14ac:dyDescent="0.35">
      <c r="L135"/>
    </row>
    <row r="136" spans="12:12" ht="14.5" x14ac:dyDescent="0.35">
      <c r="L136"/>
    </row>
    <row r="137" spans="12:12" ht="14.5" x14ac:dyDescent="0.35">
      <c r="L137"/>
    </row>
    <row r="138" spans="12:12" ht="14.5" x14ac:dyDescent="0.35">
      <c r="L138"/>
    </row>
    <row r="139" spans="12:12" ht="14.5" x14ac:dyDescent="0.35">
      <c r="L139"/>
    </row>
    <row r="140" spans="12:12" ht="14.5" x14ac:dyDescent="0.35">
      <c r="L140"/>
    </row>
    <row r="141" spans="12:12" ht="14.5" x14ac:dyDescent="0.35">
      <c r="L141"/>
    </row>
    <row r="142" spans="12:12" ht="14.5" x14ac:dyDescent="0.35">
      <c r="L142"/>
    </row>
    <row r="143" spans="12:12" ht="14.5" x14ac:dyDescent="0.35">
      <c r="L143"/>
    </row>
    <row r="144" spans="12:12" ht="14.5" x14ac:dyDescent="0.35">
      <c r="L144"/>
    </row>
    <row r="145" spans="12:12" ht="14.5" x14ac:dyDescent="0.35">
      <c r="L145"/>
    </row>
    <row r="146" spans="12:12" ht="14.5" x14ac:dyDescent="0.35">
      <c r="L146"/>
    </row>
    <row r="147" spans="12:12" ht="14.5" x14ac:dyDescent="0.35">
      <c r="L147"/>
    </row>
    <row r="148" spans="12:12" ht="14.5" x14ac:dyDescent="0.35">
      <c r="L148"/>
    </row>
    <row r="149" spans="12:12" ht="14.5" x14ac:dyDescent="0.35">
      <c r="L149"/>
    </row>
    <row r="150" spans="12:12" ht="14.5" x14ac:dyDescent="0.35">
      <c r="L150"/>
    </row>
    <row r="151" spans="12:12" ht="14.5" x14ac:dyDescent="0.35">
      <c r="L151"/>
    </row>
    <row r="152" spans="12:12" ht="14.5" x14ac:dyDescent="0.35">
      <c r="L152"/>
    </row>
    <row r="153" spans="12:12" ht="14.5" x14ac:dyDescent="0.35">
      <c r="L153"/>
    </row>
    <row r="154" spans="12:12" ht="14.5" x14ac:dyDescent="0.35">
      <c r="L154"/>
    </row>
    <row r="155" spans="12:12" ht="14.5" x14ac:dyDescent="0.35">
      <c r="L155"/>
    </row>
    <row r="156" spans="12:12" ht="14.5" x14ac:dyDescent="0.35">
      <c r="L156"/>
    </row>
    <row r="157" spans="12:12" ht="14.5" x14ac:dyDescent="0.35">
      <c r="L157"/>
    </row>
    <row r="158" spans="12:12" ht="14.5" x14ac:dyDescent="0.35">
      <c r="L158"/>
    </row>
    <row r="159" spans="12:12" ht="14.5" x14ac:dyDescent="0.35">
      <c r="L159"/>
    </row>
    <row r="160" spans="12:12" ht="14.5" x14ac:dyDescent="0.35">
      <c r="L160"/>
    </row>
    <row r="161" spans="12:12" ht="14.5" x14ac:dyDescent="0.35">
      <c r="L161"/>
    </row>
    <row r="162" spans="12:12" ht="14.5" x14ac:dyDescent="0.35">
      <c r="L162"/>
    </row>
    <row r="163" spans="12:12" ht="14.5" x14ac:dyDescent="0.35">
      <c r="L163"/>
    </row>
    <row r="164" spans="12:12" ht="14.5" x14ac:dyDescent="0.35">
      <c r="L164"/>
    </row>
    <row r="165" spans="12:12" ht="14.5" x14ac:dyDescent="0.35">
      <c r="L165"/>
    </row>
    <row r="166" spans="12:12" ht="14.5" x14ac:dyDescent="0.35">
      <c r="L166"/>
    </row>
    <row r="167" spans="12:12" ht="14.5" x14ac:dyDescent="0.35">
      <c r="L167"/>
    </row>
    <row r="168" spans="12:12" ht="14.5" x14ac:dyDescent="0.35">
      <c r="L168"/>
    </row>
    <row r="169" spans="12:12" ht="14.5" x14ac:dyDescent="0.35">
      <c r="L169"/>
    </row>
    <row r="170" spans="12:12" ht="14.5" x14ac:dyDescent="0.35">
      <c r="L170"/>
    </row>
    <row r="171" spans="12:12" ht="14.5" x14ac:dyDescent="0.35">
      <c r="L171"/>
    </row>
    <row r="172" spans="12:12" ht="14.5" x14ac:dyDescent="0.35">
      <c r="L172"/>
    </row>
    <row r="173" spans="12:12" ht="14.5" x14ac:dyDescent="0.35">
      <c r="L173"/>
    </row>
    <row r="174" spans="12:12" ht="14.5" x14ac:dyDescent="0.35">
      <c r="L174"/>
    </row>
    <row r="175" spans="12:12" ht="14.5" x14ac:dyDescent="0.35">
      <c r="L175"/>
    </row>
    <row r="176" spans="12:12" ht="14.5" x14ac:dyDescent="0.35">
      <c r="L176"/>
    </row>
    <row r="177" spans="12:12" ht="14.5" x14ac:dyDescent="0.35">
      <c r="L177"/>
    </row>
    <row r="178" spans="12:12" ht="14.5" x14ac:dyDescent="0.35">
      <c r="L178"/>
    </row>
    <row r="179" spans="12:12" ht="14.5" x14ac:dyDescent="0.35">
      <c r="L179"/>
    </row>
    <row r="180" spans="12:12" ht="14.5" x14ac:dyDescent="0.35">
      <c r="L180"/>
    </row>
    <row r="181" spans="12:12" ht="14.5" x14ac:dyDescent="0.35">
      <c r="L181"/>
    </row>
    <row r="182" spans="12:12" ht="14.5" x14ac:dyDescent="0.35">
      <c r="L182"/>
    </row>
    <row r="183" spans="12:12" ht="14.5" x14ac:dyDescent="0.35">
      <c r="L183"/>
    </row>
    <row r="184" spans="12:12" ht="14.5" x14ac:dyDescent="0.35">
      <c r="L184"/>
    </row>
    <row r="185" spans="12:12" ht="14.5" x14ac:dyDescent="0.35">
      <c r="L185"/>
    </row>
    <row r="186" spans="12:12" ht="14.5" x14ac:dyDescent="0.35">
      <c r="L186"/>
    </row>
    <row r="187" spans="12:12" ht="14.5" x14ac:dyDescent="0.35">
      <c r="L187"/>
    </row>
    <row r="188" spans="12:12" ht="14.5" x14ac:dyDescent="0.35">
      <c r="L188"/>
    </row>
    <row r="189" spans="12:12" ht="14.5" x14ac:dyDescent="0.35">
      <c r="L189"/>
    </row>
    <row r="190" spans="12:12" ht="14.5" x14ac:dyDescent="0.35">
      <c r="L190"/>
    </row>
    <row r="191" spans="12:12" ht="14.5" x14ac:dyDescent="0.35">
      <c r="L191"/>
    </row>
    <row r="192" spans="12:12" ht="14.5" x14ac:dyDescent="0.35">
      <c r="L192"/>
    </row>
    <row r="193" spans="12:12" ht="14.5" x14ac:dyDescent="0.35">
      <c r="L193"/>
    </row>
    <row r="194" spans="12:12" ht="14.5" x14ac:dyDescent="0.35">
      <c r="L194"/>
    </row>
    <row r="195" spans="12:12" ht="14.5" x14ac:dyDescent="0.35">
      <c r="L195"/>
    </row>
    <row r="196" spans="12:12" ht="14.5" x14ac:dyDescent="0.35">
      <c r="L196"/>
    </row>
    <row r="197" spans="12:12" ht="14.5" x14ac:dyDescent="0.35">
      <c r="L197"/>
    </row>
    <row r="198" spans="12:12" ht="14.5" x14ac:dyDescent="0.35">
      <c r="L198"/>
    </row>
    <row r="199" spans="12:12" ht="14.5" x14ac:dyDescent="0.35">
      <c r="L199"/>
    </row>
    <row r="200" spans="12:12" ht="14.5" x14ac:dyDescent="0.35">
      <c r="L200"/>
    </row>
    <row r="201" spans="12:12" ht="14.5" x14ac:dyDescent="0.35">
      <c r="L201"/>
    </row>
    <row r="202" spans="12:12" ht="14.5" x14ac:dyDescent="0.35">
      <c r="L202"/>
    </row>
    <row r="203" spans="12:12" ht="14.5" x14ac:dyDescent="0.35">
      <c r="L203"/>
    </row>
    <row r="204" spans="12:12" ht="14.5" x14ac:dyDescent="0.35">
      <c r="L204"/>
    </row>
    <row r="205" spans="12:12" ht="14.5" x14ac:dyDescent="0.35">
      <c r="L205"/>
    </row>
    <row r="206" spans="12:12" ht="14.5" x14ac:dyDescent="0.35">
      <c r="L206"/>
    </row>
    <row r="207" spans="12:12" ht="14.5" x14ac:dyDescent="0.35">
      <c r="L207"/>
    </row>
    <row r="208" spans="12:12" ht="14.5" x14ac:dyDescent="0.35">
      <c r="L208"/>
    </row>
    <row r="209" spans="12:12" ht="14.5" x14ac:dyDescent="0.35">
      <c r="L209"/>
    </row>
    <row r="210" spans="12:12" ht="14.5" x14ac:dyDescent="0.35">
      <c r="L210"/>
    </row>
    <row r="211" spans="12:12" ht="14.5" x14ac:dyDescent="0.35">
      <c r="L211"/>
    </row>
    <row r="212" spans="12:12" ht="14.5" x14ac:dyDescent="0.35">
      <c r="L212"/>
    </row>
    <row r="213" spans="12:12" ht="14.5" x14ac:dyDescent="0.35">
      <c r="L213"/>
    </row>
    <row r="214" spans="12:12" ht="14.5" x14ac:dyDescent="0.35">
      <c r="L214"/>
    </row>
    <row r="215" spans="12:12" ht="14.5" x14ac:dyDescent="0.35">
      <c r="L215"/>
    </row>
    <row r="216" spans="12:12" ht="14.5" x14ac:dyDescent="0.35">
      <c r="L216"/>
    </row>
    <row r="217" spans="12:12" ht="14.5" x14ac:dyDescent="0.35">
      <c r="L217"/>
    </row>
    <row r="218" spans="12:12" ht="14.5" x14ac:dyDescent="0.35">
      <c r="L218"/>
    </row>
    <row r="219" spans="12:12" ht="14.5" x14ac:dyDescent="0.35">
      <c r="L219"/>
    </row>
    <row r="220" spans="12:12" ht="14.5" x14ac:dyDescent="0.35">
      <c r="L220"/>
    </row>
    <row r="221" spans="12:12" ht="14.5" x14ac:dyDescent="0.35">
      <c r="L221"/>
    </row>
    <row r="222" spans="12:12" ht="14.5" x14ac:dyDescent="0.35">
      <c r="L222"/>
    </row>
    <row r="223" spans="12:12" ht="14.5" x14ac:dyDescent="0.35">
      <c r="L223"/>
    </row>
    <row r="224" spans="12:12" ht="14.5" x14ac:dyDescent="0.35">
      <c r="L224"/>
    </row>
    <row r="225" spans="12:12" ht="14.5" x14ac:dyDescent="0.35">
      <c r="L225"/>
    </row>
    <row r="226" spans="12:12" ht="14.5" x14ac:dyDescent="0.35">
      <c r="L226"/>
    </row>
    <row r="227" spans="12:12" ht="14.5" x14ac:dyDescent="0.35">
      <c r="L227"/>
    </row>
    <row r="228" spans="12:12" ht="14.5" x14ac:dyDescent="0.35">
      <c r="L228"/>
    </row>
    <row r="229" spans="12:12" ht="14.5" x14ac:dyDescent="0.35">
      <c r="L229"/>
    </row>
    <row r="230" spans="12:12" ht="14.5" x14ac:dyDescent="0.35">
      <c r="L230"/>
    </row>
    <row r="231" spans="12:12" ht="14.5" x14ac:dyDescent="0.35">
      <c r="L231"/>
    </row>
    <row r="232" spans="12:12" ht="14.5" x14ac:dyDescent="0.35">
      <c r="L232"/>
    </row>
    <row r="233" spans="12:12" ht="14.5" x14ac:dyDescent="0.35">
      <c r="L233"/>
    </row>
    <row r="234" spans="12:12" ht="14.5" x14ac:dyDescent="0.35">
      <c r="L234"/>
    </row>
    <row r="235" spans="12:12" ht="14.5" x14ac:dyDescent="0.35">
      <c r="L235"/>
    </row>
    <row r="236" spans="12:12" ht="14.5" x14ac:dyDescent="0.35">
      <c r="L236"/>
    </row>
    <row r="237" spans="12:12" ht="14.5" x14ac:dyDescent="0.35">
      <c r="L237"/>
    </row>
    <row r="238" spans="12:12" ht="14.5" x14ac:dyDescent="0.35">
      <c r="L238"/>
    </row>
    <row r="239" spans="12:12" ht="14.5" x14ac:dyDescent="0.35">
      <c r="L239"/>
    </row>
    <row r="240" spans="12:12" ht="14.5" x14ac:dyDescent="0.35">
      <c r="L240"/>
    </row>
    <row r="241" spans="12:12" ht="14.5" x14ac:dyDescent="0.35">
      <c r="L241"/>
    </row>
    <row r="242" spans="12:12" ht="14.5" x14ac:dyDescent="0.35">
      <c r="L242"/>
    </row>
    <row r="243" spans="12:12" ht="14.5" x14ac:dyDescent="0.35">
      <c r="L243"/>
    </row>
    <row r="244" spans="12:12" ht="14.5" x14ac:dyDescent="0.35">
      <c r="L244"/>
    </row>
    <row r="245" spans="12:12" ht="14.5" x14ac:dyDescent="0.35">
      <c r="L245"/>
    </row>
    <row r="246" spans="12:12" ht="14.5" x14ac:dyDescent="0.35">
      <c r="L246"/>
    </row>
    <row r="247" spans="12:12" ht="14.5" x14ac:dyDescent="0.35">
      <c r="L247"/>
    </row>
    <row r="248" spans="12:12" ht="14.5" x14ac:dyDescent="0.35">
      <c r="L248"/>
    </row>
    <row r="249" spans="12:12" ht="14.5" x14ac:dyDescent="0.35">
      <c r="L249"/>
    </row>
    <row r="250" spans="12:12" ht="14.5" x14ac:dyDescent="0.35">
      <c r="L250"/>
    </row>
    <row r="251" spans="12:12" ht="14.5" x14ac:dyDescent="0.35">
      <c r="L251"/>
    </row>
    <row r="252" spans="12:12" ht="14.5" x14ac:dyDescent="0.35">
      <c r="L252"/>
    </row>
    <row r="253" spans="12:12" ht="14.5" x14ac:dyDescent="0.35">
      <c r="L253"/>
    </row>
    <row r="254" spans="12:12" ht="14.5" x14ac:dyDescent="0.35">
      <c r="L254"/>
    </row>
    <row r="255" spans="12:12" ht="14.5" x14ac:dyDescent="0.35">
      <c r="L255"/>
    </row>
    <row r="256" spans="12:12" ht="14.5" x14ac:dyDescent="0.35">
      <c r="L256"/>
    </row>
    <row r="257" spans="12:12" ht="14.5" x14ac:dyDescent="0.35">
      <c r="L257"/>
    </row>
    <row r="258" spans="12:12" ht="14.5" x14ac:dyDescent="0.35">
      <c r="L258"/>
    </row>
    <row r="259" spans="12:12" ht="14.5" x14ac:dyDescent="0.35">
      <c r="L259"/>
    </row>
    <row r="260" spans="12:12" ht="14.5" x14ac:dyDescent="0.35">
      <c r="L260"/>
    </row>
    <row r="261" spans="12:12" ht="14.5" x14ac:dyDescent="0.35">
      <c r="L261"/>
    </row>
    <row r="262" spans="12:12" ht="14.5" x14ac:dyDescent="0.35">
      <c r="L262"/>
    </row>
    <row r="263" spans="12:12" ht="14.5" x14ac:dyDescent="0.35">
      <c r="L263"/>
    </row>
    <row r="264" spans="12:12" ht="14.5" x14ac:dyDescent="0.35">
      <c r="L264"/>
    </row>
    <row r="265" spans="12:12" ht="14.5" x14ac:dyDescent="0.35">
      <c r="L265"/>
    </row>
    <row r="266" spans="12:12" ht="14.5" x14ac:dyDescent="0.35">
      <c r="L266"/>
    </row>
    <row r="267" spans="12:12" ht="14.5" x14ac:dyDescent="0.35">
      <c r="L267"/>
    </row>
    <row r="268" spans="12:12" ht="14.5" x14ac:dyDescent="0.35">
      <c r="L268"/>
    </row>
    <row r="269" spans="12:12" ht="14.5" x14ac:dyDescent="0.35">
      <c r="L269"/>
    </row>
    <row r="270" spans="12:12" ht="14.5" x14ac:dyDescent="0.35">
      <c r="L270"/>
    </row>
    <row r="271" spans="12:12" ht="14.5" x14ac:dyDescent="0.35">
      <c r="L271"/>
    </row>
    <row r="272" spans="12:12" ht="14.5" x14ac:dyDescent="0.35">
      <c r="L272"/>
    </row>
    <row r="273" spans="12:12" ht="14.5" x14ac:dyDescent="0.35">
      <c r="L273"/>
    </row>
    <row r="274" spans="12:12" ht="14.5" x14ac:dyDescent="0.35">
      <c r="L274"/>
    </row>
    <row r="275" spans="12:12" ht="14.5" x14ac:dyDescent="0.35">
      <c r="L275"/>
    </row>
    <row r="276" spans="12:12" ht="14.5" x14ac:dyDescent="0.35">
      <c r="L276"/>
    </row>
    <row r="277" spans="12:12" ht="14.5" x14ac:dyDescent="0.35">
      <c r="L277"/>
    </row>
    <row r="278" spans="12:12" ht="14.5" x14ac:dyDescent="0.35">
      <c r="L278"/>
    </row>
    <row r="279" spans="12:12" ht="14.5" x14ac:dyDescent="0.35">
      <c r="L279"/>
    </row>
    <row r="280" spans="12:12" ht="14.5" x14ac:dyDescent="0.35">
      <c r="L280"/>
    </row>
    <row r="281" spans="12:12" ht="14.5" x14ac:dyDescent="0.35">
      <c r="L281"/>
    </row>
    <row r="282" spans="12:12" ht="14.5" x14ac:dyDescent="0.35">
      <c r="L282"/>
    </row>
    <row r="283" spans="12:12" ht="14.5" x14ac:dyDescent="0.35">
      <c r="L283"/>
    </row>
    <row r="284" spans="12:12" ht="14.5" x14ac:dyDescent="0.35">
      <c r="L284"/>
    </row>
    <row r="285" spans="12:12" ht="14.5" x14ac:dyDescent="0.35">
      <c r="L285"/>
    </row>
    <row r="286" spans="12:12" ht="14.5" x14ac:dyDescent="0.35">
      <c r="L286"/>
    </row>
    <row r="287" spans="12:12" ht="14.5" x14ac:dyDescent="0.35">
      <c r="L287"/>
    </row>
    <row r="288" spans="12:12" ht="14.5" x14ac:dyDescent="0.35">
      <c r="L288"/>
    </row>
    <row r="289" spans="12:12" ht="14.5" x14ac:dyDescent="0.35">
      <c r="L289"/>
    </row>
    <row r="290" spans="12:12" ht="14.5" x14ac:dyDescent="0.35">
      <c r="L290"/>
    </row>
    <row r="291" spans="12:12" ht="14.5" x14ac:dyDescent="0.35">
      <c r="L291"/>
    </row>
    <row r="292" spans="12:12" ht="14.5" x14ac:dyDescent="0.35">
      <c r="L292"/>
    </row>
    <row r="293" spans="12:12" ht="14.5" x14ac:dyDescent="0.35">
      <c r="L293"/>
    </row>
    <row r="294" spans="12:12" ht="14.5" x14ac:dyDescent="0.35">
      <c r="L294"/>
    </row>
    <row r="295" spans="12:12" ht="14.5" x14ac:dyDescent="0.35">
      <c r="L295"/>
    </row>
    <row r="296" spans="12:12" ht="14.5" x14ac:dyDescent="0.35">
      <c r="L296"/>
    </row>
    <row r="297" spans="12:12" ht="14.5" x14ac:dyDescent="0.35">
      <c r="L297"/>
    </row>
    <row r="298" spans="12:12" ht="14.5" x14ac:dyDescent="0.35">
      <c r="L298"/>
    </row>
    <row r="299" spans="12:12" ht="14.5" x14ac:dyDescent="0.35">
      <c r="L299"/>
    </row>
    <row r="300" spans="12:12" ht="14.5" x14ac:dyDescent="0.35">
      <c r="L300"/>
    </row>
    <row r="301" spans="12:12" ht="14.5" x14ac:dyDescent="0.35">
      <c r="L301"/>
    </row>
    <row r="302" spans="12:12" ht="14.5" x14ac:dyDescent="0.35">
      <c r="L302"/>
    </row>
    <row r="303" spans="12:12" ht="14.5" x14ac:dyDescent="0.35">
      <c r="L303"/>
    </row>
    <row r="304" spans="12:12" ht="14.5" x14ac:dyDescent="0.35">
      <c r="L304"/>
    </row>
    <row r="305" spans="12:12" ht="14.5" x14ac:dyDescent="0.35">
      <c r="L305"/>
    </row>
    <row r="306" spans="12:12" ht="14.5" x14ac:dyDescent="0.35">
      <c r="L306"/>
    </row>
    <row r="307" spans="12:12" ht="14.5" x14ac:dyDescent="0.35">
      <c r="L307"/>
    </row>
    <row r="308" spans="12:12" ht="14.5" x14ac:dyDescent="0.35">
      <c r="L308"/>
    </row>
    <row r="309" spans="12:12" ht="14.5" x14ac:dyDescent="0.35">
      <c r="L309"/>
    </row>
    <row r="310" spans="12:12" ht="14.5" x14ac:dyDescent="0.35">
      <c r="L310"/>
    </row>
    <row r="311" spans="12:12" ht="14.5" x14ac:dyDescent="0.35">
      <c r="L311"/>
    </row>
    <row r="312" spans="12:12" ht="14.5" x14ac:dyDescent="0.35">
      <c r="L312"/>
    </row>
    <row r="313" spans="12:12" ht="14.5" x14ac:dyDescent="0.35">
      <c r="L313"/>
    </row>
    <row r="314" spans="12:12" ht="14.5" x14ac:dyDescent="0.35">
      <c r="L314"/>
    </row>
    <row r="315" spans="12:12" ht="14.5" x14ac:dyDescent="0.35">
      <c r="L315"/>
    </row>
    <row r="316" spans="12:12" ht="14.5" x14ac:dyDescent="0.35">
      <c r="L316"/>
    </row>
    <row r="317" spans="12:12" ht="14.5" x14ac:dyDescent="0.35">
      <c r="L317"/>
    </row>
    <row r="318" spans="12:12" ht="14.5" x14ac:dyDescent="0.35">
      <c r="L318"/>
    </row>
    <row r="319" spans="12:12" ht="14.5" x14ac:dyDescent="0.35">
      <c r="L319"/>
    </row>
    <row r="320" spans="12:12" ht="14.5" x14ac:dyDescent="0.35">
      <c r="L320"/>
    </row>
    <row r="321" spans="12:12" ht="14.5" x14ac:dyDescent="0.35">
      <c r="L321"/>
    </row>
    <row r="322" spans="12:12" ht="14.5" x14ac:dyDescent="0.35">
      <c r="L322"/>
    </row>
    <row r="323" spans="12:12" ht="14.5" x14ac:dyDescent="0.35">
      <c r="L323"/>
    </row>
    <row r="324" spans="12:12" ht="14.5" x14ac:dyDescent="0.35">
      <c r="L324"/>
    </row>
    <row r="325" spans="12:12" ht="14.5" x14ac:dyDescent="0.35">
      <c r="L325"/>
    </row>
    <row r="326" spans="12:12" ht="14.5" x14ac:dyDescent="0.35">
      <c r="L326"/>
    </row>
    <row r="327" spans="12:12" ht="14.5" x14ac:dyDescent="0.35">
      <c r="L327"/>
    </row>
    <row r="328" spans="12:12" ht="14.5" x14ac:dyDescent="0.35">
      <c r="L328"/>
    </row>
    <row r="329" spans="12:12" ht="14.5" x14ac:dyDescent="0.35">
      <c r="L329"/>
    </row>
    <row r="330" spans="12:12" ht="14.5" x14ac:dyDescent="0.35">
      <c r="L330"/>
    </row>
    <row r="331" spans="12:12" ht="14.5" x14ac:dyDescent="0.35">
      <c r="L331"/>
    </row>
    <row r="332" spans="12:12" ht="14.5" x14ac:dyDescent="0.35">
      <c r="L332"/>
    </row>
    <row r="333" spans="12:12" ht="14.5" x14ac:dyDescent="0.35">
      <c r="L333"/>
    </row>
    <row r="334" spans="12:12" ht="14.5" x14ac:dyDescent="0.35">
      <c r="L334"/>
    </row>
    <row r="335" spans="12:12" ht="14.5" x14ac:dyDescent="0.35">
      <c r="L335"/>
    </row>
    <row r="336" spans="12:12" ht="14.5" x14ac:dyDescent="0.35">
      <c r="L336"/>
    </row>
    <row r="337" spans="12:12" ht="14.5" x14ac:dyDescent="0.35">
      <c r="L337"/>
    </row>
    <row r="338" spans="12:12" ht="14.5" x14ac:dyDescent="0.35">
      <c r="L338"/>
    </row>
    <row r="339" spans="12:12" ht="14.5" x14ac:dyDescent="0.35">
      <c r="L339"/>
    </row>
    <row r="340" spans="12:12" ht="14.5" x14ac:dyDescent="0.35">
      <c r="L340"/>
    </row>
    <row r="341" spans="12:12" ht="14.5" x14ac:dyDescent="0.35">
      <c r="L341"/>
    </row>
    <row r="342" spans="12:12" ht="14.5" x14ac:dyDescent="0.35">
      <c r="L342"/>
    </row>
    <row r="343" spans="12:12" ht="14.5" x14ac:dyDescent="0.35">
      <c r="L343"/>
    </row>
    <row r="344" spans="12:12" ht="14.5" x14ac:dyDescent="0.35">
      <c r="L344"/>
    </row>
    <row r="345" spans="12:12" ht="14.5" x14ac:dyDescent="0.35">
      <c r="L345"/>
    </row>
    <row r="346" spans="12:12" ht="14.5" x14ac:dyDescent="0.35">
      <c r="L346"/>
    </row>
    <row r="347" spans="12:12" ht="14.5" x14ac:dyDescent="0.35">
      <c r="L347"/>
    </row>
    <row r="348" spans="12:12" ht="14.5" x14ac:dyDescent="0.35">
      <c r="L348"/>
    </row>
    <row r="349" spans="12:12" ht="14.5" x14ac:dyDescent="0.35">
      <c r="L349"/>
    </row>
    <row r="350" spans="12:12" ht="14.5" x14ac:dyDescent="0.35">
      <c r="L350"/>
    </row>
    <row r="351" spans="12:12" ht="14.5" x14ac:dyDescent="0.35">
      <c r="L351"/>
    </row>
    <row r="352" spans="12:12" ht="14.5" x14ac:dyDescent="0.35">
      <c r="L352"/>
    </row>
    <row r="353" spans="12:12" ht="14.5" x14ac:dyDescent="0.35">
      <c r="L353"/>
    </row>
    <row r="354" spans="12:12" ht="14.5" x14ac:dyDescent="0.35">
      <c r="L354"/>
    </row>
    <row r="355" spans="12:12" ht="14.5" x14ac:dyDescent="0.35">
      <c r="L355"/>
    </row>
    <row r="356" spans="12:12" ht="14.5" x14ac:dyDescent="0.35">
      <c r="L356"/>
    </row>
    <row r="357" spans="12:12" ht="14.5" x14ac:dyDescent="0.35">
      <c r="L357"/>
    </row>
    <row r="358" spans="12:12" ht="14.5" x14ac:dyDescent="0.35">
      <c r="L358"/>
    </row>
    <row r="359" spans="12:12" ht="14.5" x14ac:dyDescent="0.35">
      <c r="L359"/>
    </row>
    <row r="360" spans="12:12" ht="14.5" x14ac:dyDescent="0.35">
      <c r="L360"/>
    </row>
    <row r="361" spans="12:12" ht="14.5" x14ac:dyDescent="0.35">
      <c r="L361"/>
    </row>
    <row r="362" spans="12:12" ht="14.5" x14ac:dyDescent="0.35">
      <c r="L362"/>
    </row>
    <row r="363" spans="12:12" ht="14.5" x14ac:dyDescent="0.35">
      <c r="L363"/>
    </row>
    <row r="364" spans="12:12" ht="14.5" x14ac:dyDescent="0.35">
      <c r="L364"/>
    </row>
    <row r="365" spans="12:12" ht="14.5" x14ac:dyDescent="0.35">
      <c r="L365"/>
    </row>
    <row r="366" spans="12:12" ht="14.5" x14ac:dyDescent="0.35">
      <c r="L366"/>
    </row>
    <row r="367" spans="12:12" ht="14.5" x14ac:dyDescent="0.35">
      <c r="L367"/>
    </row>
    <row r="368" spans="12:12" ht="14.5" x14ac:dyDescent="0.35">
      <c r="L368"/>
    </row>
    <row r="369" spans="12:12" ht="14.5" x14ac:dyDescent="0.35">
      <c r="L369"/>
    </row>
    <row r="370" spans="12:12" ht="14.5" x14ac:dyDescent="0.35">
      <c r="L370"/>
    </row>
    <row r="371" spans="12:12" ht="14.5" x14ac:dyDescent="0.35">
      <c r="L371"/>
    </row>
    <row r="372" spans="12:12" ht="14.5" x14ac:dyDescent="0.35">
      <c r="L372"/>
    </row>
    <row r="373" spans="12:12" ht="14.5" x14ac:dyDescent="0.35">
      <c r="L373"/>
    </row>
    <row r="374" spans="12:12" ht="14.5" x14ac:dyDescent="0.35">
      <c r="L374"/>
    </row>
    <row r="375" spans="12:12" ht="14.5" x14ac:dyDescent="0.35">
      <c r="L375"/>
    </row>
    <row r="376" spans="12:12" ht="14.5" x14ac:dyDescent="0.35">
      <c r="L376"/>
    </row>
    <row r="377" spans="12:12" ht="14.5" x14ac:dyDescent="0.35">
      <c r="L377"/>
    </row>
    <row r="378" spans="12:12" ht="14.5" x14ac:dyDescent="0.35">
      <c r="L378"/>
    </row>
    <row r="379" spans="12:12" ht="14.5" x14ac:dyDescent="0.35">
      <c r="L379"/>
    </row>
    <row r="380" spans="12:12" ht="14.5" x14ac:dyDescent="0.35">
      <c r="L380"/>
    </row>
    <row r="381" spans="12:12" ht="14.5" x14ac:dyDescent="0.35">
      <c r="L381"/>
    </row>
    <row r="382" spans="12:12" ht="14.5" x14ac:dyDescent="0.35">
      <c r="L382"/>
    </row>
    <row r="383" spans="12:12" ht="14.5" x14ac:dyDescent="0.35">
      <c r="L383"/>
    </row>
    <row r="384" spans="12:12" ht="14.5" x14ac:dyDescent="0.35">
      <c r="L384"/>
    </row>
    <row r="385" spans="12:12" ht="14.5" x14ac:dyDescent="0.35">
      <c r="L385"/>
    </row>
    <row r="386" spans="12:12" ht="14.5" x14ac:dyDescent="0.35">
      <c r="L386"/>
    </row>
    <row r="387" spans="12:12" ht="14.5" x14ac:dyDescent="0.35">
      <c r="L387"/>
    </row>
    <row r="388" spans="12:12" ht="14.5" x14ac:dyDescent="0.35">
      <c r="L388"/>
    </row>
    <row r="389" spans="12:12" ht="14.5" x14ac:dyDescent="0.35">
      <c r="L389"/>
    </row>
    <row r="390" spans="12:12" ht="14.5" x14ac:dyDescent="0.35">
      <c r="L390"/>
    </row>
    <row r="391" spans="12:12" ht="14.5" x14ac:dyDescent="0.35">
      <c r="L391"/>
    </row>
    <row r="392" spans="12:12" ht="14.5" x14ac:dyDescent="0.35">
      <c r="L392"/>
    </row>
    <row r="393" spans="12:12" ht="14.5" x14ac:dyDescent="0.35">
      <c r="L393"/>
    </row>
    <row r="394" spans="12:12" ht="14.5" x14ac:dyDescent="0.35">
      <c r="L394"/>
    </row>
    <row r="395" spans="12:12" ht="14.5" x14ac:dyDescent="0.35">
      <c r="L395"/>
    </row>
    <row r="396" spans="12:12" ht="14.5" x14ac:dyDescent="0.35">
      <c r="L396"/>
    </row>
    <row r="397" spans="12:12" ht="14.5" x14ac:dyDescent="0.35">
      <c r="L397"/>
    </row>
    <row r="398" spans="12:12" ht="14.5" x14ac:dyDescent="0.35">
      <c r="L398"/>
    </row>
    <row r="399" spans="12:12" ht="14.5" x14ac:dyDescent="0.35">
      <c r="L399"/>
    </row>
    <row r="400" spans="12:12" ht="14.5" x14ac:dyDescent="0.35">
      <c r="L400"/>
    </row>
    <row r="401" spans="12:12" ht="14.5" x14ac:dyDescent="0.35">
      <c r="L401"/>
    </row>
    <row r="402" spans="12:12" ht="14.5" x14ac:dyDescent="0.35">
      <c r="L402"/>
    </row>
    <row r="403" spans="12:12" ht="14.5" x14ac:dyDescent="0.35">
      <c r="L403"/>
    </row>
    <row r="404" spans="12:12" ht="14.5" x14ac:dyDescent="0.35">
      <c r="L404"/>
    </row>
    <row r="405" spans="12:12" ht="14.5" x14ac:dyDescent="0.35">
      <c r="L405"/>
    </row>
    <row r="406" spans="12:12" ht="14.5" x14ac:dyDescent="0.35">
      <c r="L406"/>
    </row>
    <row r="407" spans="12:12" ht="14.5" x14ac:dyDescent="0.35">
      <c r="L407"/>
    </row>
    <row r="408" spans="12:12" ht="14.5" x14ac:dyDescent="0.35">
      <c r="L408"/>
    </row>
    <row r="409" spans="12:12" ht="14.5" x14ac:dyDescent="0.35">
      <c r="L409"/>
    </row>
    <row r="410" spans="12:12" ht="14.5" x14ac:dyDescent="0.35">
      <c r="L410"/>
    </row>
    <row r="411" spans="12:12" ht="14.5" x14ac:dyDescent="0.35">
      <c r="L411"/>
    </row>
    <row r="412" spans="12:12" ht="14.5" x14ac:dyDescent="0.35">
      <c r="L412"/>
    </row>
    <row r="413" spans="12:12" ht="14.5" x14ac:dyDescent="0.35">
      <c r="L413"/>
    </row>
    <row r="414" spans="12:12" ht="14.5" x14ac:dyDescent="0.35">
      <c r="L414"/>
    </row>
    <row r="415" spans="12:12" ht="14.5" x14ac:dyDescent="0.35">
      <c r="L415"/>
    </row>
    <row r="416" spans="12:12" ht="14.5" x14ac:dyDescent="0.35">
      <c r="L416"/>
    </row>
    <row r="417" spans="12:12" ht="14.5" x14ac:dyDescent="0.35">
      <c r="L417"/>
    </row>
    <row r="418" spans="12:12" ht="14.5" x14ac:dyDescent="0.35">
      <c r="L418"/>
    </row>
    <row r="419" spans="12:12" ht="14.5" x14ac:dyDescent="0.35">
      <c r="L419"/>
    </row>
    <row r="420" spans="12:12" ht="14.5" x14ac:dyDescent="0.35">
      <c r="L420"/>
    </row>
    <row r="421" spans="12:12" ht="14.5" x14ac:dyDescent="0.35">
      <c r="L421"/>
    </row>
    <row r="422" spans="12:12" ht="14.5" x14ac:dyDescent="0.35">
      <c r="L422"/>
    </row>
    <row r="423" spans="12:12" ht="14.5" x14ac:dyDescent="0.35">
      <c r="L423"/>
    </row>
    <row r="424" spans="12:12" ht="14.5" x14ac:dyDescent="0.35">
      <c r="L424"/>
    </row>
    <row r="425" spans="12:12" ht="14.5" x14ac:dyDescent="0.35">
      <c r="L425"/>
    </row>
    <row r="426" spans="12:12" ht="14.5" x14ac:dyDescent="0.35">
      <c r="L426"/>
    </row>
    <row r="427" spans="12:12" ht="14.5" x14ac:dyDescent="0.35">
      <c r="L427"/>
    </row>
    <row r="428" spans="12:12" ht="14.5" x14ac:dyDescent="0.35">
      <c r="L428"/>
    </row>
    <row r="429" spans="12:12" ht="14.5" x14ac:dyDescent="0.35">
      <c r="L429"/>
    </row>
    <row r="430" spans="12:12" ht="14.5" x14ac:dyDescent="0.35">
      <c r="L430"/>
    </row>
    <row r="431" spans="12:12" ht="14.5" x14ac:dyDescent="0.35">
      <c r="L431"/>
    </row>
    <row r="432" spans="12:12" ht="14.5" x14ac:dyDescent="0.35">
      <c r="L432"/>
    </row>
    <row r="433" spans="12:12" ht="14.5" x14ac:dyDescent="0.35">
      <c r="L433"/>
    </row>
    <row r="434" spans="12:12" ht="14.5" x14ac:dyDescent="0.35">
      <c r="L434"/>
    </row>
    <row r="435" spans="12:12" ht="14.5" x14ac:dyDescent="0.35">
      <c r="L435"/>
    </row>
    <row r="436" spans="12:12" ht="14.5" x14ac:dyDescent="0.35">
      <c r="L436"/>
    </row>
    <row r="437" spans="12:12" ht="14.5" x14ac:dyDescent="0.35">
      <c r="L437"/>
    </row>
    <row r="438" spans="12:12" ht="14.5" x14ac:dyDescent="0.35">
      <c r="L438"/>
    </row>
    <row r="439" spans="12:12" ht="14.5" x14ac:dyDescent="0.35">
      <c r="L439"/>
    </row>
    <row r="440" spans="12:12" ht="14.5" x14ac:dyDescent="0.35">
      <c r="L440"/>
    </row>
    <row r="441" spans="12:12" ht="14.5" x14ac:dyDescent="0.35">
      <c r="L441"/>
    </row>
    <row r="442" spans="12:12" ht="14.5" x14ac:dyDescent="0.35">
      <c r="L442"/>
    </row>
    <row r="443" spans="12:12" ht="14.5" x14ac:dyDescent="0.35">
      <c r="L443"/>
    </row>
    <row r="444" spans="12:12" ht="14.5" x14ac:dyDescent="0.35">
      <c r="L444"/>
    </row>
    <row r="445" spans="12:12" ht="14.5" x14ac:dyDescent="0.35">
      <c r="L445"/>
    </row>
    <row r="446" spans="12:12" ht="14.5" x14ac:dyDescent="0.35">
      <c r="L446"/>
    </row>
    <row r="447" spans="12:12" ht="14.5" x14ac:dyDescent="0.35">
      <c r="L447"/>
    </row>
    <row r="448" spans="12:12" ht="14.5" x14ac:dyDescent="0.35">
      <c r="L448"/>
    </row>
    <row r="449" spans="12:12" ht="14.5" x14ac:dyDescent="0.35">
      <c r="L449"/>
    </row>
    <row r="450" spans="12:12" ht="14.5" x14ac:dyDescent="0.35">
      <c r="L450"/>
    </row>
    <row r="451" spans="12:12" ht="14.5" x14ac:dyDescent="0.35">
      <c r="L451"/>
    </row>
    <row r="452" spans="12:12" ht="14.5" x14ac:dyDescent="0.35">
      <c r="L452"/>
    </row>
    <row r="453" spans="12:12" ht="14.5" x14ac:dyDescent="0.35">
      <c r="L453"/>
    </row>
    <row r="454" spans="12:12" ht="14.5" x14ac:dyDescent="0.35">
      <c r="L454"/>
    </row>
    <row r="455" spans="12:12" ht="14.5" x14ac:dyDescent="0.35">
      <c r="L455"/>
    </row>
    <row r="456" spans="12:12" ht="14.5" x14ac:dyDescent="0.35">
      <c r="L456"/>
    </row>
    <row r="457" spans="12:12" ht="14.5" x14ac:dyDescent="0.35">
      <c r="L457"/>
    </row>
    <row r="458" spans="12:12" ht="14.5" x14ac:dyDescent="0.35">
      <c r="L458"/>
    </row>
    <row r="459" spans="12:12" ht="14.5" x14ac:dyDescent="0.35">
      <c r="L459"/>
    </row>
    <row r="460" spans="12:12" ht="14.5" x14ac:dyDescent="0.35">
      <c r="L460"/>
    </row>
    <row r="461" spans="12:12" ht="14.5" x14ac:dyDescent="0.35">
      <c r="L461"/>
    </row>
    <row r="462" spans="12:12" ht="14.5" x14ac:dyDescent="0.35">
      <c r="L462"/>
    </row>
    <row r="463" spans="12:12" ht="14.5" x14ac:dyDescent="0.35">
      <c r="L463"/>
    </row>
    <row r="464" spans="12:12" ht="14.5" x14ac:dyDescent="0.35">
      <c r="L464"/>
    </row>
    <row r="465" spans="12:12" ht="14.5" x14ac:dyDescent="0.35">
      <c r="L465"/>
    </row>
    <row r="466" spans="12:12" ht="14.5" x14ac:dyDescent="0.35">
      <c r="L466"/>
    </row>
    <row r="467" spans="12:12" ht="14.5" x14ac:dyDescent="0.35">
      <c r="L467"/>
    </row>
    <row r="468" spans="12:12" ht="14.5" x14ac:dyDescent="0.35">
      <c r="L468"/>
    </row>
    <row r="469" spans="12:12" ht="14.5" x14ac:dyDescent="0.35">
      <c r="L469"/>
    </row>
    <row r="470" spans="12:12" ht="14.5" x14ac:dyDescent="0.35">
      <c r="L470"/>
    </row>
    <row r="471" spans="12:12" ht="14.5" x14ac:dyDescent="0.35">
      <c r="L471"/>
    </row>
    <row r="472" spans="12:12" ht="14.5" x14ac:dyDescent="0.35">
      <c r="L472"/>
    </row>
    <row r="473" spans="12:12" ht="14.5" x14ac:dyDescent="0.35">
      <c r="L473"/>
    </row>
    <row r="474" spans="12:12" ht="14.5" x14ac:dyDescent="0.35">
      <c r="L474"/>
    </row>
    <row r="475" spans="12:12" ht="14.5" x14ac:dyDescent="0.35">
      <c r="L475"/>
    </row>
    <row r="476" spans="12:12" ht="14.5" x14ac:dyDescent="0.35">
      <c r="L476"/>
    </row>
    <row r="477" spans="12:12" ht="14.5" x14ac:dyDescent="0.35">
      <c r="L477"/>
    </row>
    <row r="478" spans="12:12" ht="14.5" x14ac:dyDescent="0.35">
      <c r="L478"/>
    </row>
    <row r="479" spans="12:12" ht="14.5" x14ac:dyDescent="0.35">
      <c r="L479"/>
    </row>
    <row r="480" spans="12:12" ht="14.5" x14ac:dyDescent="0.35">
      <c r="L480"/>
    </row>
    <row r="481" spans="12:12" ht="14.5" x14ac:dyDescent="0.35">
      <c r="L481"/>
    </row>
    <row r="482" spans="12:12" ht="14.5" x14ac:dyDescent="0.35">
      <c r="L482"/>
    </row>
    <row r="483" spans="12:12" ht="14.5" x14ac:dyDescent="0.35">
      <c r="L483"/>
    </row>
    <row r="484" spans="12:12" ht="14.5" x14ac:dyDescent="0.35">
      <c r="L484"/>
    </row>
    <row r="485" spans="12:12" ht="14.5" x14ac:dyDescent="0.35">
      <c r="L485"/>
    </row>
    <row r="486" spans="12:12" ht="14.5" x14ac:dyDescent="0.35">
      <c r="L486"/>
    </row>
    <row r="487" spans="12:12" ht="14.5" x14ac:dyDescent="0.35">
      <c r="L487"/>
    </row>
    <row r="488" spans="12:12" ht="14.5" x14ac:dyDescent="0.35">
      <c r="L488"/>
    </row>
    <row r="489" spans="12:12" ht="14.5" x14ac:dyDescent="0.35">
      <c r="L489"/>
    </row>
    <row r="490" spans="12:12" ht="14.5" x14ac:dyDescent="0.35">
      <c r="L490"/>
    </row>
    <row r="491" spans="12:12" ht="14.5" x14ac:dyDescent="0.35">
      <c r="L491"/>
    </row>
    <row r="492" spans="12:12" ht="14.5" x14ac:dyDescent="0.35">
      <c r="L492"/>
    </row>
    <row r="493" spans="12:12" ht="14.5" x14ac:dyDescent="0.35">
      <c r="L493"/>
    </row>
    <row r="494" spans="12:12" ht="14.5" x14ac:dyDescent="0.35">
      <c r="L494"/>
    </row>
    <row r="495" spans="12:12" ht="14.5" x14ac:dyDescent="0.35">
      <c r="L495"/>
    </row>
    <row r="496" spans="12:12" ht="14.5" x14ac:dyDescent="0.35">
      <c r="L496"/>
    </row>
    <row r="497" spans="12:12" ht="14.5" x14ac:dyDescent="0.35">
      <c r="L497"/>
    </row>
    <row r="498" spans="12:12" ht="14.5" x14ac:dyDescent="0.35">
      <c r="L498"/>
    </row>
    <row r="499" spans="12:12" ht="14.5" x14ac:dyDescent="0.35">
      <c r="L499"/>
    </row>
    <row r="500" spans="12:12" ht="14.5" x14ac:dyDescent="0.35">
      <c r="L500"/>
    </row>
    <row r="501" spans="12:12" ht="14.5" x14ac:dyDescent="0.35">
      <c r="L501"/>
    </row>
    <row r="502" spans="12:12" ht="14.5" x14ac:dyDescent="0.35">
      <c r="L502"/>
    </row>
    <row r="503" spans="12:12" ht="14.5" x14ac:dyDescent="0.35">
      <c r="L503"/>
    </row>
    <row r="504" spans="12:12" ht="14.5" x14ac:dyDescent="0.35">
      <c r="L504"/>
    </row>
    <row r="505" spans="12:12" ht="14.5" x14ac:dyDescent="0.35">
      <c r="L505"/>
    </row>
    <row r="506" spans="12:12" ht="14.5" x14ac:dyDescent="0.35">
      <c r="L506"/>
    </row>
    <row r="507" spans="12:12" ht="14.5" x14ac:dyDescent="0.35">
      <c r="L507"/>
    </row>
    <row r="508" spans="12:12" ht="14.5" x14ac:dyDescent="0.35">
      <c r="L508"/>
    </row>
    <row r="509" spans="12:12" ht="14.5" x14ac:dyDescent="0.35">
      <c r="L509"/>
    </row>
    <row r="510" spans="12:12" ht="14.5" x14ac:dyDescent="0.35">
      <c r="L510"/>
    </row>
    <row r="511" spans="12:12" ht="14.5" x14ac:dyDescent="0.35">
      <c r="L511"/>
    </row>
    <row r="512" spans="12:12" ht="14.5" x14ac:dyDescent="0.35">
      <c r="L512"/>
    </row>
    <row r="513" spans="12:12" ht="14.5" x14ac:dyDescent="0.35">
      <c r="L513"/>
    </row>
    <row r="514" spans="12:12" ht="14.5" x14ac:dyDescent="0.35">
      <c r="L514"/>
    </row>
    <row r="515" spans="12:12" ht="14.5" x14ac:dyDescent="0.35">
      <c r="L515"/>
    </row>
    <row r="516" spans="12:12" ht="14.5" x14ac:dyDescent="0.35">
      <c r="L516"/>
    </row>
    <row r="517" spans="12:12" ht="14.5" x14ac:dyDescent="0.35">
      <c r="L517"/>
    </row>
    <row r="518" spans="12:12" ht="14.5" x14ac:dyDescent="0.35">
      <c r="L518"/>
    </row>
    <row r="519" spans="12:12" ht="14.5" x14ac:dyDescent="0.35">
      <c r="L519"/>
    </row>
    <row r="520" spans="12:12" ht="14.5" x14ac:dyDescent="0.35">
      <c r="L520"/>
    </row>
    <row r="521" spans="12:12" ht="14.5" x14ac:dyDescent="0.35">
      <c r="L521"/>
    </row>
    <row r="522" spans="12:12" ht="14.5" x14ac:dyDescent="0.35">
      <c r="L522"/>
    </row>
    <row r="523" spans="12:12" ht="14.5" x14ac:dyDescent="0.35">
      <c r="L523"/>
    </row>
    <row r="524" spans="12:12" ht="14.5" x14ac:dyDescent="0.35">
      <c r="L524"/>
    </row>
    <row r="525" spans="12:12" ht="14.5" x14ac:dyDescent="0.35">
      <c r="L525"/>
    </row>
    <row r="526" spans="12:12" ht="14.5" x14ac:dyDescent="0.35">
      <c r="L526"/>
    </row>
    <row r="527" spans="12:12" ht="14.5" x14ac:dyDescent="0.35">
      <c r="L527"/>
    </row>
    <row r="528" spans="12:12" ht="14.5" x14ac:dyDescent="0.35">
      <c r="L528"/>
    </row>
    <row r="529" spans="12:12" ht="14.5" x14ac:dyDescent="0.35">
      <c r="L529"/>
    </row>
    <row r="530" spans="12:12" ht="14.5" x14ac:dyDescent="0.35">
      <c r="L530"/>
    </row>
    <row r="531" spans="12:12" ht="14.5" x14ac:dyDescent="0.35">
      <c r="L531"/>
    </row>
    <row r="532" spans="12:12" ht="14.5" x14ac:dyDescent="0.35">
      <c r="L532"/>
    </row>
    <row r="533" spans="12:12" ht="14.5" x14ac:dyDescent="0.35">
      <c r="L533"/>
    </row>
    <row r="534" spans="12:12" ht="14.5" x14ac:dyDescent="0.35">
      <c r="L534"/>
    </row>
    <row r="535" spans="12:12" ht="14.5" x14ac:dyDescent="0.35">
      <c r="L535"/>
    </row>
    <row r="536" spans="12:12" ht="14.5" x14ac:dyDescent="0.35">
      <c r="L536"/>
    </row>
    <row r="537" spans="12:12" ht="14.5" x14ac:dyDescent="0.35">
      <c r="L537"/>
    </row>
    <row r="538" spans="12:12" ht="14.5" x14ac:dyDescent="0.35">
      <c r="L538"/>
    </row>
    <row r="539" spans="12:12" ht="14.5" x14ac:dyDescent="0.35">
      <c r="L539"/>
    </row>
    <row r="540" spans="12:12" ht="14.5" x14ac:dyDescent="0.35">
      <c r="L540"/>
    </row>
    <row r="541" spans="12:12" ht="14.5" x14ac:dyDescent="0.35">
      <c r="L541"/>
    </row>
    <row r="542" spans="12:12" ht="14.5" x14ac:dyDescent="0.35">
      <c r="L542"/>
    </row>
    <row r="543" spans="12:12" ht="14.5" x14ac:dyDescent="0.35">
      <c r="L543"/>
    </row>
    <row r="544" spans="12:12" ht="14.5" x14ac:dyDescent="0.35">
      <c r="L544"/>
    </row>
    <row r="545" spans="12:12" ht="14.5" x14ac:dyDescent="0.35">
      <c r="L545"/>
    </row>
    <row r="546" spans="12:12" ht="14.5" x14ac:dyDescent="0.35">
      <c r="L546"/>
    </row>
    <row r="547" spans="12:12" ht="14.5" x14ac:dyDescent="0.35">
      <c r="L547"/>
    </row>
    <row r="548" spans="12:12" ht="14.5" x14ac:dyDescent="0.35">
      <c r="L548"/>
    </row>
    <row r="549" spans="12:12" ht="14.5" x14ac:dyDescent="0.35">
      <c r="L549"/>
    </row>
    <row r="550" spans="12:12" ht="14.5" x14ac:dyDescent="0.35">
      <c r="L550"/>
    </row>
    <row r="551" spans="12:12" ht="14.5" x14ac:dyDescent="0.35">
      <c r="L551"/>
    </row>
    <row r="552" spans="12:12" ht="14.5" x14ac:dyDescent="0.35">
      <c r="L552"/>
    </row>
    <row r="553" spans="12:12" ht="14.5" x14ac:dyDescent="0.35">
      <c r="L553"/>
    </row>
    <row r="554" spans="12:12" ht="14.5" x14ac:dyDescent="0.35">
      <c r="L554"/>
    </row>
    <row r="555" spans="12:12" ht="14.5" x14ac:dyDescent="0.35">
      <c r="L555"/>
    </row>
    <row r="556" spans="12:12" ht="14.5" x14ac:dyDescent="0.35">
      <c r="L556"/>
    </row>
    <row r="557" spans="12:12" ht="14.5" x14ac:dyDescent="0.35">
      <c r="L557"/>
    </row>
    <row r="558" spans="12:12" ht="14.5" x14ac:dyDescent="0.35">
      <c r="L558"/>
    </row>
    <row r="559" spans="12:12" ht="14.5" x14ac:dyDescent="0.35">
      <c r="L559"/>
    </row>
    <row r="560" spans="12:12" ht="14.5" x14ac:dyDescent="0.35">
      <c r="L560"/>
    </row>
    <row r="561" spans="12:12" ht="14.5" x14ac:dyDescent="0.35">
      <c r="L561"/>
    </row>
    <row r="562" spans="12:12" ht="14.5" x14ac:dyDescent="0.35">
      <c r="L562"/>
    </row>
    <row r="563" spans="12:12" ht="14.5" x14ac:dyDescent="0.35">
      <c r="L563"/>
    </row>
    <row r="564" spans="12:12" ht="14.5" x14ac:dyDescent="0.35">
      <c r="L564"/>
    </row>
    <row r="565" spans="12:12" ht="14.5" x14ac:dyDescent="0.35">
      <c r="L565"/>
    </row>
    <row r="566" spans="12:12" ht="14.5" x14ac:dyDescent="0.35">
      <c r="L566"/>
    </row>
    <row r="567" spans="12:12" ht="14.5" x14ac:dyDescent="0.35">
      <c r="L567"/>
    </row>
    <row r="568" spans="12:12" ht="14.5" x14ac:dyDescent="0.35">
      <c r="L568"/>
    </row>
    <row r="569" spans="12:12" ht="14.5" x14ac:dyDescent="0.35">
      <c r="L569"/>
    </row>
    <row r="570" spans="12:12" ht="14.5" x14ac:dyDescent="0.35">
      <c r="L570"/>
    </row>
    <row r="571" spans="12:12" ht="14.5" x14ac:dyDescent="0.35">
      <c r="L571"/>
    </row>
    <row r="572" spans="12:12" ht="14.5" x14ac:dyDescent="0.35">
      <c r="L572"/>
    </row>
    <row r="573" spans="12:12" ht="14.5" x14ac:dyDescent="0.35">
      <c r="L573"/>
    </row>
    <row r="574" spans="12:12" ht="14.5" x14ac:dyDescent="0.35">
      <c r="L574"/>
    </row>
    <row r="575" spans="12:12" ht="14.5" x14ac:dyDescent="0.35">
      <c r="L575"/>
    </row>
    <row r="576" spans="12:12" ht="14.5" x14ac:dyDescent="0.35">
      <c r="L576"/>
    </row>
    <row r="577" spans="12:12" ht="14.5" x14ac:dyDescent="0.35">
      <c r="L577"/>
    </row>
    <row r="578" spans="12:12" ht="14.5" x14ac:dyDescent="0.35">
      <c r="L578"/>
    </row>
    <row r="579" spans="12:12" ht="14.5" x14ac:dyDescent="0.35">
      <c r="L579"/>
    </row>
    <row r="580" spans="12:12" ht="14.5" x14ac:dyDescent="0.35">
      <c r="L580"/>
    </row>
    <row r="581" spans="12:12" ht="14.5" x14ac:dyDescent="0.35">
      <c r="L581"/>
    </row>
    <row r="582" spans="12:12" ht="14.5" x14ac:dyDescent="0.35">
      <c r="L582"/>
    </row>
    <row r="583" spans="12:12" ht="14.5" x14ac:dyDescent="0.35">
      <c r="L583"/>
    </row>
    <row r="584" spans="12:12" ht="14.5" x14ac:dyDescent="0.35">
      <c r="L584"/>
    </row>
    <row r="585" spans="12:12" ht="14.5" x14ac:dyDescent="0.35">
      <c r="L585"/>
    </row>
    <row r="586" spans="12:12" ht="14.5" x14ac:dyDescent="0.35">
      <c r="L586"/>
    </row>
    <row r="587" spans="12:12" ht="14.5" x14ac:dyDescent="0.35">
      <c r="L587"/>
    </row>
    <row r="588" spans="12:12" ht="14.5" x14ac:dyDescent="0.35">
      <c r="L588"/>
    </row>
    <row r="589" spans="12:12" ht="14.5" x14ac:dyDescent="0.35">
      <c r="L589"/>
    </row>
    <row r="590" spans="12:12" ht="14.5" x14ac:dyDescent="0.35">
      <c r="L590"/>
    </row>
    <row r="591" spans="12:12" ht="14.5" x14ac:dyDescent="0.35">
      <c r="L591"/>
    </row>
    <row r="592" spans="12:12" ht="14.5" x14ac:dyDescent="0.35">
      <c r="L592"/>
    </row>
    <row r="593" spans="12:12" ht="14.5" x14ac:dyDescent="0.35">
      <c r="L593"/>
    </row>
    <row r="594" spans="12:12" ht="14.5" x14ac:dyDescent="0.35">
      <c r="L594"/>
    </row>
    <row r="595" spans="12:12" ht="14.5" x14ac:dyDescent="0.35">
      <c r="L595"/>
    </row>
    <row r="596" spans="12:12" ht="14.5" x14ac:dyDescent="0.35">
      <c r="L596"/>
    </row>
    <row r="597" spans="12:12" ht="14.5" x14ac:dyDescent="0.35">
      <c r="L597"/>
    </row>
    <row r="598" spans="12:12" ht="14.5" x14ac:dyDescent="0.35">
      <c r="L598"/>
    </row>
    <row r="599" spans="12:12" ht="14.5" x14ac:dyDescent="0.35">
      <c r="L599"/>
    </row>
    <row r="600" spans="12:12" ht="14.5" x14ac:dyDescent="0.35">
      <c r="L600"/>
    </row>
    <row r="601" spans="12:12" ht="14.5" x14ac:dyDescent="0.35">
      <c r="L601"/>
    </row>
    <row r="602" spans="12:12" ht="14.5" x14ac:dyDescent="0.35">
      <c r="L602"/>
    </row>
    <row r="603" spans="12:12" ht="14.5" x14ac:dyDescent="0.35">
      <c r="L603"/>
    </row>
    <row r="604" spans="12:12" ht="14.5" x14ac:dyDescent="0.35">
      <c r="L604"/>
    </row>
    <row r="605" spans="12:12" ht="14.5" x14ac:dyDescent="0.35">
      <c r="L605"/>
    </row>
    <row r="606" spans="12:12" ht="14.5" x14ac:dyDescent="0.35">
      <c r="L606"/>
    </row>
    <row r="607" spans="12:12" ht="14.5" x14ac:dyDescent="0.35">
      <c r="L607"/>
    </row>
    <row r="608" spans="12:12" ht="14.5" x14ac:dyDescent="0.35">
      <c r="L608"/>
    </row>
    <row r="609" spans="12:12" ht="14.5" x14ac:dyDescent="0.35">
      <c r="L609"/>
    </row>
    <row r="610" spans="12:12" ht="14.5" x14ac:dyDescent="0.35">
      <c r="L610"/>
    </row>
    <row r="611" spans="12:12" ht="14.5" x14ac:dyDescent="0.35">
      <c r="L611"/>
    </row>
    <row r="612" spans="12:12" ht="14.5" x14ac:dyDescent="0.35">
      <c r="L612"/>
    </row>
    <row r="613" spans="12:12" ht="14.5" x14ac:dyDescent="0.35">
      <c r="L613"/>
    </row>
    <row r="614" spans="12:12" ht="14.5" x14ac:dyDescent="0.35">
      <c r="L614"/>
    </row>
    <row r="615" spans="12:12" ht="14.5" x14ac:dyDescent="0.35">
      <c r="L615"/>
    </row>
    <row r="616" spans="12:12" ht="14.5" x14ac:dyDescent="0.35">
      <c r="L616"/>
    </row>
    <row r="617" spans="12:12" ht="14.5" x14ac:dyDescent="0.35">
      <c r="L617"/>
    </row>
    <row r="618" spans="12:12" ht="14.5" x14ac:dyDescent="0.35">
      <c r="L618"/>
    </row>
    <row r="619" spans="12:12" ht="14.5" x14ac:dyDescent="0.35">
      <c r="L619"/>
    </row>
    <row r="620" spans="12:12" ht="14.5" x14ac:dyDescent="0.35">
      <c r="L620"/>
    </row>
    <row r="621" spans="12:12" ht="14.5" x14ac:dyDescent="0.35">
      <c r="L621"/>
    </row>
    <row r="622" spans="12:12" ht="14.5" x14ac:dyDescent="0.35">
      <c r="L622"/>
    </row>
    <row r="623" spans="12:12" ht="14.5" x14ac:dyDescent="0.35">
      <c r="L623"/>
    </row>
    <row r="624" spans="12:12" ht="14.5" x14ac:dyDescent="0.35">
      <c r="L624"/>
    </row>
    <row r="625" spans="12:12" ht="14.5" x14ac:dyDescent="0.35">
      <c r="L625"/>
    </row>
    <row r="626" spans="12:12" ht="14.5" x14ac:dyDescent="0.35">
      <c r="L626"/>
    </row>
    <row r="627" spans="12:12" ht="14.5" x14ac:dyDescent="0.35">
      <c r="L627"/>
    </row>
    <row r="628" spans="12:12" ht="14.5" x14ac:dyDescent="0.35">
      <c r="L628"/>
    </row>
    <row r="629" spans="12:12" ht="14.5" x14ac:dyDescent="0.35">
      <c r="L629"/>
    </row>
    <row r="630" spans="12:12" ht="14.5" x14ac:dyDescent="0.35">
      <c r="L630"/>
    </row>
    <row r="631" spans="12:12" ht="14.5" x14ac:dyDescent="0.35">
      <c r="L631"/>
    </row>
    <row r="632" spans="12:12" ht="14.5" x14ac:dyDescent="0.35">
      <c r="L632"/>
    </row>
    <row r="633" spans="12:12" ht="14.5" x14ac:dyDescent="0.35">
      <c r="L633"/>
    </row>
    <row r="634" spans="12:12" ht="14.5" x14ac:dyDescent="0.35">
      <c r="L634"/>
    </row>
    <row r="635" spans="12:12" ht="14.5" x14ac:dyDescent="0.35">
      <c r="L635"/>
    </row>
    <row r="636" spans="12:12" ht="14.5" x14ac:dyDescent="0.35">
      <c r="L636"/>
    </row>
    <row r="637" spans="12:12" ht="14.5" x14ac:dyDescent="0.35">
      <c r="L637"/>
    </row>
    <row r="638" spans="12:12" ht="14.5" x14ac:dyDescent="0.35">
      <c r="L638"/>
    </row>
    <row r="639" spans="12:12" ht="14.5" x14ac:dyDescent="0.35">
      <c r="L639"/>
    </row>
    <row r="640" spans="12:12" ht="14.5" x14ac:dyDescent="0.35">
      <c r="L640"/>
    </row>
    <row r="641" spans="12:12" ht="14.5" x14ac:dyDescent="0.35">
      <c r="L641"/>
    </row>
    <row r="642" spans="12:12" ht="14.5" x14ac:dyDescent="0.35">
      <c r="L642"/>
    </row>
    <row r="643" spans="12:12" ht="14.5" x14ac:dyDescent="0.35">
      <c r="L643"/>
    </row>
    <row r="644" spans="12:12" ht="14.5" x14ac:dyDescent="0.35">
      <c r="L644"/>
    </row>
    <row r="645" spans="12:12" ht="14.5" x14ac:dyDescent="0.35">
      <c r="L645"/>
    </row>
    <row r="646" spans="12:12" ht="14.5" x14ac:dyDescent="0.35">
      <c r="L646"/>
    </row>
    <row r="647" spans="12:12" ht="14.5" x14ac:dyDescent="0.35">
      <c r="L647"/>
    </row>
    <row r="648" spans="12:12" ht="14.5" x14ac:dyDescent="0.35">
      <c r="L648"/>
    </row>
    <row r="649" spans="12:12" ht="14.5" x14ac:dyDescent="0.35">
      <c r="L649"/>
    </row>
    <row r="650" spans="12:12" ht="14.5" x14ac:dyDescent="0.35">
      <c r="L650"/>
    </row>
    <row r="651" spans="12:12" ht="14.5" x14ac:dyDescent="0.35">
      <c r="L651"/>
    </row>
    <row r="652" spans="12:12" ht="14.5" x14ac:dyDescent="0.35">
      <c r="L652"/>
    </row>
    <row r="653" spans="12:12" ht="14.5" x14ac:dyDescent="0.35">
      <c r="L653"/>
    </row>
    <row r="654" spans="12:12" ht="14.5" x14ac:dyDescent="0.35">
      <c r="L654"/>
    </row>
    <row r="655" spans="12:12" ht="14.5" x14ac:dyDescent="0.35">
      <c r="L655"/>
    </row>
    <row r="656" spans="12:12" ht="14.5" x14ac:dyDescent="0.35">
      <c r="L656"/>
    </row>
    <row r="657" spans="12:12" ht="14.5" x14ac:dyDescent="0.35">
      <c r="L657"/>
    </row>
    <row r="658" spans="12:12" ht="14.5" x14ac:dyDescent="0.35">
      <c r="L658"/>
    </row>
    <row r="659" spans="12:12" ht="14.5" x14ac:dyDescent="0.35">
      <c r="L659"/>
    </row>
    <row r="660" spans="12:12" ht="14.5" x14ac:dyDescent="0.35">
      <c r="L660"/>
    </row>
    <row r="661" spans="12:12" ht="14.5" x14ac:dyDescent="0.35">
      <c r="L661"/>
    </row>
    <row r="662" spans="12:12" ht="14.5" x14ac:dyDescent="0.35">
      <c r="L662"/>
    </row>
    <row r="663" spans="12:12" ht="14.5" x14ac:dyDescent="0.35">
      <c r="L663"/>
    </row>
    <row r="664" spans="12:12" ht="14.5" x14ac:dyDescent="0.35">
      <c r="L664"/>
    </row>
    <row r="665" spans="12:12" ht="14.5" x14ac:dyDescent="0.35">
      <c r="L665"/>
    </row>
    <row r="666" spans="12:12" ht="14.5" x14ac:dyDescent="0.35">
      <c r="L666"/>
    </row>
    <row r="667" spans="12:12" ht="14.5" x14ac:dyDescent="0.35">
      <c r="L667"/>
    </row>
    <row r="668" spans="12:12" ht="14.5" x14ac:dyDescent="0.35">
      <c r="L668"/>
    </row>
    <row r="669" spans="12:12" ht="14.5" x14ac:dyDescent="0.35">
      <c r="L669"/>
    </row>
    <row r="670" spans="12:12" ht="14.5" x14ac:dyDescent="0.35">
      <c r="L670"/>
    </row>
    <row r="671" spans="12:12" ht="14.5" x14ac:dyDescent="0.35">
      <c r="L671"/>
    </row>
    <row r="672" spans="12:12" ht="14.5" x14ac:dyDescent="0.35">
      <c r="L672"/>
    </row>
    <row r="673" spans="12:12" ht="14.5" x14ac:dyDescent="0.35">
      <c r="L673"/>
    </row>
    <row r="674" spans="12:12" ht="14.5" x14ac:dyDescent="0.35">
      <c r="L674"/>
    </row>
    <row r="675" spans="12:12" ht="14.5" x14ac:dyDescent="0.35">
      <c r="L675"/>
    </row>
    <row r="676" spans="12:12" ht="14.5" x14ac:dyDescent="0.35">
      <c r="L676"/>
    </row>
    <row r="677" spans="12:12" ht="14.5" x14ac:dyDescent="0.35">
      <c r="L677"/>
    </row>
    <row r="678" spans="12:12" ht="14.5" x14ac:dyDescent="0.35">
      <c r="L678"/>
    </row>
    <row r="679" spans="12:12" ht="14.5" x14ac:dyDescent="0.35">
      <c r="L679"/>
    </row>
    <row r="680" spans="12:12" ht="14.5" x14ac:dyDescent="0.35">
      <c r="L680"/>
    </row>
    <row r="681" spans="12:12" ht="14.5" x14ac:dyDescent="0.35">
      <c r="L681"/>
    </row>
    <row r="682" spans="12:12" ht="14.5" x14ac:dyDescent="0.35">
      <c r="L682"/>
    </row>
    <row r="683" spans="12:12" ht="14.5" x14ac:dyDescent="0.35">
      <c r="L683"/>
    </row>
    <row r="684" spans="12:12" ht="14.5" x14ac:dyDescent="0.35">
      <c r="L684"/>
    </row>
    <row r="685" spans="12:12" ht="14.5" x14ac:dyDescent="0.35">
      <c r="L685"/>
    </row>
    <row r="686" spans="12:12" ht="14.5" x14ac:dyDescent="0.35">
      <c r="L686"/>
    </row>
    <row r="687" spans="12:12" ht="14.5" x14ac:dyDescent="0.35">
      <c r="L687"/>
    </row>
    <row r="688" spans="12:12" ht="14.5" x14ac:dyDescent="0.35">
      <c r="L688"/>
    </row>
    <row r="689" spans="12:12" ht="14.5" x14ac:dyDescent="0.35">
      <c r="L689"/>
    </row>
    <row r="690" spans="12:12" ht="14.5" x14ac:dyDescent="0.35">
      <c r="L690"/>
    </row>
    <row r="691" spans="12:12" ht="14.5" x14ac:dyDescent="0.35">
      <c r="L691"/>
    </row>
    <row r="692" spans="12:12" ht="14.5" x14ac:dyDescent="0.35">
      <c r="L692"/>
    </row>
    <row r="693" spans="12:12" ht="14.5" x14ac:dyDescent="0.35">
      <c r="L693"/>
    </row>
    <row r="694" spans="12:12" ht="14.5" x14ac:dyDescent="0.35">
      <c r="L694"/>
    </row>
    <row r="695" spans="12:12" ht="14.5" x14ac:dyDescent="0.35">
      <c r="L695"/>
    </row>
    <row r="696" spans="12:12" ht="14.5" x14ac:dyDescent="0.35">
      <c r="L696"/>
    </row>
    <row r="697" spans="12:12" ht="14.5" x14ac:dyDescent="0.35">
      <c r="L697"/>
    </row>
    <row r="698" spans="12:12" ht="14.5" x14ac:dyDescent="0.35">
      <c r="L698"/>
    </row>
    <row r="699" spans="12:12" ht="14.5" x14ac:dyDescent="0.35">
      <c r="L699"/>
    </row>
    <row r="700" spans="12:12" ht="14.5" x14ac:dyDescent="0.35">
      <c r="L700"/>
    </row>
    <row r="701" spans="12:12" ht="14.5" x14ac:dyDescent="0.35">
      <c r="L701"/>
    </row>
    <row r="702" spans="12:12" ht="14.5" x14ac:dyDescent="0.35">
      <c r="L702"/>
    </row>
    <row r="703" spans="12:12" ht="14.5" x14ac:dyDescent="0.35">
      <c r="L703"/>
    </row>
    <row r="704" spans="12:12" ht="14.5" x14ac:dyDescent="0.35">
      <c r="L704"/>
    </row>
    <row r="705" spans="12:12" ht="14.5" x14ac:dyDescent="0.35">
      <c r="L705"/>
    </row>
    <row r="706" spans="12:12" ht="14.5" x14ac:dyDescent="0.35">
      <c r="L706"/>
    </row>
    <row r="707" spans="12:12" ht="14.5" x14ac:dyDescent="0.35">
      <c r="L707"/>
    </row>
    <row r="708" spans="12:12" ht="14.5" x14ac:dyDescent="0.35">
      <c r="L708"/>
    </row>
    <row r="709" spans="12:12" ht="14.5" x14ac:dyDescent="0.35">
      <c r="L709"/>
    </row>
    <row r="710" spans="12:12" ht="14.5" x14ac:dyDescent="0.35">
      <c r="L710"/>
    </row>
    <row r="711" spans="12:12" ht="14.5" x14ac:dyDescent="0.35">
      <c r="L711"/>
    </row>
    <row r="712" spans="12:12" ht="14.5" x14ac:dyDescent="0.35">
      <c r="L712"/>
    </row>
    <row r="713" spans="12:12" ht="14.5" x14ac:dyDescent="0.35">
      <c r="L713"/>
    </row>
    <row r="714" spans="12:12" ht="14.5" x14ac:dyDescent="0.35">
      <c r="L714"/>
    </row>
    <row r="715" spans="12:12" ht="14.5" x14ac:dyDescent="0.35">
      <c r="L715"/>
    </row>
    <row r="716" spans="12:12" ht="14.5" x14ac:dyDescent="0.35">
      <c r="L716"/>
    </row>
    <row r="717" spans="12:12" ht="14.5" x14ac:dyDescent="0.35">
      <c r="L717"/>
    </row>
    <row r="718" spans="12:12" ht="14.5" x14ac:dyDescent="0.35">
      <c r="L718"/>
    </row>
    <row r="719" spans="12:12" ht="14.5" x14ac:dyDescent="0.35">
      <c r="L719"/>
    </row>
    <row r="720" spans="12:12" ht="14.5" x14ac:dyDescent="0.35">
      <c r="L720"/>
    </row>
    <row r="721" spans="12:12" ht="14.5" x14ac:dyDescent="0.35">
      <c r="L721"/>
    </row>
    <row r="722" spans="12:12" ht="14.5" x14ac:dyDescent="0.35">
      <c r="L722"/>
    </row>
    <row r="723" spans="12:12" ht="14.5" x14ac:dyDescent="0.35">
      <c r="L723"/>
    </row>
    <row r="724" spans="12:12" ht="14.5" x14ac:dyDescent="0.35">
      <c r="L724"/>
    </row>
    <row r="725" spans="12:12" ht="14.5" x14ac:dyDescent="0.35">
      <c r="L725"/>
    </row>
    <row r="726" spans="12:12" ht="14.5" x14ac:dyDescent="0.35">
      <c r="L726"/>
    </row>
    <row r="727" spans="12:12" ht="14.5" x14ac:dyDescent="0.35">
      <c r="L727"/>
    </row>
    <row r="728" spans="12:12" ht="14.5" x14ac:dyDescent="0.35">
      <c r="L728"/>
    </row>
    <row r="729" spans="12:12" ht="14.5" x14ac:dyDescent="0.35">
      <c r="L729"/>
    </row>
    <row r="730" spans="12:12" ht="14.5" x14ac:dyDescent="0.35">
      <c r="L730"/>
    </row>
    <row r="731" spans="12:12" ht="14.5" x14ac:dyDescent="0.35">
      <c r="L731"/>
    </row>
    <row r="732" spans="12:12" ht="14.5" x14ac:dyDescent="0.35">
      <c r="L732"/>
    </row>
    <row r="733" spans="12:12" ht="14.5" x14ac:dyDescent="0.35">
      <c r="L733"/>
    </row>
    <row r="734" spans="12:12" ht="14.5" x14ac:dyDescent="0.35">
      <c r="L734"/>
    </row>
    <row r="735" spans="12:12" ht="14.5" x14ac:dyDescent="0.35">
      <c r="L735"/>
    </row>
    <row r="736" spans="12:12" ht="14.5" x14ac:dyDescent="0.35">
      <c r="L736"/>
    </row>
    <row r="737" spans="12:12" ht="14.5" x14ac:dyDescent="0.35">
      <c r="L737"/>
    </row>
    <row r="738" spans="12:12" ht="14.5" x14ac:dyDescent="0.35">
      <c r="L738"/>
    </row>
    <row r="739" spans="12:12" ht="14.5" x14ac:dyDescent="0.35">
      <c r="L739"/>
    </row>
    <row r="740" spans="12:12" ht="14.5" x14ac:dyDescent="0.35">
      <c r="L740"/>
    </row>
    <row r="741" spans="12:12" ht="14.5" x14ac:dyDescent="0.35">
      <c r="L741"/>
    </row>
    <row r="742" spans="12:12" ht="14.5" x14ac:dyDescent="0.35">
      <c r="L742"/>
    </row>
    <row r="743" spans="12:12" ht="14.5" x14ac:dyDescent="0.35">
      <c r="L743"/>
    </row>
    <row r="744" spans="12:12" ht="14.5" x14ac:dyDescent="0.35">
      <c r="L744"/>
    </row>
    <row r="745" spans="12:12" ht="14.5" x14ac:dyDescent="0.35">
      <c r="L745"/>
    </row>
    <row r="746" spans="12:12" ht="14.5" x14ac:dyDescent="0.35">
      <c r="L746"/>
    </row>
    <row r="747" spans="12:12" ht="14.5" x14ac:dyDescent="0.35">
      <c r="L747"/>
    </row>
    <row r="748" spans="12:12" ht="14.5" x14ac:dyDescent="0.35">
      <c r="L748"/>
    </row>
    <row r="749" spans="12:12" ht="14.5" x14ac:dyDescent="0.35">
      <c r="L749"/>
    </row>
    <row r="750" spans="12:12" ht="14.5" x14ac:dyDescent="0.35">
      <c r="L750"/>
    </row>
    <row r="751" spans="12:12" ht="14.5" x14ac:dyDescent="0.35">
      <c r="L751"/>
    </row>
    <row r="752" spans="12:12" ht="14.5" x14ac:dyDescent="0.35">
      <c r="L752"/>
    </row>
    <row r="753" spans="12:12" ht="14.5" x14ac:dyDescent="0.35">
      <c r="L753"/>
    </row>
    <row r="754" spans="12:12" ht="14.5" x14ac:dyDescent="0.35">
      <c r="L754"/>
    </row>
    <row r="755" spans="12:12" ht="14.5" x14ac:dyDescent="0.35">
      <c r="L755"/>
    </row>
    <row r="756" spans="12:12" ht="14.5" x14ac:dyDescent="0.35">
      <c r="L756"/>
    </row>
    <row r="757" spans="12:12" ht="14.5" x14ac:dyDescent="0.35">
      <c r="L757"/>
    </row>
    <row r="758" spans="12:12" ht="14.5" x14ac:dyDescent="0.35">
      <c r="L758"/>
    </row>
    <row r="759" spans="12:12" ht="14.5" x14ac:dyDescent="0.35">
      <c r="L759"/>
    </row>
    <row r="760" spans="12:12" ht="14.5" x14ac:dyDescent="0.35">
      <c r="L760"/>
    </row>
    <row r="761" spans="12:12" ht="14.5" x14ac:dyDescent="0.35">
      <c r="L761"/>
    </row>
    <row r="762" spans="12:12" ht="14.5" x14ac:dyDescent="0.35">
      <c r="L762"/>
    </row>
    <row r="763" spans="12:12" ht="14.5" x14ac:dyDescent="0.35">
      <c r="L763"/>
    </row>
    <row r="764" spans="12:12" ht="14.5" x14ac:dyDescent="0.35">
      <c r="L764"/>
    </row>
    <row r="765" spans="12:12" ht="14.5" x14ac:dyDescent="0.35">
      <c r="L765"/>
    </row>
    <row r="766" spans="12:12" ht="14.5" x14ac:dyDescent="0.35">
      <c r="L766"/>
    </row>
    <row r="767" spans="12:12" ht="14.5" x14ac:dyDescent="0.35">
      <c r="L767"/>
    </row>
    <row r="768" spans="12:12" ht="14.5" x14ac:dyDescent="0.35">
      <c r="L768"/>
    </row>
    <row r="769" spans="12:12" ht="14.5" x14ac:dyDescent="0.35">
      <c r="L769"/>
    </row>
    <row r="770" spans="12:12" ht="14.5" x14ac:dyDescent="0.35">
      <c r="L770"/>
    </row>
    <row r="771" spans="12:12" ht="14.5" x14ac:dyDescent="0.35">
      <c r="L771"/>
    </row>
    <row r="772" spans="12:12" ht="14.5" x14ac:dyDescent="0.35">
      <c r="L772"/>
    </row>
    <row r="773" spans="12:12" ht="14.5" x14ac:dyDescent="0.35">
      <c r="L773"/>
    </row>
    <row r="774" spans="12:12" ht="14.5" x14ac:dyDescent="0.35">
      <c r="L774"/>
    </row>
    <row r="775" spans="12:12" ht="14.5" x14ac:dyDescent="0.35">
      <c r="L775"/>
    </row>
    <row r="776" spans="12:12" ht="14.5" x14ac:dyDescent="0.35">
      <c r="L776"/>
    </row>
    <row r="777" spans="12:12" ht="14.5" x14ac:dyDescent="0.35">
      <c r="L777"/>
    </row>
    <row r="778" spans="12:12" ht="14.5" x14ac:dyDescent="0.35">
      <c r="L778"/>
    </row>
    <row r="779" spans="12:12" ht="14.5" x14ac:dyDescent="0.35">
      <c r="L779"/>
    </row>
    <row r="780" spans="12:12" ht="14.5" x14ac:dyDescent="0.35">
      <c r="L780"/>
    </row>
    <row r="781" spans="12:12" ht="14.5" x14ac:dyDescent="0.35">
      <c r="L781"/>
    </row>
    <row r="782" spans="12:12" ht="14.5" x14ac:dyDescent="0.35">
      <c r="L782"/>
    </row>
    <row r="783" spans="12:12" ht="14.5" x14ac:dyDescent="0.35">
      <c r="L783"/>
    </row>
    <row r="784" spans="12:12" ht="14.5" x14ac:dyDescent="0.35">
      <c r="L784"/>
    </row>
    <row r="785" spans="12:12" ht="14.5" x14ac:dyDescent="0.35">
      <c r="L785"/>
    </row>
    <row r="786" spans="12:12" ht="14.5" x14ac:dyDescent="0.35">
      <c r="L786"/>
    </row>
    <row r="787" spans="12:12" ht="14.5" x14ac:dyDescent="0.35">
      <c r="L787"/>
    </row>
    <row r="788" spans="12:12" ht="14.5" x14ac:dyDescent="0.35">
      <c r="L788"/>
    </row>
    <row r="789" spans="12:12" ht="14.5" x14ac:dyDescent="0.35">
      <c r="L789"/>
    </row>
    <row r="790" spans="12:12" ht="14.5" x14ac:dyDescent="0.35">
      <c r="L790"/>
    </row>
    <row r="791" spans="12:12" ht="14.5" x14ac:dyDescent="0.35">
      <c r="L791"/>
    </row>
    <row r="792" spans="12:12" ht="14.5" x14ac:dyDescent="0.35">
      <c r="L792"/>
    </row>
    <row r="793" spans="12:12" ht="14.5" x14ac:dyDescent="0.35">
      <c r="L793"/>
    </row>
    <row r="794" spans="12:12" ht="14.5" x14ac:dyDescent="0.35">
      <c r="L794"/>
    </row>
    <row r="795" spans="12:12" ht="14.5" x14ac:dyDescent="0.35">
      <c r="L795"/>
    </row>
    <row r="796" spans="12:12" ht="14.5" x14ac:dyDescent="0.35">
      <c r="L796"/>
    </row>
    <row r="797" spans="12:12" ht="14.5" x14ac:dyDescent="0.35">
      <c r="L797"/>
    </row>
    <row r="798" spans="12:12" ht="14.5" x14ac:dyDescent="0.35">
      <c r="L798"/>
    </row>
    <row r="799" spans="12:12" ht="14.5" x14ac:dyDescent="0.35">
      <c r="L799"/>
    </row>
    <row r="800" spans="12:12" ht="14.5" x14ac:dyDescent="0.35">
      <c r="L800"/>
    </row>
    <row r="801" spans="12:12" ht="14.5" x14ac:dyDescent="0.35">
      <c r="L801"/>
    </row>
    <row r="802" spans="12:12" ht="14.5" x14ac:dyDescent="0.35">
      <c r="L802"/>
    </row>
    <row r="803" spans="12:12" ht="14.5" x14ac:dyDescent="0.35">
      <c r="L803"/>
    </row>
    <row r="804" spans="12:12" ht="14.5" x14ac:dyDescent="0.35">
      <c r="L804"/>
    </row>
    <row r="805" spans="12:12" ht="14.5" x14ac:dyDescent="0.35">
      <c r="L805"/>
    </row>
    <row r="806" spans="12:12" ht="14.5" x14ac:dyDescent="0.35">
      <c r="L806"/>
    </row>
    <row r="807" spans="12:12" ht="14.5" x14ac:dyDescent="0.35">
      <c r="L807"/>
    </row>
    <row r="808" spans="12:12" ht="14.5" x14ac:dyDescent="0.35">
      <c r="L808"/>
    </row>
    <row r="809" spans="12:12" ht="14.5" x14ac:dyDescent="0.35">
      <c r="L809"/>
    </row>
    <row r="810" spans="12:12" ht="14.5" x14ac:dyDescent="0.35">
      <c r="L810"/>
    </row>
    <row r="811" spans="12:12" ht="14.5" x14ac:dyDescent="0.35">
      <c r="L811"/>
    </row>
    <row r="812" spans="12:12" ht="14.5" x14ac:dyDescent="0.35">
      <c r="L812"/>
    </row>
    <row r="813" spans="12:12" ht="14.5" x14ac:dyDescent="0.35">
      <c r="L813"/>
    </row>
    <row r="814" spans="12:12" ht="14.5" x14ac:dyDescent="0.35">
      <c r="L814"/>
    </row>
    <row r="815" spans="12:12" ht="14.5" x14ac:dyDescent="0.35">
      <c r="L815"/>
    </row>
    <row r="816" spans="12:12" ht="14.5" x14ac:dyDescent="0.35">
      <c r="L816"/>
    </row>
    <row r="817" spans="12:12" ht="14.5" x14ac:dyDescent="0.35">
      <c r="L817"/>
    </row>
    <row r="818" spans="12:12" ht="14.5" x14ac:dyDescent="0.35">
      <c r="L818"/>
    </row>
    <row r="819" spans="12:12" ht="14.5" x14ac:dyDescent="0.35">
      <c r="L819"/>
    </row>
    <row r="820" spans="12:12" ht="14.5" x14ac:dyDescent="0.35">
      <c r="L820"/>
    </row>
    <row r="821" spans="12:12" ht="14.5" x14ac:dyDescent="0.35">
      <c r="L821"/>
    </row>
    <row r="822" spans="12:12" ht="14.5" x14ac:dyDescent="0.35">
      <c r="L822"/>
    </row>
    <row r="823" spans="12:12" ht="14.5" x14ac:dyDescent="0.35">
      <c r="L823"/>
    </row>
    <row r="824" spans="12:12" ht="14.5" x14ac:dyDescent="0.35">
      <c r="L824"/>
    </row>
    <row r="825" spans="12:12" ht="14.5" x14ac:dyDescent="0.35">
      <c r="L825"/>
    </row>
    <row r="826" spans="12:12" ht="14.5" x14ac:dyDescent="0.35">
      <c r="L826"/>
    </row>
    <row r="827" spans="12:12" ht="14.5" x14ac:dyDescent="0.35">
      <c r="L827"/>
    </row>
    <row r="828" spans="12:12" ht="14.5" x14ac:dyDescent="0.35">
      <c r="L828"/>
    </row>
    <row r="829" spans="12:12" ht="14.5" x14ac:dyDescent="0.35">
      <c r="L829"/>
    </row>
    <row r="830" spans="12:12" ht="14.5" x14ac:dyDescent="0.35">
      <c r="L830"/>
    </row>
    <row r="831" spans="12:12" ht="14.5" x14ac:dyDescent="0.35">
      <c r="L831"/>
    </row>
    <row r="832" spans="12:12" ht="14.5" x14ac:dyDescent="0.35">
      <c r="L832"/>
    </row>
    <row r="833" spans="12:12" ht="14.5" x14ac:dyDescent="0.35">
      <c r="L833"/>
    </row>
    <row r="834" spans="12:12" ht="14.5" x14ac:dyDescent="0.35">
      <c r="L834"/>
    </row>
    <row r="835" spans="12:12" ht="14.5" x14ac:dyDescent="0.35">
      <c r="L835"/>
    </row>
    <row r="836" spans="12:12" ht="14.5" x14ac:dyDescent="0.35">
      <c r="L836"/>
    </row>
    <row r="837" spans="12:12" ht="14.5" x14ac:dyDescent="0.35">
      <c r="L837"/>
    </row>
    <row r="838" spans="12:12" ht="14.5" x14ac:dyDescent="0.35">
      <c r="L838"/>
    </row>
    <row r="839" spans="12:12" ht="14.5" x14ac:dyDescent="0.35">
      <c r="L839"/>
    </row>
    <row r="840" spans="12:12" ht="14.5" x14ac:dyDescent="0.35">
      <c r="L840"/>
    </row>
    <row r="841" spans="12:12" ht="14.5" x14ac:dyDescent="0.35">
      <c r="L841"/>
    </row>
    <row r="842" spans="12:12" ht="14.5" x14ac:dyDescent="0.35">
      <c r="L842"/>
    </row>
    <row r="843" spans="12:12" ht="14.5" x14ac:dyDescent="0.35">
      <c r="L843"/>
    </row>
    <row r="844" spans="12:12" ht="14.5" x14ac:dyDescent="0.35">
      <c r="L844"/>
    </row>
    <row r="845" spans="12:12" ht="14.5" x14ac:dyDescent="0.35">
      <c r="L845"/>
    </row>
    <row r="846" spans="12:12" ht="14.5" x14ac:dyDescent="0.35">
      <c r="L846"/>
    </row>
    <row r="847" spans="12:12" ht="14.5" x14ac:dyDescent="0.35">
      <c r="L847"/>
    </row>
    <row r="848" spans="12:12" ht="14.5" x14ac:dyDescent="0.35">
      <c r="L848"/>
    </row>
    <row r="849" spans="12:12" ht="14.5" x14ac:dyDescent="0.35">
      <c r="L849"/>
    </row>
    <row r="850" spans="12:12" ht="14.5" x14ac:dyDescent="0.35">
      <c r="L850"/>
    </row>
    <row r="851" spans="12:12" ht="14.5" x14ac:dyDescent="0.35">
      <c r="L851"/>
    </row>
    <row r="852" spans="12:12" ht="14.5" x14ac:dyDescent="0.35">
      <c r="L852"/>
    </row>
    <row r="853" spans="12:12" ht="14.5" x14ac:dyDescent="0.35">
      <c r="L853"/>
    </row>
    <row r="854" spans="12:12" ht="14.5" x14ac:dyDescent="0.35">
      <c r="L854"/>
    </row>
    <row r="855" spans="12:12" ht="14.5" x14ac:dyDescent="0.35">
      <c r="L855"/>
    </row>
    <row r="856" spans="12:12" ht="14.5" x14ac:dyDescent="0.35">
      <c r="L856"/>
    </row>
    <row r="857" spans="12:12" ht="14.5" x14ac:dyDescent="0.35">
      <c r="L857"/>
    </row>
    <row r="858" spans="12:12" ht="14.5" x14ac:dyDescent="0.35">
      <c r="L858"/>
    </row>
    <row r="859" spans="12:12" ht="14.5" x14ac:dyDescent="0.35">
      <c r="L859"/>
    </row>
    <row r="860" spans="12:12" ht="14.5" x14ac:dyDescent="0.35">
      <c r="L860"/>
    </row>
    <row r="861" spans="12:12" ht="14.5" x14ac:dyDescent="0.35">
      <c r="L861"/>
    </row>
    <row r="862" spans="12:12" ht="14.5" x14ac:dyDescent="0.35">
      <c r="L862"/>
    </row>
    <row r="863" spans="12:12" ht="14.5" x14ac:dyDescent="0.35">
      <c r="L863"/>
    </row>
    <row r="864" spans="12:12" ht="14.5" x14ac:dyDescent="0.35">
      <c r="L864"/>
    </row>
    <row r="865" spans="12:12" ht="14.5" x14ac:dyDescent="0.35">
      <c r="L865"/>
    </row>
    <row r="866" spans="12:12" ht="14.5" x14ac:dyDescent="0.35">
      <c r="L866"/>
    </row>
    <row r="867" spans="12:12" ht="14.5" x14ac:dyDescent="0.35">
      <c r="L867"/>
    </row>
    <row r="868" spans="12:12" ht="14.5" x14ac:dyDescent="0.35">
      <c r="L868"/>
    </row>
    <row r="869" spans="12:12" ht="14.5" x14ac:dyDescent="0.35">
      <c r="L869"/>
    </row>
    <row r="870" spans="12:12" ht="14.5" x14ac:dyDescent="0.35">
      <c r="L870"/>
    </row>
    <row r="871" spans="12:12" ht="14.5" x14ac:dyDescent="0.35">
      <c r="L871"/>
    </row>
    <row r="872" spans="12:12" ht="14.5" x14ac:dyDescent="0.35">
      <c r="L872"/>
    </row>
    <row r="873" spans="12:12" ht="14.5" x14ac:dyDescent="0.35">
      <c r="L873"/>
    </row>
    <row r="874" spans="12:12" ht="14.5" x14ac:dyDescent="0.35">
      <c r="L874"/>
    </row>
    <row r="875" spans="12:12" ht="14.5" x14ac:dyDescent="0.35">
      <c r="L875"/>
    </row>
    <row r="876" spans="12:12" ht="14.5" x14ac:dyDescent="0.35">
      <c r="L876"/>
    </row>
    <row r="877" spans="12:12" ht="14.5" x14ac:dyDescent="0.35">
      <c r="L877"/>
    </row>
    <row r="878" spans="12:12" ht="14.5" x14ac:dyDescent="0.35">
      <c r="L878"/>
    </row>
    <row r="879" spans="12:12" ht="14.5" x14ac:dyDescent="0.35">
      <c r="L879"/>
    </row>
    <row r="880" spans="12:12" ht="14.5" x14ac:dyDescent="0.35">
      <c r="L880"/>
    </row>
    <row r="881" spans="12:12" ht="14.5" x14ac:dyDescent="0.35">
      <c r="L881"/>
    </row>
    <row r="882" spans="12:12" ht="14.5" x14ac:dyDescent="0.35">
      <c r="L882"/>
    </row>
    <row r="883" spans="12:12" ht="14.5" x14ac:dyDescent="0.35">
      <c r="L883"/>
    </row>
    <row r="884" spans="12:12" ht="14.5" x14ac:dyDescent="0.35">
      <c r="L884"/>
    </row>
    <row r="885" spans="12:12" ht="14.5" x14ac:dyDescent="0.35">
      <c r="L885"/>
    </row>
    <row r="886" spans="12:12" ht="14.5" x14ac:dyDescent="0.35">
      <c r="L886"/>
    </row>
    <row r="887" spans="12:12" ht="14.5" x14ac:dyDescent="0.35">
      <c r="L887"/>
    </row>
    <row r="888" spans="12:12" ht="14.5" x14ac:dyDescent="0.35">
      <c r="L888"/>
    </row>
    <row r="889" spans="12:12" ht="14.5" x14ac:dyDescent="0.35">
      <c r="L889"/>
    </row>
    <row r="890" spans="12:12" ht="14.5" x14ac:dyDescent="0.35">
      <c r="L890"/>
    </row>
    <row r="891" spans="12:12" ht="14.5" x14ac:dyDescent="0.35">
      <c r="L891"/>
    </row>
    <row r="892" spans="12:12" ht="14.5" x14ac:dyDescent="0.35">
      <c r="L892"/>
    </row>
    <row r="893" spans="12:12" ht="14.5" x14ac:dyDescent="0.35">
      <c r="L893"/>
    </row>
    <row r="894" spans="12:12" ht="14.5" x14ac:dyDescent="0.35">
      <c r="L894"/>
    </row>
    <row r="895" spans="12:12" ht="14.5" x14ac:dyDescent="0.35">
      <c r="L895"/>
    </row>
    <row r="896" spans="12:12" ht="14.5" x14ac:dyDescent="0.35">
      <c r="L896"/>
    </row>
    <row r="897" spans="12:12" ht="14.5" x14ac:dyDescent="0.35">
      <c r="L897"/>
    </row>
    <row r="898" spans="12:12" ht="14.5" x14ac:dyDescent="0.35">
      <c r="L898"/>
    </row>
    <row r="899" spans="12:12" ht="14.5" x14ac:dyDescent="0.35">
      <c r="L899"/>
    </row>
    <row r="900" spans="12:12" ht="14.5" x14ac:dyDescent="0.35">
      <c r="L900"/>
    </row>
    <row r="901" spans="12:12" ht="14.5" x14ac:dyDescent="0.35">
      <c r="L901"/>
    </row>
    <row r="902" spans="12:12" ht="14.5" x14ac:dyDescent="0.35">
      <c r="L902"/>
    </row>
    <row r="903" spans="12:12" ht="14.5" x14ac:dyDescent="0.35">
      <c r="L903"/>
    </row>
    <row r="904" spans="12:12" ht="14.5" x14ac:dyDescent="0.35">
      <c r="L904"/>
    </row>
    <row r="905" spans="12:12" ht="14.5" x14ac:dyDescent="0.35">
      <c r="L905"/>
    </row>
    <row r="906" spans="12:12" ht="14.5" x14ac:dyDescent="0.35">
      <c r="L906"/>
    </row>
    <row r="907" spans="12:12" ht="14.5" x14ac:dyDescent="0.35">
      <c r="L907"/>
    </row>
    <row r="908" spans="12:12" ht="14.5" x14ac:dyDescent="0.35">
      <c r="L908"/>
    </row>
    <row r="909" spans="12:12" ht="14.5" x14ac:dyDescent="0.35">
      <c r="L909"/>
    </row>
    <row r="910" spans="12:12" ht="14.5" x14ac:dyDescent="0.35">
      <c r="L910"/>
    </row>
    <row r="911" spans="12:12" ht="14.5" x14ac:dyDescent="0.35">
      <c r="L911"/>
    </row>
    <row r="912" spans="12:12" ht="14.5" x14ac:dyDescent="0.35">
      <c r="L912"/>
    </row>
    <row r="913" spans="12:12" ht="14.5" x14ac:dyDescent="0.35">
      <c r="L913"/>
    </row>
    <row r="914" spans="12:12" ht="14.5" x14ac:dyDescent="0.35">
      <c r="L914"/>
    </row>
    <row r="915" spans="12:12" ht="14.5" x14ac:dyDescent="0.35">
      <c r="L915"/>
    </row>
    <row r="916" spans="12:12" ht="14.5" x14ac:dyDescent="0.35">
      <c r="L916"/>
    </row>
    <row r="917" spans="12:12" ht="14.5" x14ac:dyDescent="0.35">
      <c r="L917"/>
    </row>
    <row r="918" spans="12:12" ht="14.5" x14ac:dyDescent="0.35">
      <c r="L918"/>
    </row>
    <row r="919" spans="12:12" ht="14.5" x14ac:dyDescent="0.35">
      <c r="L919"/>
    </row>
    <row r="920" spans="12:12" ht="14.5" x14ac:dyDescent="0.35">
      <c r="L920"/>
    </row>
    <row r="921" spans="12:12" ht="14.5" x14ac:dyDescent="0.35">
      <c r="L921"/>
    </row>
    <row r="922" spans="12:12" ht="14.5" x14ac:dyDescent="0.35">
      <c r="L922"/>
    </row>
    <row r="923" spans="12:12" ht="14.5" x14ac:dyDescent="0.35">
      <c r="L923"/>
    </row>
    <row r="924" spans="12:12" ht="14.5" x14ac:dyDescent="0.35">
      <c r="L924"/>
    </row>
    <row r="925" spans="12:12" ht="14.5" x14ac:dyDescent="0.35">
      <c r="L925"/>
    </row>
    <row r="926" spans="12:12" ht="14.5" x14ac:dyDescent="0.35">
      <c r="L926"/>
    </row>
    <row r="927" spans="12:12" ht="14.5" x14ac:dyDescent="0.35">
      <c r="L927"/>
    </row>
    <row r="928" spans="12:12" ht="14.5" x14ac:dyDescent="0.35">
      <c r="L928"/>
    </row>
    <row r="929" spans="12:12" ht="14.5" x14ac:dyDescent="0.35">
      <c r="L929"/>
    </row>
    <row r="930" spans="12:12" ht="14.5" x14ac:dyDescent="0.35">
      <c r="L930"/>
    </row>
    <row r="931" spans="12:12" ht="14.5" x14ac:dyDescent="0.35">
      <c r="L931"/>
    </row>
    <row r="932" spans="12:12" ht="14.5" x14ac:dyDescent="0.35">
      <c r="L932"/>
    </row>
    <row r="933" spans="12:12" ht="14.5" x14ac:dyDescent="0.35">
      <c r="L933"/>
    </row>
    <row r="934" spans="12:12" ht="14.5" x14ac:dyDescent="0.35">
      <c r="L934"/>
    </row>
    <row r="935" spans="12:12" ht="14.5" x14ac:dyDescent="0.35">
      <c r="L935"/>
    </row>
    <row r="936" spans="12:12" ht="14.5" x14ac:dyDescent="0.35">
      <c r="L936"/>
    </row>
    <row r="937" spans="12:12" ht="14.5" x14ac:dyDescent="0.35">
      <c r="L937"/>
    </row>
    <row r="938" spans="12:12" ht="14.5" x14ac:dyDescent="0.35">
      <c r="L938"/>
    </row>
    <row r="939" spans="12:12" ht="14.5" x14ac:dyDescent="0.35">
      <c r="L939"/>
    </row>
    <row r="940" spans="12:12" ht="14.5" x14ac:dyDescent="0.35">
      <c r="L940"/>
    </row>
    <row r="941" spans="12:12" ht="14.5" x14ac:dyDescent="0.35">
      <c r="L941"/>
    </row>
    <row r="942" spans="12:12" ht="14.5" x14ac:dyDescent="0.35">
      <c r="L942"/>
    </row>
    <row r="943" spans="12:12" ht="14.5" x14ac:dyDescent="0.35">
      <c r="L943"/>
    </row>
    <row r="944" spans="12:12" ht="14.5" x14ac:dyDescent="0.35">
      <c r="L944"/>
    </row>
    <row r="945" spans="12:12" ht="14.5" x14ac:dyDescent="0.35">
      <c r="L945"/>
    </row>
    <row r="946" spans="12:12" ht="14.5" x14ac:dyDescent="0.35">
      <c r="L946"/>
    </row>
    <row r="947" spans="12:12" ht="14.5" x14ac:dyDescent="0.35">
      <c r="L947"/>
    </row>
    <row r="948" spans="12:12" ht="14.5" x14ac:dyDescent="0.35">
      <c r="L948"/>
    </row>
    <row r="949" spans="12:12" ht="14.5" x14ac:dyDescent="0.35">
      <c r="L949"/>
    </row>
    <row r="950" spans="12:12" ht="14.5" x14ac:dyDescent="0.35">
      <c r="L950"/>
    </row>
    <row r="951" spans="12:12" ht="14.5" x14ac:dyDescent="0.35">
      <c r="L951"/>
    </row>
    <row r="952" spans="12:12" ht="14.5" x14ac:dyDescent="0.35">
      <c r="L952"/>
    </row>
    <row r="953" spans="12:12" ht="14.5" x14ac:dyDescent="0.35">
      <c r="L953"/>
    </row>
    <row r="954" spans="12:12" ht="14.5" x14ac:dyDescent="0.35">
      <c r="L954"/>
    </row>
    <row r="955" spans="12:12" ht="14.5" x14ac:dyDescent="0.35">
      <c r="L955"/>
    </row>
    <row r="956" spans="12:12" ht="14.5" x14ac:dyDescent="0.35">
      <c r="L956"/>
    </row>
    <row r="957" spans="12:12" ht="14.5" x14ac:dyDescent="0.35">
      <c r="L957"/>
    </row>
    <row r="958" spans="12:12" ht="14.5" x14ac:dyDescent="0.35">
      <c r="L958"/>
    </row>
    <row r="959" spans="12:12" ht="14.5" x14ac:dyDescent="0.35">
      <c r="L959"/>
    </row>
    <row r="960" spans="12:12" ht="14.5" x14ac:dyDescent="0.35">
      <c r="L960"/>
    </row>
    <row r="961" spans="12:12" ht="14.5" x14ac:dyDescent="0.35">
      <c r="L961"/>
    </row>
    <row r="962" spans="12:12" ht="14.5" x14ac:dyDescent="0.35">
      <c r="L962"/>
    </row>
    <row r="963" spans="12:12" ht="14.5" x14ac:dyDescent="0.35">
      <c r="L963"/>
    </row>
    <row r="964" spans="12:12" ht="14.5" x14ac:dyDescent="0.35">
      <c r="L964"/>
    </row>
    <row r="965" spans="12:12" ht="14.5" x14ac:dyDescent="0.35">
      <c r="L965"/>
    </row>
    <row r="966" spans="12:12" ht="14.5" x14ac:dyDescent="0.35">
      <c r="L966"/>
    </row>
    <row r="967" spans="12:12" ht="14.5" x14ac:dyDescent="0.35">
      <c r="L967"/>
    </row>
    <row r="968" spans="12:12" ht="14.5" x14ac:dyDescent="0.35">
      <c r="L968"/>
    </row>
    <row r="969" spans="12:12" ht="14.5" x14ac:dyDescent="0.35">
      <c r="L969"/>
    </row>
    <row r="970" spans="12:12" ht="14.5" x14ac:dyDescent="0.35">
      <c r="L970"/>
    </row>
    <row r="971" spans="12:12" ht="14.5" x14ac:dyDescent="0.35">
      <c r="L971"/>
    </row>
    <row r="972" spans="12:12" ht="14.5" x14ac:dyDescent="0.35">
      <c r="L972"/>
    </row>
    <row r="973" spans="12:12" ht="14.5" x14ac:dyDescent="0.35">
      <c r="L973"/>
    </row>
    <row r="974" spans="12:12" ht="14.5" x14ac:dyDescent="0.35">
      <c r="L974"/>
    </row>
    <row r="975" spans="12:12" ht="14.5" x14ac:dyDescent="0.35">
      <c r="L975"/>
    </row>
    <row r="976" spans="12:12" ht="14.5" x14ac:dyDescent="0.35">
      <c r="L976"/>
    </row>
    <row r="977" spans="12:12" ht="14.5" x14ac:dyDescent="0.35">
      <c r="L977"/>
    </row>
    <row r="978" spans="12:12" ht="14.5" x14ac:dyDescent="0.35">
      <c r="L978"/>
    </row>
    <row r="979" spans="12:12" ht="14.5" x14ac:dyDescent="0.35">
      <c r="L979"/>
    </row>
    <row r="980" spans="12:12" ht="14.5" x14ac:dyDescent="0.35">
      <c r="L980"/>
    </row>
    <row r="981" spans="12:12" ht="14.5" x14ac:dyDescent="0.35">
      <c r="L981"/>
    </row>
    <row r="982" spans="12:12" ht="14.5" x14ac:dyDescent="0.35">
      <c r="L982"/>
    </row>
    <row r="983" spans="12:12" ht="14.5" x14ac:dyDescent="0.35">
      <c r="L983"/>
    </row>
    <row r="984" spans="12:12" ht="14.5" x14ac:dyDescent="0.35">
      <c r="L984"/>
    </row>
    <row r="985" spans="12:12" ht="14.5" x14ac:dyDescent="0.35">
      <c r="L985"/>
    </row>
    <row r="986" spans="12:12" ht="14.5" x14ac:dyDescent="0.35">
      <c r="L986"/>
    </row>
    <row r="987" spans="12:12" ht="14.5" x14ac:dyDescent="0.35">
      <c r="L987"/>
    </row>
    <row r="988" spans="12:12" ht="14.5" x14ac:dyDescent="0.35">
      <c r="L988"/>
    </row>
    <row r="989" spans="12:12" ht="14.5" x14ac:dyDescent="0.35">
      <c r="L989"/>
    </row>
    <row r="990" spans="12:12" ht="14.5" x14ac:dyDescent="0.35">
      <c r="L990"/>
    </row>
    <row r="991" spans="12:12" ht="14.5" x14ac:dyDescent="0.35">
      <c r="L991"/>
    </row>
    <row r="992" spans="12:12" ht="14.5" x14ac:dyDescent="0.35">
      <c r="L992"/>
    </row>
    <row r="993" spans="12:12" ht="14.5" x14ac:dyDescent="0.35">
      <c r="L993"/>
    </row>
    <row r="994" spans="12:12" ht="14.5" x14ac:dyDescent="0.35">
      <c r="L994"/>
    </row>
    <row r="995" spans="12:12" ht="14.5" x14ac:dyDescent="0.35">
      <c r="L995"/>
    </row>
    <row r="996" spans="12:12" ht="14.5" x14ac:dyDescent="0.35">
      <c r="L996"/>
    </row>
    <row r="997" spans="12:12" ht="14.5" x14ac:dyDescent="0.35">
      <c r="L997"/>
    </row>
    <row r="998" spans="12:12" ht="14.5" x14ac:dyDescent="0.35">
      <c r="L998"/>
    </row>
    <row r="999" spans="12:12" ht="14.5" x14ac:dyDescent="0.35">
      <c r="L999"/>
    </row>
    <row r="1000" spans="12:12" ht="14.5" x14ac:dyDescent="0.35">
      <c r="L1000"/>
    </row>
    <row r="1001" spans="12:12" ht="14.5" x14ac:dyDescent="0.35">
      <c r="L1001"/>
    </row>
    <row r="1002" spans="12:12" ht="14.5" x14ac:dyDescent="0.35">
      <c r="L1002"/>
    </row>
    <row r="1003" spans="12:12" ht="14.5" x14ac:dyDescent="0.35">
      <c r="L1003"/>
    </row>
    <row r="1004" spans="12:12" ht="14.5" x14ac:dyDescent="0.35">
      <c r="L1004"/>
    </row>
    <row r="1005" spans="12:12" ht="14.5" x14ac:dyDescent="0.35">
      <c r="L1005"/>
    </row>
    <row r="1006" spans="12:12" ht="14.5" x14ac:dyDescent="0.35">
      <c r="L1006"/>
    </row>
    <row r="1007" spans="12:12" ht="14.5" x14ac:dyDescent="0.35">
      <c r="L1007"/>
    </row>
    <row r="1008" spans="12:12" ht="14.5" x14ac:dyDescent="0.35">
      <c r="L1008"/>
    </row>
    <row r="1009" spans="12:12" ht="14.5" x14ac:dyDescent="0.35">
      <c r="L1009"/>
    </row>
    <row r="1010" spans="12:12" ht="14.5" x14ac:dyDescent="0.35">
      <c r="L1010"/>
    </row>
    <row r="1011" spans="12:12" ht="14.5" x14ac:dyDescent="0.35">
      <c r="L1011"/>
    </row>
    <row r="1012" spans="12:12" ht="14.5" x14ac:dyDescent="0.35">
      <c r="L1012"/>
    </row>
    <row r="1013" spans="12:12" ht="14.5" x14ac:dyDescent="0.35">
      <c r="L1013"/>
    </row>
    <row r="1014" spans="12:12" ht="14.5" x14ac:dyDescent="0.35">
      <c r="L1014"/>
    </row>
    <row r="1015" spans="12:12" ht="14.5" x14ac:dyDescent="0.35">
      <c r="L1015"/>
    </row>
    <row r="1016" spans="12:12" ht="14.5" x14ac:dyDescent="0.35">
      <c r="L1016"/>
    </row>
    <row r="1017" spans="12:12" ht="14.5" x14ac:dyDescent="0.35">
      <c r="L1017"/>
    </row>
    <row r="1018" spans="12:12" ht="14.5" x14ac:dyDescent="0.35">
      <c r="L1018"/>
    </row>
    <row r="1019" spans="12:12" ht="14.5" x14ac:dyDescent="0.35">
      <c r="L1019"/>
    </row>
    <row r="1020" spans="12:12" ht="14.5" x14ac:dyDescent="0.35">
      <c r="L1020"/>
    </row>
    <row r="1021" spans="12:12" ht="14.5" x14ac:dyDescent="0.35">
      <c r="L1021"/>
    </row>
    <row r="1022" spans="12:12" ht="14.5" x14ac:dyDescent="0.35">
      <c r="L1022"/>
    </row>
    <row r="1023" spans="12:12" ht="14.5" x14ac:dyDescent="0.35">
      <c r="L1023"/>
    </row>
    <row r="1024" spans="12:12" ht="14.5" x14ac:dyDescent="0.35">
      <c r="L1024"/>
    </row>
    <row r="1025" spans="12:12" ht="14.5" x14ac:dyDescent="0.35">
      <c r="L1025"/>
    </row>
    <row r="1026" spans="12:12" ht="14.5" x14ac:dyDescent="0.35">
      <c r="L1026"/>
    </row>
    <row r="1027" spans="12:12" ht="14.5" x14ac:dyDescent="0.35">
      <c r="L1027"/>
    </row>
    <row r="1028" spans="12:12" ht="14.5" x14ac:dyDescent="0.35">
      <c r="L1028"/>
    </row>
    <row r="1029" spans="12:12" ht="14.5" x14ac:dyDescent="0.35">
      <c r="L1029"/>
    </row>
    <row r="1030" spans="12:12" ht="14.5" x14ac:dyDescent="0.35">
      <c r="L1030"/>
    </row>
    <row r="1031" spans="12:12" ht="14.5" x14ac:dyDescent="0.35">
      <c r="L1031"/>
    </row>
    <row r="1032" spans="12:12" ht="14.5" x14ac:dyDescent="0.35">
      <c r="L1032"/>
    </row>
    <row r="1033" spans="12:12" ht="14.5" x14ac:dyDescent="0.35">
      <c r="L1033"/>
    </row>
    <row r="1034" spans="12:12" ht="14.5" x14ac:dyDescent="0.35">
      <c r="L1034"/>
    </row>
    <row r="1035" spans="12:12" ht="14.5" x14ac:dyDescent="0.35">
      <c r="L1035"/>
    </row>
    <row r="1036" spans="12:12" ht="14.5" x14ac:dyDescent="0.35">
      <c r="L1036"/>
    </row>
    <row r="1037" spans="12:12" ht="14.5" x14ac:dyDescent="0.35">
      <c r="L1037"/>
    </row>
    <row r="1038" spans="12:12" ht="14.5" x14ac:dyDescent="0.35">
      <c r="L1038"/>
    </row>
    <row r="1039" spans="12:12" ht="14.5" x14ac:dyDescent="0.35">
      <c r="L1039"/>
    </row>
    <row r="1040" spans="12:12" ht="14.5" x14ac:dyDescent="0.35">
      <c r="L1040"/>
    </row>
    <row r="1041" spans="12:12" ht="14.5" x14ac:dyDescent="0.35">
      <c r="L1041"/>
    </row>
    <row r="1042" spans="12:12" ht="14.5" x14ac:dyDescent="0.35">
      <c r="L1042"/>
    </row>
    <row r="1043" spans="12:12" ht="14.5" x14ac:dyDescent="0.35">
      <c r="L1043"/>
    </row>
    <row r="1044" spans="12:12" ht="14.5" x14ac:dyDescent="0.35">
      <c r="L1044"/>
    </row>
    <row r="1045" spans="12:12" ht="14.5" x14ac:dyDescent="0.35">
      <c r="L1045"/>
    </row>
    <row r="1046" spans="12:12" ht="14.5" x14ac:dyDescent="0.35">
      <c r="L1046"/>
    </row>
    <row r="1047" spans="12:12" ht="14.5" x14ac:dyDescent="0.35">
      <c r="L1047"/>
    </row>
    <row r="1048" spans="12:12" ht="14.5" x14ac:dyDescent="0.35">
      <c r="L1048"/>
    </row>
    <row r="1049" spans="12:12" ht="14.5" x14ac:dyDescent="0.35">
      <c r="L1049"/>
    </row>
    <row r="1050" spans="12:12" ht="14.5" x14ac:dyDescent="0.35">
      <c r="L1050"/>
    </row>
    <row r="1051" spans="12:12" ht="14.5" x14ac:dyDescent="0.35">
      <c r="L1051"/>
    </row>
    <row r="1052" spans="12:12" ht="14.5" x14ac:dyDescent="0.35">
      <c r="L1052"/>
    </row>
    <row r="1053" spans="12:12" ht="14.5" x14ac:dyDescent="0.35">
      <c r="L1053"/>
    </row>
    <row r="1054" spans="12:12" ht="14.5" x14ac:dyDescent="0.35">
      <c r="L1054"/>
    </row>
    <row r="1055" spans="12:12" ht="14.5" x14ac:dyDescent="0.35">
      <c r="L1055"/>
    </row>
    <row r="1056" spans="12:12" ht="14.5" x14ac:dyDescent="0.35">
      <c r="L1056"/>
    </row>
    <row r="1057" spans="12:12" ht="14.5" x14ac:dyDescent="0.35">
      <c r="L1057"/>
    </row>
    <row r="1058" spans="12:12" ht="14.5" x14ac:dyDescent="0.35">
      <c r="L1058"/>
    </row>
    <row r="1059" spans="12:12" ht="14.5" x14ac:dyDescent="0.35">
      <c r="L1059"/>
    </row>
    <row r="1060" spans="12:12" ht="14.5" x14ac:dyDescent="0.35">
      <c r="L1060"/>
    </row>
    <row r="1061" spans="12:12" ht="14.5" x14ac:dyDescent="0.35">
      <c r="L1061"/>
    </row>
    <row r="1062" spans="12:12" ht="14.5" x14ac:dyDescent="0.35">
      <c r="L1062"/>
    </row>
    <row r="1063" spans="12:12" ht="14.5" x14ac:dyDescent="0.35">
      <c r="L1063"/>
    </row>
    <row r="1064" spans="12:12" ht="14.5" x14ac:dyDescent="0.35">
      <c r="L1064"/>
    </row>
    <row r="1065" spans="12:12" ht="14.5" x14ac:dyDescent="0.35">
      <c r="L1065"/>
    </row>
    <row r="1066" spans="12:12" ht="14.5" x14ac:dyDescent="0.35">
      <c r="L1066"/>
    </row>
    <row r="1067" spans="12:12" ht="14.5" x14ac:dyDescent="0.35">
      <c r="L1067"/>
    </row>
    <row r="1068" spans="12:12" ht="14.5" x14ac:dyDescent="0.35">
      <c r="L1068"/>
    </row>
    <row r="1069" spans="12:12" ht="14.5" x14ac:dyDescent="0.35">
      <c r="L1069"/>
    </row>
    <row r="1070" spans="12:12" ht="14.5" x14ac:dyDescent="0.35">
      <c r="L1070"/>
    </row>
    <row r="1071" spans="12:12" ht="14.5" x14ac:dyDescent="0.35">
      <c r="L1071"/>
    </row>
    <row r="1072" spans="12:12" ht="14.5" x14ac:dyDescent="0.35">
      <c r="L1072"/>
    </row>
    <row r="1073" spans="12:12" ht="14.5" x14ac:dyDescent="0.35">
      <c r="L1073"/>
    </row>
    <row r="1074" spans="12:12" ht="14.5" x14ac:dyDescent="0.35">
      <c r="L1074"/>
    </row>
    <row r="1075" spans="12:12" ht="14.5" x14ac:dyDescent="0.35">
      <c r="L1075"/>
    </row>
    <row r="1076" spans="12:12" ht="14.5" x14ac:dyDescent="0.35">
      <c r="L1076"/>
    </row>
    <row r="1077" spans="12:12" ht="14.5" x14ac:dyDescent="0.35">
      <c r="L1077"/>
    </row>
    <row r="1078" spans="12:12" ht="14.5" x14ac:dyDescent="0.35">
      <c r="L1078"/>
    </row>
    <row r="1079" spans="12:12" ht="14.5" x14ac:dyDescent="0.35">
      <c r="L1079"/>
    </row>
    <row r="1080" spans="12:12" ht="14.5" x14ac:dyDescent="0.35">
      <c r="L1080"/>
    </row>
    <row r="1081" spans="12:12" ht="14.5" x14ac:dyDescent="0.35">
      <c r="L1081"/>
    </row>
    <row r="1082" spans="12:12" ht="14.5" x14ac:dyDescent="0.35">
      <c r="L1082"/>
    </row>
    <row r="1083" spans="12:12" ht="14.5" x14ac:dyDescent="0.35">
      <c r="L1083"/>
    </row>
    <row r="1084" spans="12:12" ht="14.5" x14ac:dyDescent="0.35">
      <c r="L1084"/>
    </row>
    <row r="1085" spans="12:12" ht="14.5" x14ac:dyDescent="0.35">
      <c r="L1085"/>
    </row>
    <row r="1086" spans="12:12" ht="14.5" x14ac:dyDescent="0.35">
      <c r="L1086"/>
    </row>
    <row r="1087" spans="12:12" ht="14.5" x14ac:dyDescent="0.35">
      <c r="L1087"/>
    </row>
    <row r="1088" spans="12:12" ht="14.5" x14ac:dyDescent="0.35">
      <c r="L1088"/>
    </row>
    <row r="1089" spans="12:12" ht="14.5" x14ac:dyDescent="0.35">
      <c r="L1089"/>
    </row>
    <row r="1090" spans="12:12" ht="14.5" x14ac:dyDescent="0.35">
      <c r="L1090"/>
    </row>
    <row r="1091" spans="12:12" ht="14.5" x14ac:dyDescent="0.35">
      <c r="L1091"/>
    </row>
    <row r="1092" spans="12:12" ht="14.5" x14ac:dyDescent="0.35">
      <c r="L1092"/>
    </row>
    <row r="1093" spans="12:12" ht="14.5" x14ac:dyDescent="0.35">
      <c r="L1093"/>
    </row>
    <row r="1094" spans="12:12" ht="14.5" x14ac:dyDescent="0.35">
      <c r="L1094"/>
    </row>
    <row r="1095" spans="12:12" ht="14.5" x14ac:dyDescent="0.35">
      <c r="L1095"/>
    </row>
    <row r="1096" spans="12:12" ht="14.5" x14ac:dyDescent="0.35">
      <c r="L1096"/>
    </row>
    <row r="1097" spans="12:12" ht="14.5" x14ac:dyDescent="0.35">
      <c r="L1097"/>
    </row>
    <row r="1098" spans="12:12" ht="14.5" x14ac:dyDescent="0.35">
      <c r="L1098"/>
    </row>
    <row r="1099" spans="12:12" ht="14.5" x14ac:dyDescent="0.35">
      <c r="L1099"/>
    </row>
    <row r="1100" spans="12:12" ht="14.5" x14ac:dyDescent="0.35">
      <c r="L1100"/>
    </row>
    <row r="1101" spans="12:12" ht="14.5" x14ac:dyDescent="0.35">
      <c r="L1101"/>
    </row>
    <row r="1102" spans="12:12" ht="14.5" x14ac:dyDescent="0.35">
      <c r="L1102"/>
    </row>
    <row r="1103" spans="12:12" ht="14.5" x14ac:dyDescent="0.35">
      <c r="L1103"/>
    </row>
    <row r="1104" spans="12:12" ht="14.5" x14ac:dyDescent="0.35">
      <c r="L1104"/>
    </row>
    <row r="1105" spans="12:12" ht="14.5" x14ac:dyDescent="0.35">
      <c r="L1105"/>
    </row>
    <row r="1106" spans="12:12" ht="14.5" x14ac:dyDescent="0.35">
      <c r="L1106"/>
    </row>
    <row r="1107" spans="12:12" ht="14.5" x14ac:dyDescent="0.35">
      <c r="L1107"/>
    </row>
    <row r="1108" spans="12:12" ht="14.5" x14ac:dyDescent="0.35">
      <c r="L1108"/>
    </row>
    <row r="1109" spans="12:12" ht="14.5" x14ac:dyDescent="0.35">
      <c r="L1109"/>
    </row>
    <row r="1110" spans="12:12" ht="14.5" x14ac:dyDescent="0.35">
      <c r="L1110"/>
    </row>
    <row r="1111" spans="12:12" ht="14.5" x14ac:dyDescent="0.35">
      <c r="L1111"/>
    </row>
    <row r="1112" spans="12:12" ht="14.5" x14ac:dyDescent="0.35">
      <c r="L1112"/>
    </row>
    <row r="1113" spans="12:12" ht="14.5" x14ac:dyDescent="0.35">
      <c r="L1113"/>
    </row>
    <row r="1114" spans="12:12" ht="14.5" x14ac:dyDescent="0.35">
      <c r="L1114"/>
    </row>
    <row r="1115" spans="12:12" ht="14.5" x14ac:dyDescent="0.35">
      <c r="L1115"/>
    </row>
    <row r="1116" spans="12:12" ht="14.5" x14ac:dyDescent="0.35">
      <c r="L1116"/>
    </row>
    <row r="1117" spans="12:12" ht="14.5" x14ac:dyDescent="0.35">
      <c r="L1117"/>
    </row>
    <row r="1118" spans="12:12" ht="14.5" x14ac:dyDescent="0.35">
      <c r="L1118"/>
    </row>
    <row r="1119" spans="12:12" ht="14.5" x14ac:dyDescent="0.35">
      <c r="L1119"/>
    </row>
    <row r="1120" spans="12:12" ht="14.5" x14ac:dyDescent="0.35">
      <c r="L1120"/>
    </row>
    <row r="1121" spans="12:12" ht="14.5" x14ac:dyDescent="0.35">
      <c r="L1121"/>
    </row>
    <row r="1122" spans="12:12" ht="14.5" x14ac:dyDescent="0.35">
      <c r="L1122"/>
    </row>
    <row r="1123" spans="12:12" ht="14.5" x14ac:dyDescent="0.35">
      <c r="L1123"/>
    </row>
    <row r="1124" spans="12:12" ht="14.5" x14ac:dyDescent="0.35">
      <c r="L1124"/>
    </row>
    <row r="1125" spans="12:12" ht="14.5" x14ac:dyDescent="0.35">
      <c r="L1125"/>
    </row>
    <row r="1126" spans="12:12" ht="14.5" x14ac:dyDescent="0.35">
      <c r="L1126"/>
    </row>
    <row r="1127" spans="12:12" ht="14.5" x14ac:dyDescent="0.35">
      <c r="L1127"/>
    </row>
    <row r="1128" spans="12:12" ht="14.5" x14ac:dyDescent="0.35">
      <c r="L1128"/>
    </row>
    <row r="1129" spans="12:12" ht="14.5" x14ac:dyDescent="0.35">
      <c r="L1129"/>
    </row>
    <row r="1130" spans="12:12" ht="14.5" x14ac:dyDescent="0.35">
      <c r="L1130"/>
    </row>
    <row r="1131" spans="12:12" ht="14.5" x14ac:dyDescent="0.35">
      <c r="L1131"/>
    </row>
    <row r="1132" spans="12:12" ht="14.5" x14ac:dyDescent="0.35">
      <c r="L1132"/>
    </row>
    <row r="1133" spans="12:12" ht="14.5" x14ac:dyDescent="0.35">
      <c r="L1133"/>
    </row>
    <row r="1134" spans="12:12" ht="14.5" x14ac:dyDescent="0.35">
      <c r="L1134"/>
    </row>
    <row r="1135" spans="12:12" ht="14.5" x14ac:dyDescent="0.35">
      <c r="L1135"/>
    </row>
    <row r="1136" spans="12:12" ht="14.5" x14ac:dyDescent="0.35">
      <c r="L1136"/>
    </row>
    <row r="1137" spans="12:12" ht="14.5" x14ac:dyDescent="0.35">
      <c r="L1137"/>
    </row>
    <row r="1138" spans="12:12" ht="14.5" x14ac:dyDescent="0.35">
      <c r="L1138"/>
    </row>
    <row r="1139" spans="12:12" ht="14.5" x14ac:dyDescent="0.35">
      <c r="L1139"/>
    </row>
    <row r="1140" spans="12:12" ht="14.5" x14ac:dyDescent="0.35">
      <c r="L1140"/>
    </row>
    <row r="1141" spans="12:12" ht="14.5" x14ac:dyDescent="0.35">
      <c r="L1141"/>
    </row>
    <row r="1142" spans="12:12" ht="14.5" x14ac:dyDescent="0.35">
      <c r="L1142"/>
    </row>
    <row r="1143" spans="12:12" ht="14.5" x14ac:dyDescent="0.35">
      <c r="L1143"/>
    </row>
    <row r="1144" spans="12:12" ht="14.5" x14ac:dyDescent="0.35">
      <c r="L1144"/>
    </row>
    <row r="1145" spans="12:12" ht="14.5" x14ac:dyDescent="0.35">
      <c r="L1145"/>
    </row>
    <row r="1146" spans="12:12" ht="14.5" x14ac:dyDescent="0.35">
      <c r="L1146"/>
    </row>
    <row r="1147" spans="12:12" ht="14.5" x14ac:dyDescent="0.35">
      <c r="L1147"/>
    </row>
    <row r="1148" spans="12:12" ht="14.5" x14ac:dyDescent="0.35">
      <c r="L1148"/>
    </row>
    <row r="1149" spans="12:12" ht="14.5" x14ac:dyDescent="0.35">
      <c r="L1149"/>
    </row>
    <row r="1150" spans="12:12" ht="14.5" x14ac:dyDescent="0.35">
      <c r="L1150"/>
    </row>
    <row r="1151" spans="12:12" ht="14.5" x14ac:dyDescent="0.35">
      <c r="L1151"/>
    </row>
    <row r="1152" spans="12:12" ht="14.5" x14ac:dyDescent="0.35">
      <c r="L1152"/>
    </row>
    <row r="1153" spans="12:12" ht="14.5" x14ac:dyDescent="0.35">
      <c r="L1153"/>
    </row>
    <row r="1154" spans="12:12" ht="14.5" x14ac:dyDescent="0.35">
      <c r="L1154"/>
    </row>
    <row r="1155" spans="12:12" ht="14.5" x14ac:dyDescent="0.35">
      <c r="L1155"/>
    </row>
    <row r="1156" spans="12:12" ht="14.5" x14ac:dyDescent="0.35">
      <c r="L1156"/>
    </row>
    <row r="1157" spans="12:12" ht="14.5" x14ac:dyDescent="0.35">
      <c r="L1157"/>
    </row>
    <row r="1158" spans="12:12" ht="14.5" x14ac:dyDescent="0.35">
      <c r="L1158"/>
    </row>
    <row r="1159" spans="12:12" ht="14.5" x14ac:dyDescent="0.35">
      <c r="L1159"/>
    </row>
    <row r="1160" spans="12:12" ht="14.5" x14ac:dyDescent="0.35">
      <c r="L1160"/>
    </row>
    <row r="1161" spans="12:12" ht="14.5" x14ac:dyDescent="0.35">
      <c r="L1161"/>
    </row>
    <row r="1162" spans="12:12" ht="14.5" x14ac:dyDescent="0.35">
      <c r="L1162"/>
    </row>
    <row r="1163" spans="12:12" ht="14.5" x14ac:dyDescent="0.35">
      <c r="L1163"/>
    </row>
    <row r="1164" spans="12:12" ht="14.5" x14ac:dyDescent="0.35">
      <c r="L1164"/>
    </row>
    <row r="1165" spans="12:12" ht="14.5" x14ac:dyDescent="0.35">
      <c r="L1165"/>
    </row>
    <row r="1166" spans="12:12" ht="14.5" x14ac:dyDescent="0.35">
      <c r="L1166"/>
    </row>
    <row r="1167" spans="12:12" ht="14.5" x14ac:dyDescent="0.35">
      <c r="L1167"/>
    </row>
    <row r="1168" spans="12:12" ht="14.5" x14ac:dyDescent="0.35">
      <c r="L1168"/>
    </row>
    <row r="1169" spans="12:12" ht="14.5" x14ac:dyDescent="0.35">
      <c r="L1169"/>
    </row>
    <row r="1170" spans="12:12" ht="14.5" x14ac:dyDescent="0.35">
      <c r="L1170"/>
    </row>
    <row r="1171" spans="12:12" ht="14.5" x14ac:dyDescent="0.35">
      <c r="L1171"/>
    </row>
    <row r="1172" spans="12:12" ht="14.5" x14ac:dyDescent="0.35">
      <c r="L1172"/>
    </row>
    <row r="1173" spans="12:12" ht="14.5" x14ac:dyDescent="0.35">
      <c r="L1173"/>
    </row>
    <row r="1174" spans="12:12" ht="14.5" x14ac:dyDescent="0.35">
      <c r="L1174"/>
    </row>
    <row r="1175" spans="12:12" ht="14.5" x14ac:dyDescent="0.35">
      <c r="L1175"/>
    </row>
    <row r="1176" spans="12:12" ht="14.5" x14ac:dyDescent="0.35">
      <c r="L1176"/>
    </row>
    <row r="1177" spans="12:12" ht="14.5" x14ac:dyDescent="0.35">
      <c r="L1177"/>
    </row>
    <row r="1178" spans="12:12" ht="14.5" x14ac:dyDescent="0.35">
      <c r="L1178"/>
    </row>
    <row r="1179" spans="12:12" ht="14.5" x14ac:dyDescent="0.35">
      <c r="L1179"/>
    </row>
    <row r="1180" spans="12:12" ht="14.5" x14ac:dyDescent="0.35">
      <c r="L1180"/>
    </row>
    <row r="1181" spans="12:12" ht="14.5" x14ac:dyDescent="0.35">
      <c r="L1181"/>
    </row>
    <row r="1182" spans="12:12" ht="14.5" x14ac:dyDescent="0.35">
      <c r="L1182"/>
    </row>
    <row r="1183" spans="12:12" ht="14.5" x14ac:dyDescent="0.35">
      <c r="L1183"/>
    </row>
    <row r="1184" spans="12:12" ht="14.5" x14ac:dyDescent="0.35">
      <c r="L1184"/>
    </row>
    <row r="1185" spans="12:12" ht="14.5" x14ac:dyDescent="0.35">
      <c r="L1185"/>
    </row>
    <row r="1186" spans="12:12" ht="14.5" x14ac:dyDescent="0.35">
      <c r="L1186"/>
    </row>
    <row r="1187" spans="12:12" ht="14.5" x14ac:dyDescent="0.35">
      <c r="L1187"/>
    </row>
    <row r="1188" spans="12:12" ht="14.5" x14ac:dyDescent="0.35">
      <c r="L1188"/>
    </row>
    <row r="1189" spans="12:12" ht="14.5" x14ac:dyDescent="0.35">
      <c r="L1189"/>
    </row>
    <row r="1190" spans="12:12" ht="14.5" x14ac:dyDescent="0.35">
      <c r="L1190"/>
    </row>
    <row r="1191" spans="12:12" ht="14.5" x14ac:dyDescent="0.35">
      <c r="L1191"/>
    </row>
    <row r="1192" spans="12:12" ht="14.5" x14ac:dyDescent="0.35">
      <c r="L1192"/>
    </row>
    <row r="1193" spans="12:12" ht="14.5" x14ac:dyDescent="0.35">
      <c r="L1193"/>
    </row>
    <row r="1194" spans="12:12" ht="14.5" x14ac:dyDescent="0.35">
      <c r="L1194"/>
    </row>
    <row r="1195" spans="12:12" ht="14.5" x14ac:dyDescent="0.35">
      <c r="L1195"/>
    </row>
    <row r="1196" spans="12:12" ht="14.5" x14ac:dyDescent="0.35">
      <c r="L1196"/>
    </row>
    <row r="1197" spans="12:12" ht="14.5" x14ac:dyDescent="0.35">
      <c r="L1197"/>
    </row>
    <row r="1198" spans="12:12" ht="14.5" x14ac:dyDescent="0.35">
      <c r="L1198"/>
    </row>
    <row r="1199" spans="12:12" ht="14.5" x14ac:dyDescent="0.35">
      <c r="L1199"/>
    </row>
    <row r="1200" spans="12:12" ht="14.5" x14ac:dyDescent="0.35">
      <c r="L1200"/>
    </row>
    <row r="1201" spans="12:12" ht="14.5" x14ac:dyDescent="0.35">
      <c r="L1201"/>
    </row>
    <row r="1202" spans="12:12" ht="14.5" x14ac:dyDescent="0.35">
      <c r="L1202"/>
    </row>
    <row r="1203" spans="12:12" ht="14.5" x14ac:dyDescent="0.35">
      <c r="L1203"/>
    </row>
    <row r="1204" spans="12:12" ht="14.5" x14ac:dyDescent="0.35">
      <c r="L1204"/>
    </row>
    <row r="1205" spans="12:12" ht="14.5" x14ac:dyDescent="0.35">
      <c r="L1205"/>
    </row>
    <row r="1206" spans="12:12" ht="14.5" x14ac:dyDescent="0.35">
      <c r="L1206"/>
    </row>
    <row r="1207" spans="12:12" ht="14.5" x14ac:dyDescent="0.35">
      <c r="L1207"/>
    </row>
    <row r="1208" spans="12:12" ht="14.5" x14ac:dyDescent="0.35">
      <c r="L1208"/>
    </row>
    <row r="1209" spans="12:12" ht="14.5" x14ac:dyDescent="0.35">
      <c r="L1209"/>
    </row>
    <row r="1210" spans="12:12" ht="14.5" x14ac:dyDescent="0.35">
      <c r="L1210"/>
    </row>
    <row r="1211" spans="12:12" ht="14.5" x14ac:dyDescent="0.35">
      <c r="L1211"/>
    </row>
    <row r="1212" spans="12:12" ht="14.5" x14ac:dyDescent="0.35">
      <c r="L1212"/>
    </row>
    <row r="1213" spans="12:12" ht="14.5" x14ac:dyDescent="0.35">
      <c r="L1213"/>
    </row>
    <row r="1214" spans="12:12" ht="14.5" x14ac:dyDescent="0.35">
      <c r="L1214"/>
    </row>
    <row r="1215" spans="12:12" ht="14.5" x14ac:dyDescent="0.35">
      <c r="L1215"/>
    </row>
    <row r="1216" spans="12:12" ht="14.5" x14ac:dyDescent="0.35">
      <c r="L1216"/>
    </row>
    <row r="1217" spans="12:12" ht="14.5" x14ac:dyDescent="0.35">
      <c r="L1217"/>
    </row>
    <row r="1218" spans="12:12" ht="14.5" x14ac:dyDescent="0.35">
      <c r="L1218"/>
    </row>
    <row r="1219" spans="12:12" ht="14.5" x14ac:dyDescent="0.35">
      <c r="L1219"/>
    </row>
    <row r="1220" spans="12:12" ht="14.5" x14ac:dyDescent="0.35">
      <c r="L1220"/>
    </row>
    <row r="1221" spans="12:12" ht="14.5" x14ac:dyDescent="0.35">
      <c r="L1221"/>
    </row>
    <row r="1222" spans="12:12" ht="14.5" x14ac:dyDescent="0.35">
      <c r="L1222"/>
    </row>
    <row r="1223" spans="12:12" ht="14.5" x14ac:dyDescent="0.35">
      <c r="L1223"/>
    </row>
    <row r="1224" spans="12:12" ht="14.5" x14ac:dyDescent="0.35">
      <c r="L1224"/>
    </row>
    <row r="1225" spans="12:12" ht="14.5" x14ac:dyDescent="0.35">
      <c r="L1225"/>
    </row>
    <row r="1226" spans="12:12" ht="14.5" x14ac:dyDescent="0.35">
      <c r="L1226"/>
    </row>
    <row r="1227" spans="12:12" ht="14.5" x14ac:dyDescent="0.35">
      <c r="L1227"/>
    </row>
    <row r="1228" spans="12:12" ht="14.5" x14ac:dyDescent="0.35">
      <c r="L1228"/>
    </row>
    <row r="1229" spans="12:12" ht="14.5" x14ac:dyDescent="0.35">
      <c r="L1229"/>
    </row>
    <row r="1230" spans="12:12" ht="14.5" x14ac:dyDescent="0.35">
      <c r="L1230"/>
    </row>
    <row r="1231" spans="12:12" ht="14.5" x14ac:dyDescent="0.35">
      <c r="L1231"/>
    </row>
    <row r="1232" spans="12:12" ht="14.5" x14ac:dyDescent="0.35">
      <c r="L1232"/>
    </row>
    <row r="1233" spans="12:12" ht="14.5" x14ac:dyDescent="0.35">
      <c r="L1233"/>
    </row>
    <row r="1234" spans="12:12" ht="14.5" x14ac:dyDescent="0.35">
      <c r="L1234"/>
    </row>
    <row r="1235" spans="12:12" ht="14.5" x14ac:dyDescent="0.35">
      <c r="L1235"/>
    </row>
    <row r="1236" spans="12:12" ht="14.5" x14ac:dyDescent="0.35">
      <c r="L1236"/>
    </row>
    <row r="1237" spans="12:12" ht="14.5" x14ac:dyDescent="0.35">
      <c r="L1237"/>
    </row>
    <row r="1238" spans="12:12" ht="14.5" x14ac:dyDescent="0.35">
      <c r="L1238"/>
    </row>
    <row r="1239" spans="12:12" ht="14.5" x14ac:dyDescent="0.35">
      <c r="L1239"/>
    </row>
    <row r="1240" spans="12:12" ht="14.5" x14ac:dyDescent="0.35">
      <c r="L1240"/>
    </row>
    <row r="1241" spans="12:12" ht="14.5" x14ac:dyDescent="0.35">
      <c r="L1241"/>
    </row>
    <row r="1242" spans="12:12" ht="14.5" x14ac:dyDescent="0.35">
      <c r="L1242"/>
    </row>
    <row r="1243" spans="12:12" ht="14.5" x14ac:dyDescent="0.35">
      <c r="L1243"/>
    </row>
    <row r="1244" spans="12:12" ht="14.5" x14ac:dyDescent="0.35">
      <c r="L1244"/>
    </row>
    <row r="1245" spans="12:12" ht="14.5" x14ac:dyDescent="0.35">
      <c r="L1245"/>
    </row>
    <row r="1246" spans="12:12" ht="14.5" x14ac:dyDescent="0.35">
      <c r="L1246"/>
    </row>
    <row r="1247" spans="12:12" ht="14.5" x14ac:dyDescent="0.35">
      <c r="L1247"/>
    </row>
    <row r="1248" spans="12:12" ht="14.5" x14ac:dyDescent="0.35">
      <c r="L1248"/>
    </row>
    <row r="1249" spans="12:12" ht="14.5" x14ac:dyDescent="0.35">
      <c r="L1249"/>
    </row>
    <row r="1250" spans="12:12" ht="14.5" x14ac:dyDescent="0.35">
      <c r="L1250"/>
    </row>
    <row r="1251" spans="12:12" ht="14.5" x14ac:dyDescent="0.35">
      <c r="L1251"/>
    </row>
    <row r="1252" spans="12:12" ht="14.5" x14ac:dyDescent="0.35">
      <c r="L1252"/>
    </row>
    <row r="1253" spans="12:12" ht="14.5" x14ac:dyDescent="0.35">
      <c r="L1253"/>
    </row>
    <row r="1254" spans="12:12" ht="14.5" x14ac:dyDescent="0.35">
      <c r="L1254"/>
    </row>
    <row r="1255" spans="12:12" ht="14.5" x14ac:dyDescent="0.35">
      <c r="L1255"/>
    </row>
    <row r="1256" spans="12:12" ht="14.5" x14ac:dyDescent="0.35">
      <c r="L1256"/>
    </row>
    <row r="1257" spans="12:12" ht="14.5" x14ac:dyDescent="0.35">
      <c r="L1257"/>
    </row>
    <row r="1258" spans="12:12" ht="14.5" x14ac:dyDescent="0.35">
      <c r="L1258"/>
    </row>
    <row r="1259" spans="12:12" ht="14.5" x14ac:dyDescent="0.35">
      <c r="L1259"/>
    </row>
    <row r="1260" spans="12:12" ht="14.5" x14ac:dyDescent="0.35">
      <c r="L1260"/>
    </row>
    <row r="1261" spans="12:12" ht="14.5" x14ac:dyDescent="0.35">
      <c r="L1261"/>
    </row>
    <row r="1262" spans="12:12" ht="14.5" x14ac:dyDescent="0.35">
      <c r="L1262"/>
    </row>
    <row r="1263" spans="12:12" ht="14.5" x14ac:dyDescent="0.35">
      <c r="L1263"/>
    </row>
    <row r="1264" spans="12:12" ht="14.5" x14ac:dyDescent="0.35">
      <c r="L1264"/>
    </row>
    <row r="1265" spans="12:12" ht="14.5" x14ac:dyDescent="0.35">
      <c r="L1265"/>
    </row>
    <row r="1266" spans="12:12" ht="14.5" x14ac:dyDescent="0.35">
      <c r="L1266"/>
    </row>
    <row r="1267" spans="12:12" ht="14.5" x14ac:dyDescent="0.35">
      <c r="L1267"/>
    </row>
    <row r="1268" spans="12:12" ht="14.5" x14ac:dyDescent="0.35">
      <c r="L1268"/>
    </row>
    <row r="1269" spans="12:12" ht="14.5" x14ac:dyDescent="0.35">
      <c r="L1269"/>
    </row>
    <row r="1270" spans="12:12" ht="14.5" x14ac:dyDescent="0.35">
      <c r="L1270"/>
    </row>
    <row r="1271" spans="12:12" ht="14.5" x14ac:dyDescent="0.35">
      <c r="L1271"/>
    </row>
    <row r="1272" spans="12:12" ht="14.5" x14ac:dyDescent="0.35">
      <c r="L1272"/>
    </row>
    <row r="1273" spans="12:12" ht="14.5" x14ac:dyDescent="0.35">
      <c r="L1273"/>
    </row>
    <row r="1274" spans="12:12" ht="14.5" x14ac:dyDescent="0.35">
      <c r="L1274"/>
    </row>
    <row r="1275" spans="12:12" ht="14.5" x14ac:dyDescent="0.35">
      <c r="L1275"/>
    </row>
    <row r="1276" spans="12:12" ht="14.5" x14ac:dyDescent="0.35">
      <c r="L1276"/>
    </row>
    <row r="1277" spans="12:12" ht="14.5" x14ac:dyDescent="0.35">
      <c r="L1277"/>
    </row>
    <row r="1278" spans="12:12" ht="14.5" x14ac:dyDescent="0.35">
      <c r="L1278"/>
    </row>
    <row r="1279" spans="12:12" ht="14.5" x14ac:dyDescent="0.35">
      <c r="L1279"/>
    </row>
    <row r="1280" spans="12:12" ht="14.5" x14ac:dyDescent="0.35">
      <c r="L1280"/>
    </row>
    <row r="1281" spans="12:12" ht="14.5" x14ac:dyDescent="0.35">
      <c r="L1281"/>
    </row>
    <row r="1282" spans="12:12" ht="14.5" x14ac:dyDescent="0.35">
      <c r="L1282"/>
    </row>
    <row r="1283" spans="12:12" ht="14.5" x14ac:dyDescent="0.35">
      <c r="L1283"/>
    </row>
    <row r="1284" spans="12:12" ht="14.5" x14ac:dyDescent="0.35">
      <c r="L1284"/>
    </row>
    <row r="1285" spans="12:12" ht="14.5" x14ac:dyDescent="0.35">
      <c r="L1285"/>
    </row>
    <row r="1286" spans="12:12" ht="14.5" x14ac:dyDescent="0.35">
      <c r="L1286"/>
    </row>
    <row r="1287" spans="12:12" ht="14.5" x14ac:dyDescent="0.35">
      <c r="L1287"/>
    </row>
    <row r="1288" spans="12:12" ht="14.5" x14ac:dyDescent="0.35">
      <c r="L1288"/>
    </row>
    <row r="1289" spans="12:12" ht="14.5" x14ac:dyDescent="0.35">
      <c r="L1289"/>
    </row>
    <row r="1290" spans="12:12" ht="14.5" x14ac:dyDescent="0.35">
      <c r="L1290"/>
    </row>
    <row r="1291" spans="12:12" ht="14.5" x14ac:dyDescent="0.35">
      <c r="L1291"/>
    </row>
    <row r="1292" spans="12:12" ht="14.5" x14ac:dyDescent="0.35">
      <c r="L1292"/>
    </row>
    <row r="1293" spans="12:12" ht="14.5" x14ac:dyDescent="0.35">
      <c r="L1293"/>
    </row>
    <row r="1294" spans="12:12" ht="14.5" x14ac:dyDescent="0.35">
      <c r="L1294"/>
    </row>
    <row r="1295" spans="12:12" ht="14.5" x14ac:dyDescent="0.35">
      <c r="L1295"/>
    </row>
    <row r="1296" spans="12:12" ht="14.5" x14ac:dyDescent="0.35">
      <c r="L1296"/>
    </row>
    <row r="1297" spans="12:12" ht="14.5" x14ac:dyDescent="0.35">
      <c r="L1297"/>
    </row>
    <row r="1298" spans="12:12" ht="14.5" x14ac:dyDescent="0.35">
      <c r="L1298"/>
    </row>
    <row r="1299" spans="12:12" ht="14.5" x14ac:dyDescent="0.35">
      <c r="L1299"/>
    </row>
    <row r="1300" spans="12:12" ht="14.5" x14ac:dyDescent="0.35">
      <c r="L1300"/>
    </row>
    <row r="1301" spans="12:12" ht="14.5" x14ac:dyDescent="0.35">
      <c r="L1301"/>
    </row>
    <row r="1302" spans="12:12" ht="14.5" x14ac:dyDescent="0.35">
      <c r="L1302"/>
    </row>
    <row r="1303" spans="12:12" ht="14.5" x14ac:dyDescent="0.35">
      <c r="L1303"/>
    </row>
    <row r="1304" spans="12:12" ht="14.5" x14ac:dyDescent="0.35">
      <c r="L1304"/>
    </row>
    <row r="1305" spans="12:12" ht="14.5" x14ac:dyDescent="0.35">
      <c r="L1305"/>
    </row>
    <row r="1306" spans="12:12" ht="14.5" x14ac:dyDescent="0.35">
      <c r="L1306"/>
    </row>
    <row r="1307" spans="12:12" ht="14.5" x14ac:dyDescent="0.35">
      <c r="L1307"/>
    </row>
    <row r="1308" spans="12:12" ht="14.5" x14ac:dyDescent="0.35">
      <c r="L1308"/>
    </row>
    <row r="1309" spans="12:12" ht="14.5" x14ac:dyDescent="0.35">
      <c r="L1309"/>
    </row>
    <row r="1310" spans="12:12" ht="14.5" x14ac:dyDescent="0.35">
      <c r="L1310"/>
    </row>
    <row r="1311" spans="12:12" ht="14.5" x14ac:dyDescent="0.35">
      <c r="L1311"/>
    </row>
    <row r="1312" spans="12:12" ht="14.5" x14ac:dyDescent="0.35">
      <c r="L1312"/>
    </row>
    <row r="1313" spans="12:12" ht="14.5" x14ac:dyDescent="0.35">
      <c r="L1313"/>
    </row>
    <row r="1314" spans="12:12" ht="14.5" x14ac:dyDescent="0.35">
      <c r="L1314"/>
    </row>
    <row r="1315" spans="12:12" ht="14.5" x14ac:dyDescent="0.35">
      <c r="L1315"/>
    </row>
    <row r="1316" spans="12:12" ht="14.5" x14ac:dyDescent="0.35">
      <c r="L1316"/>
    </row>
    <row r="1317" spans="12:12" ht="14.5" x14ac:dyDescent="0.35">
      <c r="L1317"/>
    </row>
    <row r="1318" spans="12:12" ht="14.5" x14ac:dyDescent="0.35">
      <c r="L1318"/>
    </row>
    <row r="1319" spans="12:12" ht="14.5" x14ac:dyDescent="0.35">
      <c r="L1319"/>
    </row>
    <row r="1320" spans="12:12" ht="14.5" x14ac:dyDescent="0.35">
      <c r="L1320"/>
    </row>
    <row r="1321" spans="12:12" ht="14.5" x14ac:dyDescent="0.35">
      <c r="L1321"/>
    </row>
    <row r="1322" spans="12:12" ht="14.5" x14ac:dyDescent="0.35">
      <c r="L1322"/>
    </row>
    <row r="1323" spans="12:12" ht="14.5" x14ac:dyDescent="0.35">
      <c r="L1323"/>
    </row>
    <row r="1324" spans="12:12" ht="14.5" x14ac:dyDescent="0.35">
      <c r="L1324"/>
    </row>
    <row r="1325" spans="12:12" ht="14.5" x14ac:dyDescent="0.35">
      <c r="L1325"/>
    </row>
    <row r="1326" spans="12:12" ht="14.5" x14ac:dyDescent="0.35">
      <c r="L1326"/>
    </row>
    <row r="1327" spans="12:12" ht="14.5" x14ac:dyDescent="0.35">
      <c r="L1327"/>
    </row>
    <row r="1328" spans="12:12" ht="14.5" x14ac:dyDescent="0.35">
      <c r="L1328"/>
    </row>
    <row r="1329" spans="12:12" ht="14.5" x14ac:dyDescent="0.35">
      <c r="L1329"/>
    </row>
    <row r="1330" spans="12:12" ht="14.5" x14ac:dyDescent="0.35">
      <c r="L1330"/>
    </row>
    <row r="1331" spans="12:12" ht="14.5" x14ac:dyDescent="0.35">
      <c r="L1331"/>
    </row>
    <row r="1332" spans="12:12" ht="14.5" x14ac:dyDescent="0.35">
      <c r="L1332"/>
    </row>
    <row r="1333" spans="12:12" ht="14.5" x14ac:dyDescent="0.35">
      <c r="L1333"/>
    </row>
    <row r="1334" spans="12:12" ht="14.5" x14ac:dyDescent="0.35">
      <c r="L1334"/>
    </row>
    <row r="1335" spans="12:12" ht="14.5" x14ac:dyDescent="0.35">
      <c r="L1335"/>
    </row>
    <row r="1336" spans="12:12" ht="14.5" x14ac:dyDescent="0.35">
      <c r="L1336"/>
    </row>
    <row r="1337" spans="12:12" ht="14.5" x14ac:dyDescent="0.35">
      <c r="L1337"/>
    </row>
    <row r="1338" spans="12:12" ht="14.5" x14ac:dyDescent="0.35">
      <c r="L1338"/>
    </row>
    <row r="1339" spans="12:12" ht="14.5" x14ac:dyDescent="0.35">
      <c r="L1339"/>
    </row>
    <row r="1340" spans="12:12" ht="14.5" x14ac:dyDescent="0.35">
      <c r="L1340"/>
    </row>
    <row r="1341" spans="12:12" ht="14.5" x14ac:dyDescent="0.35">
      <c r="L1341"/>
    </row>
    <row r="1342" spans="12:12" ht="14.5" x14ac:dyDescent="0.35">
      <c r="L1342"/>
    </row>
    <row r="1343" spans="12:12" ht="14.5" x14ac:dyDescent="0.35">
      <c r="L1343"/>
    </row>
    <row r="1344" spans="12:12" ht="14.5" x14ac:dyDescent="0.35">
      <c r="L1344"/>
    </row>
    <row r="1345" spans="12:12" ht="14.5" x14ac:dyDescent="0.35">
      <c r="L1345"/>
    </row>
    <row r="1346" spans="12:12" ht="14.5" x14ac:dyDescent="0.35">
      <c r="L1346"/>
    </row>
    <row r="1347" spans="12:12" ht="14.5" x14ac:dyDescent="0.35">
      <c r="L1347"/>
    </row>
    <row r="1348" spans="12:12" ht="14.5" x14ac:dyDescent="0.35">
      <c r="L1348"/>
    </row>
    <row r="1349" spans="12:12" ht="14.5" x14ac:dyDescent="0.35">
      <c r="L1349"/>
    </row>
    <row r="1350" spans="12:12" ht="14.5" x14ac:dyDescent="0.35">
      <c r="L1350"/>
    </row>
    <row r="1351" spans="12:12" ht="14.5" x14ac:dyDescent="0.35">
      <c r="L1351"/>
    </row>
    <row r="1352" spans="12:12" ht="14.5" x14ac:dyDescent="0.35">
      <c r="L1352"/>
    </row>
    <row r="1353" spans="12:12" ht="14.5" x14ac:dyDescent="0.35">
      <c r="L1353"/>
    </row>
    <row r="1354" spans="12:12" ht="14.5" x14ac:dyDescent="0.35">
      <c r="L1354"/>
    </row>
    <row r="1355" spans="12:12" ht="14.5" x14ac:dyDescent="0.35">
      <c r="L1355"/>
    </row>
    <row r="1356" spans="12:12" ht="14.5" x14ac:dyDescent="0.35">
      <c r="L1356"/>
    </row>
    <row r="1357" spans="12:12" ht="14.5" x14ac:dyDescent="0.35">
      <c r="L1357"/>
    </row>
    <row r="1358" spans="12:12" ht="14.5" x14ac:dyDescent="0.35">
      <c r="L1358"/>
    </row>
    <row r="1359" spans="12:12" ht="14.5" x14ac:dyDescent="0.35">
      <c r="L1359"/>
    </row>
    <row r="1360" spans="12:12" ht="14.5" x14ac:dyDescent="0.35">
      <c r="L1360"/>
    </row>
    <row r="1361" spans="12:12" ht="14.5" x14ac:dyDescent="0.35">
      <c r="L1361"/>
    </row>
    <row r="1362" spans="12:12" ht="14.5" x14ac:dyDescent="0.35">
      <c r="L1362"/>
    </row>
    <row r="1363" spans="12:12" ht="14.5" x14ac:dyDescent="0.35">
      <c r="L1363"/>
    </row>
    <row r="1364" spans="12:12" ht="14.5" x14ac:dyDescent="0.35">
      <c r="L1364"/>
    </row>
    <row r="1365" spans="12:12" ht="14.5" x14ac:dyDescent="0.35">
      <c r="L1365"/>
    </row>
    <row r="1366" spans="12:12" ht="14.5" x14ac:dyDescent="0.35">
      <c r="L1366"/>
    </row>
    <row r="1367" spans="12:12" ht="14.5" x14ac:dyDescent="0.35">
      <c r="L1367"/>
    </row>
    <row r="1368" spans="12:12" ht="14.5" x14ac:dyDescent="0.35">
      <c r="L1368"/>
    </row>
    <row r="1369" spans="12:12" ht="14.5" x14ac:dyDescent="0.35">
      <c r="L1369"/>
    </row>
    <row r="1370" spans="12:12" ht="14.5" x14ac:dyDescent="0.35">
      <c r="L1370"/>
    </row>
    <row r="1371" spans="12:12" ht="14.5" x14ac:dyDescent="0.35">
      <c r="L1371"/>
    </row>
    <row r="1372" spans="12:12" ht="14.5" x14ac:dyDescent="0.35">
      <c r="L1372"/>
    </row>
    <row r="1373" spans="12:12" ht="14.5" x14ac:dyDescent="0.35">
      <c r="L1373"/>
    </row>
    <row r="1374" spans="12:12" ht="14.5" x14ac:dyDescent="0.35">
      <c r="L1374"/>
    </row>
    <row r="1375" spans="12:12" ht="14.5" x14ac:dyDescent="0.35">
      <c r="L1375"/>
    </row>
    <row r="1376" spans="12:12" ht="14.5" x14ac:dyDescent="0.35">
      <c r="L1376"/>
    </row>
    <row r="1377" spans="12:12" ht="14.5" x14ac:dyDescent="0.35">
      <c r="L1377"/>
    </row>
    <row r="1378" spans="12:12" ht="14.5" x14ac:dyDescent="0.35">
      <c r="L1378"/>
    </row>
    <row r="1379" spans="12:12" ht="14.5" x14ac:dyDescent="0.35">
      <c r="L1379"/>
    </row>
    <row r="1380" spans="12:12" ht="14.5" x14ac:dyDescent="0.35">
      <c r="L1380"/>
    </row>
    <row r="1381" spans="12:12" ht="14.5" x14ac:dyDescent="0.35">
      <c r="L1381"/>
    </row>
    <row r="1382" spans="12:12" ht="14.5" x14ac:dyDescent="0.35">
      <c r="L1382"/>
    </row>
    <row r="1383" spans="12:12" ht="14.5" x14ac:dyDescent="0.35">
      <c r="L1383"/>
    </row>
    <row r="1384" spans="12:12" ht="14.5" x14ac:dyDescent="0.35">
      <c r="L1384"/>
    </row>
    <row r="1385" spans="12:12" ht="14.5" x14ac:dyDescent="0.35">
      <c r="L1385"/>
    </row>
    <row r="1386" spans="12:12" ht="14.5" x14ac:dyDescent="0.35">
      <c r="L1386"/>
    </row>
    <row r="1387" spans="12:12" ht="14.5" x14ac:dyDescent="0.35">
      <c r="L1387"/>
    </row>
    <row r="1388" spans="12:12" ht="14.5" x14ac:dyDescent="0.35">
      <c r="L1388"/>
    </row>
    <row r="1389" spans="12:12" ht="14.5" x14ac:dyDescent="0.35">
      <c r="L1389"/>
    </row>
    <row r="1390" spans="12:12" ht="14.5" x14ac:dyDescent="0.35">
      <c r="L1390"/>
    </row>
    <row r="1391" spans="12:12" ht="14.5" x14ac:dyDescent="0.35">
      <c r="L1391"/>
    </row>
    <row r="1392" spans="12:12" ht="14.5" x14ac:dyDescent="0.35">
      <c r="L1392"/>
    </row>
    <row r="1393" spans="12:12" ht="14.5" x14ac:dyDescent="0.35">
      <c r="L1393"/>
    </row>
    <row r="1394" spans="12:12" ht="14.5" x14ac:dyDescent="0.35">
      <c r="L1394"/>
    </row>
    <row r="1395" spans="12:12" ht="14.5" x14ac:dyDescent="0.35">
      <c r="L1395"/>
    </row>
    <row r="1396" spans="12:12" ht="14.5" x14ac:dyDescent="0.35">
      <c r="L1396"/>
    </row>
    <row r="1397" spans="12:12" ht="14.5" x14ac:dyDescent="0.35">
      <c r="L1397"/>
    </row>
    <row r="1398" spans="12:12" ht="14.5" x14ac:dyDescent="0.35">
      <c r="L1398"/>
    </row>
    <row r="1399" spans="12:12" ht="14.5" x14ac:dyDescent="0.35">
      <c r="L1399"/>
    </row>
    <row r="1400" spans="12:12" ht="14.5" x14ac:dyDescent="0.35">
      <c r="L1400"/>
    </row>
    <row r="1401" spans="12:12" ht="14.5" x14ac:dyDescent="0.35">
      <c r="L1401"/>
    </row>
    <row r="1402" spans="12:12" ht="14.5" x14ac:dyDescent="0.35">
      <c r="L1402"/>
    </row>
    <row r="1403" spans="12:12" ht="14.5" x14ac:dyDescent="0.35">
      <c r="L1403"/>
    </row>
    <row r="1404" spans="12:12" ht="14.5" x14ac:dyDescent="0.35">
      <c r="L1404"/>
    </row>
    <row r="1405" spans="12:12" ht="14.5" x14ac:dyDescent="0.35">
      <c r="L1405"/>
    </row>
    <row r="1406" spans="12:12" ht="14.5" x14ac:dyDescent="0.35">
      <c r="L1406"/>
    </row>
    <row r="1407" spans="12:12" ht="14.5" x14ac:dyDescent="0.35">
      <c r="L1407"/>
    </row>
    <row r="1408" spans="12:12" ht="14.5" x14ac:dyDescent="0.35">
      <c r="L1408"/>
    </row>
    <row r="1409" spans="12:12" ht="14.5" x14ac:dyDescent="0.35">
      <c r="L1409"/>
    </row>
    <row r="1410" spans="12:12" ht="14.5" x14ac:dyDescent="0.35">
      <c r="L1410"/>
    </row>
    <row r="1411" spans="12:12" ht="14.5" x14ac:dyDescent="0.35">
      <c r="L1411"/>
    </row>
    <row r="1412" spans="12:12" ht="14.5" x14ac:dyDescent="0.35">
      <c r="L1412"/>
    </row>
    <row r="1413" spans="12:12" ht="14.5" x14ac:dyDescent="0.35">
      <c r="L1413"/>
    </row>
    <row r="1414" spans="12:12" ht="14.5" x14ac:dyDescent="0.35">
      <c r="L1414"/>
    </row>
    <row r="1415" spans="12:12" ht="14.5" x14ac:dyDescent="0.35">
      <c r="L1415"/>
    </row>
    <row r="1416" spans="12:12" ht="14.5" x14ac:dyDescent="0.35">
      <c r="L1416"/>
    </row>
    <row r="1417" spans="12:12" ht="14.5" x14ac:dyDescent="0.35">
      <c r="L1417"/>
    </row>
    <row r="1418" spans="12:12" ht="14.5" x14ac:dyDescent="0.35">
      <c r="L1418"/>
    </row>
    <row r="1419" spans="12:12" ht="14.5" x14ac:dyDescent="0.35">
      <c r="L1419"/>
    </row>
    <row r="1420" spans="12:12" ht="14.5" x14ac:dyDescent="0.35">
      <c r="L1420"/>
    </row>
    <row r="1421" spans="12:12" ht="14.5" x14ac:dyDescent="0.35">
      <c r="L1421"/>
    </row>
    <row r="1422" spans="12:12" ht="14.5" x14ac:dyDescent="0.35">
      <c r="L1422"/>
    </row>
    <row r="1423" spans="12:12" ht="14.5" x14ac:dyDescent="0.35">
      <c r="L1423"/>
    </row>
    <row r="1424" spans="12:12" ht="14.5" x14ac:dyDescent="0.35">
      <c r="L1424"/>
    </row>
    <row r="1425" spans="12:12" ht="14.5" x14ac:dyDescent="0.35">
      <c r="L1425"/>
    </row>
    <row r="1426" spans="12:12" ht="14.5" x14ac:dyDescent="0.35">
      <c r="L1426"/>
    </row>
    <row r="1427" spans="12:12" ht="14.5" x14ac:dyDescent="0.35">
      <c r="L1427"/>
    </row>
    <row r="1428" spans="12:12" ht="14.5" x14ac:dyDescent="0.35">
      <c r="L1428"/>
    </row>
    <row r="1429" spans="12:12" ht="14.5" x14ac:dyDescent="0.35">
      <c r="L1429"/>
    </row>
    <row r="1430" spans="12:12" ht="14.5" x14ac:dyDescent="0.35">
      <c r="L1430"/>
    </row>
    <row r="1431" spans="12:12" ht="14.5" x14ac:dyDescent="0.35">
      <c r="L1431"/>
    </row>
    <row r="1432" spans="12:12" ht="14.5" x14ac:dyDescent="0.35">
      <c r="L1432"/>
    </row>
    <row r="1433" spans="12:12" ht="14.5" x14ac:dyDescent="0.35">
      <c r="L1433"/>
    </row>
    <row r="1434" spans="12:12" ht="14.5" x14ac:dyDescent="0.35">
      <c r="L1434"/>
    </row>
    <row r="1435" spans="12:12" ht="14.5" x14ac:dyDescent="0.35">
      <c r="L1435"/>
    </row>
    <row r="1436" spans="12:12" ht="14.5" x14ac:dyDescent="0.35">
      <c r="L1436"/>
    </row>
    <row r="1437" spans="12:12" ht="14.5" x14ac:dyDescent="0.35">
      <c r="L1437"/>
    </row>
    <row r="1438" spans="12:12" ht="14.5" x14ac:dyDescent="0.35">
      <c r="L1438"/>
    </row>
    <row r="1439" spans="12:12" ht="14.5" x14ac:dyDescent="0.35">
      <c r="L1439"/>
    </row>
    <row r="1440" spans="12:12" ht="14.5" x14ac:dyDescent="0.35">
      <c r="L1440"/>
    </row>
    <row r="1441" spans="12:12" ht="14.5" x14ac:dyDescent="0.35">
      <c r="L1441"/>
    </row>
    <row r="1442" spans="12:12" ht="14.5" x14ac:dyDescent="0.35">
      <c r="L1442"/>
    </row>
    <row r="1443" spans="12:12" ht="14.5" x14ac:dyDescent="0.35">
      <c r="L1443"/>
    </row>
    <row r="1444" spans="12:12" ht="14.5" x14ac:dyDescent="0.35">
      <c r="L1444"/>
    </row>
    <row r="1445" spans="12:12" ht="14.5" x14ac:dyDescent="0.35">
      <c r="L1445"/>
    </row>
    <row r="1446" spans="12:12" ht="14.5" x14ac:dyDescent="0.35">
      <c r="L1446"/>
    </row>
    <row r="1447" spans="12:12" ht="14.5" x14ac:dyDescent="0.35">
      <c r="L1447"/>
    </row>
    <row r="1448" spans="12:12" ht="14.5" x14ac:dyDescent="0.35">
      <c r="L1448"/>
    </row>
    <row r="1449" spans="12:12" ht="14.5" x14ac:dyDescent="0.35">
      <c r="L1449"/>
    </row>
    <row r="1450" spans="12:12" ht="14.5" x14ac:dyDescent="0.35">
      <c r="L1450"/>
    </row>
    <row r="1451" spans="12:12" ht="14.5" x14ac:dyDescent="0.35">
      <c r="L1451"/>
    </row>
    <row r="1452" spans="12:12" ht="14.5" x14ac:dyDescent="0.35">
      <c r="L1452"/>
    </row>
    <row r="1453" spans="12:12" ht="14.5" x14ac:dyDescent="0.35">
      <c r="L1453"/>
    </row>
    <row r="1454" spans="12:12" ht="14.5" x14ac:dyDescent="0.35">
      <c r="L1454"/>
    </row>
    <row r="1455" spans="12:12" ht="14.5" x14ac:dyDescent="0.35">
      <c r="L1455"/>
    </row>
    <row r="1456" spans="12:12" ht="14.5" x14ac:dyDescent="0.35">
      <c r="L1456"/>
    </row>
    <row r="1457" spans="12:12" ht="14.5" x14ac:dyDescent="0.35">
      <c r="L1457"/>
    </row>
    <row r="1458" spans="12:12" ht="14.5" x14ac:dyDescent="0.35">
      <c r="L1458"/>
    </row>
    <row r="1459" spans="12:12" ht="14.5" x14ac:dyDescent="0.35">
      <c r="L1459"/>
    </row>
    <row r="1460" spans="12:12" ht="14.5" x14ac:dyDescent="0.35">
      <c r="L1460"/>
    </row>
    <row r="1461" spans="12:12" ht="14.5" x14ac:dyDescent="0.35">
      <c r="L1461"/>
    </row>
    <row r="1462" spans="12:12" ht="14.5" x14ac:dyDescent="0.35">
      <c r="L1462"/>
    </row>
    <row r="1463" spans="12:12" ht="14.5" x14ac:dyDescent="0.35">
      <c r="L1463"/>
    </row>
    <row r="1464" spans="12:12" ht="14.5" x14ac:dyDescent="0.35">
      <c r="L1464"/>
    </row>
    <row r="1465" spans="12:12" ht="14.5" x14ac:dyDescent="0.35">
      <c r="L1465"/>
    </row>
    <row r="1466" spans="12:12" ht="14.5" x14ac:dyDescent="0.35">
      <c r="L1466"/>
    </row>
    <row r="1467" spans="12:12" ht="14.5" x14ac:dyDescent="0.35">
      <c r="L1467"/>
    </row>
    <row r="1468" spans="12:12" ht="14.5" x14ac:dyDescent="0.35">
      <c r="L1468"/>
    </row>
    <row r="1469" spans="12:12" ht="14.5" x14ac:dyDescent="0.35">
      <c r="L1469"/>
    </row>
    <row r="1470" spans="12:12" ht="14.5" x14ac:dyDescent="0.35">
      <c r="L1470"/>
    </row>
    <row r="1471" spans="12:12" ht="14.5" x14ac:dyDescent="0.35">
      <c r="L1471"/>
    </row>
    <row r="1472" spans="12:12" ht="14.5" x14ac:dyDescent="0.35">
      <c r="L1472"/>
    </row>
    <row r="1473" spans="12:12" ht="14.5" x14ac:dyDescent="0.35">
      <c r="L1473"/>
    </row>
    <row r="1474" spans="12:12" ht="14.5" x14ac:dyDescent="0.35">
      <c r="L1474"/>
    </row>
    <row r="1475" spans="12:12" ht="14.5" x14ac:dyDescent="0.35">
      <c r="L1475"/>
    </row>
    <row r="1476" spans="12:12" ht="14.5" x14ac:dyDescent="0.35">
      <c r="L1476"/>
    </row>
    <row r="1477" spans="12:12" ht="14.5" x14ac:dyDescent="0.35">
      <c r="L1477"/>
    </row>
    <row r="1478" spans="12:12" ht="14.5" x14ac:dyDescent="0.35">
      <c r="L1478"/>
    </row>
    <row r="1479" spans="12:12" ht="14.5" x14ac:dyDescent="0.35">
      <c r="L1479"/>
    </row>
    <row r="1480" spans="12:12" ht="14.5" x14ac:dyDescent="0.35">
      <c r="L1480"/>
    </row>
    <row r="1481" spans="12:12" ht="14.5" x14ac:dyDescent="0.35">
      <c r="L1481"/>
    </row>
    <row r="1482" spans="12:12" ht="14.5" x14ac:dyDescent="0.35">
      <c r="L1482"/>
    </row>
    <row r="1483" spans="12:12" ht="14.5" x14ac:dyDescent="0.35">
      <c r="L1483"/>
    </row>
    <row r="1484" spans="12:12" ht="14.5" x14ac:dyDescent="0.35">
      <c r="L1484"/>
    </row>
    <row r="1485" spans="12:12" ht="14.5" x14ac:dyDescent="0.35">
      <c r="L1485"/>
    </row>
    <row r="1486" spans="12:12" ht="14.5" x14ac:dyDescent="0.35">
      <c r="L1486"/>
    </row>
    <row r="1487" spans="12:12" ht="14.5" x14ac:dyDescent="0.35">
      <c r="L1487"/>
    </row>
    <row r="1488" spans="12:12" ht="14.5" x14ac:dyDescent="0.35">
      <c r="L1488"/>
    </row>
    <row r="1489" spans="12:12" ht="14.5" x14ac:dyDescent="0.35">
      <c r="L1489"/>
    </row>
    <row r="1490" spans="12:12" ht="14.5" x14ac:dyDescent="0.35">
      <c r="L1490"/>
    </row>
    <row r="1491" spans="12:12" ht="14.5" x14ac:dyDescent="0.35">
      <c r="L1491"/>
    </row>
    <row r="1492" spans="12:12" ht="14.5" x14ac:dyDescent="0.35">
      <c r="L1492"/>
    </row>
    <row r="1493" spans="12:12" ht="14.5" x14ac:dyDescent="0.35">
      <c r="L1493"/>
    </row>
    <row r="1494" spans="12:12" ht="14.5" x14ac:dyDescent="0.35">
      <c r="L1494"/>
    </row>
    <row r="1495" spans="12:12" ht="14.5" x14ac:dyDescent="0.35">
      <c r="L1495"/>
    </row>
    <row r="1496" spans="12:12" ht="14.5" x14ac:dyDescent="0.35">
      <c r="L1496"/>
    </row>
    <row r="1497" spans="12:12" ht="14.5" x14ac:dyDescent="0.35">
      <c r="L1497"/>
    </row>
    <row r="1498" spans="12:12" ht="14.5" x14ac:dyDescent="0.35">
      <c r="L1498"/>
    </row>
    <row r="1499" spans="12:12" ht="14.5" x14ac:dyDescent="0.35">
      <c r="L1499"/>
    </row>
    <row r="1500" spans="12:12" ht="14.5" x14ac:dyDescent="0.35">
      <c r="L1500"/>
    </row>
    <row r="1501" spans="12:12" ht="14.5" x14ac:dyDescent="0.35">
      <c r="L1501"/>
    </row>
    <row r="1502" spans="12:12" ht="14.5" x14ac:dyDescent="0.35">
      <c r="L1502"/>
    </row>
    <row r="1503" spans="12:12" ht="14.5" x14ac:dyDescent="0.35">
      <c r="L1503"/>
    </row>
    <row r="1504" spans="12:12" ht="14.5" x14ac:dyDescent="0.35">
      <c r="L1504"/>
    </row>
    <row r="1505" spans="12:12" ht="14.5" x14ac:dyDescent="0.35">
      <c r="L1505"/>
    </row>
    <row r="1506" spans="12:12" ht="14.5" x14ac:dyDescent="0.35">
      <c r="L1506"/>
    </row>
    <row r="1507" spans="12:12" ht="14.5" x14ac:dyDescent="0.35">
      <c r="L1507"/>
    </row>
    <row r="1508" spans="12:12" ht="14.5" x14ac:dyDescent="0.35">
      <c r="L1508"/>
    </row>
    <row r="1509" spans="12:12" ht="14.5" x14ac:dyDescent="0.35">
      <c r="L1509"/>
    </row>
    <row r="1510" spans="12:12" ht="14.5" x14ac:dyDescent="0.35">
      <c r="L1510"/>
    </row>
    <row r="1511" spans="12:12" ht="14.5" x14ac:dyDescent="0.35">
      <c r="L1511"/>
    </row>
    <row r="1512" spans="12:12" ht="14.5" x14ac:dyDescent="0.35">
      <c r="L1512"/>
    </row>
    <row r="1513" spans="12:12" ht="14.5" x14ac:dyDescent="0.35">
      <c r="L1513"/>
    </row>
    <row r="1514" spans="12:12" ht="14.5" x14ac:dyDescent="0.35">
      <c r="L1514"/>
    </row>
    <row r="1515" spans="12:12" ht="14.5" x14ac:dyDescent="0.35">
      <c r="L1515"/>
    </row>
    <row r="1516" spans="12:12" ht="14.5" x14ac:dyDescent="0.35">
      <c r="L1516"/>
    </row>
    <row r="1517" spans="12:12" ht="14.5" x14ac:dyDescent="0.35">
      <c r="L1517"/>
    </row>
    <row r="1518" spans="12:12" ht="14.5" x14ac:dyDescent="0.35">
      <c r="L1518"/>
    </row>
    <row r="1519" spans="12:12" ht="14.5" x14ac:dyDescent="0.35">
      <c r="L1519"/>
    </row>
    <row r="1520" spans="12:12" ht="14.5" x14ac:dyDescent="0.35">
      <c r="L1520"/>
    </row>
    <row r="1521" spans="12:12" ht="14.5" x14ac:dyDescent="0.35">
      <c r="L1521"/>
    </row>
    <row r="1522" spans="12:12" ht="14.5" x14ac:dyDescent="0.35">
      <c r="L1522"/>
    </row>
    <row r="1523" spans="12:12" ht="14.5" x14ac:dyDescent="0.35">
      <c r="L1523"/>
    </row>
    <row r="1524" spans="12:12" ht="14.5" x14ac:dyDescent="0.35">
      <c r="L1524"/>
    </row>
    <row r="1525" spans="12:12" ht="14.5" x14ac:dyDescent="0.35">
      <c r="L1525"/>
    </row>
    <row r="1526" spans="12:12" ht="14.5" x14ac:dyDescent="0.35">
      <c r="L1526"/>
    </row>
    <row r="1527" spans="12:12" ht="14.5" x14ac:dyDescent="0.35">
      <c r="L1527"/>
    </row>
    <row r="1528" spans="12:12" ht="14.5" x14ac:dyDescent="0.35">
      <c r="L1528"/>
    </row>
    <row r="1529" spans="12:12" ht="14.5" x14ac:dyDescent="0.35">
      <c r="L1529"/>
    </row>
    <row r="1530" spans="12:12" ht="14.5" x14ac:dyDescent="0.35">
      <c r="L1530"/>
    </row>
    <row r="1531" spans="12:12" ht="14.5" x14ac:dyDescent="0.35">
      <c r="L1531"/>
    </row>
    <row r="1532" spans="12:12" ht="14.5" x14ac:dyDescent="0.35">
      <c r="L1532"/>
    </row>
    <row r="1533" spans="12:12" ht="14.5" x14ac:dyDescent="0.35">
      <c r="L1533"/>
    </row>
    <row r="1534" spans="12:12" ht="14.5" x14ac:dyDescent="0.35">
      <c r="L1534"/>
    </row>
    <row r="1535" spans="12:12" ht="14.5" x14ac:dyDescent="0.35">
      <c r="L1535"/>
    </row>
    <row r="1536" spans="12:12" ht="14.5" x14ac:dyDescent="0.35">
      <c r="L1536"/>
    </row>
    <row r="1537" spans="12:12" ht="14.5" x14ac:dyDescent="0.35">
      <c r="L1537"/>
    </row>
    <row r="1538" spans="12:12" ht="14.5" x14ac:dyDescent="0.35">
      <c r="L1538"/>
    </row>
    <row r="1539" spans="12:12" ht="14.5" x14ac:dyDescent="0.35">
      <c r="L1539"/>
    </row>
    <row r="1540" spans="12:12" ht="14.5" x14ac:dyDescent="0.35">
      <c r="L1540"/>
    </row>
    <row r="1541" spans="12:12" ht="14.5" x14ac:dyDescent="0.35">
      <c r="L1541"/>
    </row>
    <row r="1542" spans="12:12" ht="14.5" x14ac:dyDescent="0.35">
      <c r="L1542"/>
    </row>
    <row r="1543" spans="12:12" ht="14.5" x14ac:dyDescent="0.35">
      <c r="L1543"/>
    </row>
    <row r="1544" spans="12:12" ht="14.5" x14ac:dyDescent="0.35">
      <c r="L1544"/>
    </row>
    <row r="1545" spans="12:12" ht="14.5" x14ac:dyDescent="0.35">
      <c r="L1545"/>
    </row>
    <row r="1546" spans="12:12" ht="14.5" x14ac:dyDescent="0.35">
      <c r="L1546"/>
    </row>
    <row r="1547" spans="12:12" ht="14.5" x14ac:dyDescent="0.35">
      <c r="L1547"/>
    </row>
    <row r="1548" spans="12:12" ht="14.5" x14ac:dyDescent="0.35">
      <c r="L1548"/>
    </row>
    <row r="1549" spans="12:12" ht="14.5" x14ac:dyDescent="0.35">
      <c r="L1549"/>
    </row>
    <row r="1550" spans="12:12" ht="14.5" x14ac:dyDescent="0.35">
      <c r="L1550"/>
    </row>
    <row r="1551" spans="12:12" ht="14.5" x14ac:dyDescent="0.35">
      <c r="L1551"/>
    </row>
    <row r="1552" spans="12:12" ht="14.5" x14ac:dyDescent="0.35">
      <c r="L1552"/>
    </row>
    <row r="1553" spans="12:12" ht="14.5" x14ac:dyDescent="0.35">
      <c r="L1553"/>
    </row>
    <row r="1554" spans="12:12" ht="14.5" x14ac:dyDescent="0.35">
      <c r="L1554"/>
    </row>
    <row r="1555" spans="12:12" ht="14.5" x14ac:dyDescent="0.35">
      <c r="L1555"/>
    </row>
    <row r="1556" spans="12:12" ht="14.5" x14ac:dyDescent="0.35">
      <c r="L1556"/>
    </row>
    <row r="1557" spans="12:12" ht="14.5" x14ac:dyDescent="0.35">
      <c r="L1557"/>
    </row>
    <row r="1558" spans="12:12" ht="14.5" x14ac:dyDescent="0.35">
      <c r="L1558"/>
    </row>
    <row r="1559" spans="12:12" ht="14.5" x14ac:dyDescent="0.35">
      <c r="L1559"/>
    </row>
    <row r="1560" spans="12:12" ht="14.5" x14ac:dyDescent="0.35">
      <c r="L1560"/>
    </row>
    <row r="1561" spans="12:12" ht="14.5" x14ac:dyDescent="0.35">
      <c r="L1561"/>
    </row>
    <row r="1562" spans="12:12" ht="14.5" x14ac:dyDescent="0.35">
      <c r="L1562"/>
    </row>
    <row r="1563" spans="12:12" ht="14.5" x14ac:dyDescent="0.35">
      <c r="L1563"/>
    </row>
    <row r="1564" spans="12:12" ht="14.5" x14ac:dyDescent="0.35">
      <c r="L1564"/>
    </row>
    <row r="1565" spans="12:12" ht="14.5" x14ac:dyDescent="0.35">
      <c r="L1565"/>
    </row>
    <row r="1566" spans="12:12" ht="14.5" x14ac:dyDescent="0.35">
      <c r="L1566"/>
    </row>
    <row r="1567" spans="12:12" ht="14.5" x14ac:dyDescent="0.35">
      <c r="L1567"/>
    </row>
    <row r="1568" spans="12:12" ht="14.5" x14ac:dyDescent="0.35">
      <c r="L1568"/>
    </row>
    <row r="1569" spans="12:12" ht="14.5" x14ac:dyDescent="0.35">
      <c r="L1569"/>
    </row>
    <row r="1570" spans="12:12" ht="14.5" x14ac:dyDescent="0.35">
      <c r="L1570"/>
    </row>
    <row r="1571" spans="12:12" ht="14.5" x14ac:dyDescent="0.35">
      <c r="L1571"/>
    </row>
    <row r="1572" spans="12:12" ht="14.5" x14ac:dyDescent="0.35">
      <c r="L1572"/>
    </row>
    <row r="1573" spans="12:12" ht="14.5" x14ac:dyDescent="0.35">
      <c r="L1573"/>
    </row>
    <row r="1574" spans="12:12" ht="14.5" x14ac:dyDescent="0.35">
      <c r="L1574"/>
    </row>
    <row r="1575" spans="12:12" ht="14.5" x14ac:dyDescent="0.35">
      <c r="L1575"/>
    </row>
    <row r="1576" spans="12:12" ht="14.5" x14ac:dyDescent="0.35">
      <c r="L1576"/>
    </row>
    <row r="1577" spans="12:12" ht="14.5" x14ac:dyDescent="0.35">
      <c r="L1577"/>
    </row>
    <row r="1578" spans="12:12" ht="14.5" x14ac:dyDescent="0.35">
      <c r="L1578"/>
    </row>
    <row r="1579" spans="12:12" ht="14.5" x14ac:dyDescent="0.35">
      <c r="L1579"/>
    </row>
    <row r="1580" spans="12:12" ht="14.5" x14ac:dyDescent="0.35">
      <c r="L1580"/>
    </row>
    <row r="1581" spans="12:12" ht="14.5" x14ac:dyDescent="0.35">
      <c r="L1581"/>
    </row>
    <row r="1582" spans="12:12" ht="14.5" x14ac:dyDescent="0.35">
      <c r="L1582"/>
    </row>
    <row r="1583" spans="12:12" ht="14.5" x14ac:dyDescent="0.35">
      <c r="L1583"/>
    </row>
    <row r="1584" spans="12:12" ht="14.5" x14ac:dyDescent="0.35">
      <c r="L1584"/>
    </row>
    <row r="1585" spans="12:12" ht="14.5" x14ac:dyDescent="0.35">
      <c r="L1585"/>
    </row>
    <row r="1586" spans="12:12" ht="14.5" x14ac:dyDescent="0.35">
      <c r="L1586"/>
    </row>
    <row r="1587" spans="12:12" ht="14.5" x14ac:dyDescent="0.35">
      <c r="L1587"/>
    </row>
    <row r="1588" spans="12:12" ht="14.5" x14ac:dyDescent="0.35">
      <c r="L1588"/>
    </row>
    <row r="1589" spans="12:12" ht="14.5" x14ac:dyDescent="0.35">
      <c r="L1589"/>
    </row>
    <row r="1590" spans="12:12" ht="14.5" x14ac:dyDescent="0.35">
      <c r="L1590"/>
    </row>
    <row r="1591" spans="12:12" ht="14.5" x14ac:dyDescent="0.35">
      <c r="L1591"/>
    </row>
    <row r="1592" spans="12:12" ht="14.5" x14ac:dyDescent="0.35">
      <c r="L1592"/>
    </row>
    <row r="1593" spans="12:12" ht="14.5" x14ac:dyDescent="0.35">
      <c r="L1593"/>
    </row>
    <row r="1594" spans="12:12" ht="14.5" x14ac:dyDescent="0.35">
      <c r="L1594"/>
    </row>
    <row r="1595" spans="12:12" ht="14.5" x14ac:dyDescent="0.35">
      <c r="L1595"/>
    </row>
    <row r="1596" spans="12:12" ht="14.5" x14ac:dyDescent="0.35">
      <c r="L1596"/>
    </row>
    <row r="1597" spans="12:12" ht="14.5" x14ac:dyDescent="0.35">
      <c r="L1597"/>
    </row>
    <row r="1598" spans="12:12" ht="14.5" x14ac:dyDescent="0.35">
      <c r="L1598"/>
    </row>
    <row r="1599" spans="12:12" ht="14.5" x14ac:dyDescent="0.35">
      <c r="L1599"/>
    </row>
    <row r="1600" spans="12:12" ht="14.5" x14ac:dyDescent="0.35">
      <c r="L1600"/>
    </row>
    <row r="1601" spans="12:12" ht="14.5" x14ac:dyDescent="0.35">
      <c r="L1601"/>
    </row>
    <row r="1602" spans="12:12" ht="14.5" x14ac:dyDescent="0.35">
      <c r="L1602"/>
    </row>
    <row r="1603" spans="12:12" ht="14.5" x14ac:dyDescent="0.35">
      <c r="L1603"/>
    </row>
    <row r="1604" spans="12:12" ht="14.5" x14ac:dyDescent="0.35">
      <c r="L1604"/>
    </row>
    <row r="1605" spans="12:12" ht="14.5" x14ac:dyDescent="0.35">
      <c r="L1605"/>
    </row>
    <row r="1606" spans="12:12" ht="14.5" x14ac:dyDescent="0.35">
      <c r="L1606"/>
    </row>
    <row r="1607" spans="12:12" ht="14.5" x14ac:dyDescent="0.35">
      <c r="L1607"/>
    </row>
    <row r="1608" spans="12:12" ht="14.5" x14ac:dyDescent="0.35">
      <c r="L1608"/>
    </row>
    <row r="1609" spans="12:12" ht="14.5" x14ac:dyDescent="0.35">
      <c r="L1609"/>
    </row>
    <row r="1610" spans="12:12" ht="14.5" x14ac:dyDescent="0.35">
      <c r="L1610"/>
    </row>
    <row r="1611" spans="12:12" ht="14.5" x14ac:dyDescent="0.35">
      <c r="L1611"/>
    </row>
    <row r="1612" spans="12:12" ht="14.5" x14ac:dyDescent="0.35">
      <c r="L1612"/>
    </row>
    <row r="1613" spans="12:12" ht="14.5" x14ac:dyDescent="0.35">
      <c r="L1613"/>
    </row>
    <row r="1614" spans="12:12" ht="14.5" x14ac:dyDescent="0.35">
      <c r="L1614"/>
    </row>
    <row r="1615" spans="12:12" ht="14.5" x14ac:dyDescent="0.35">
      <c r="L1615"/>
    </row>
    <row r="1616" spans="12:12" ht="14.5" x14ac:dyDescent="0.35">
      <c r="L1616"/>
    </row>
    <row r="1617" spans="12:12" ht="14.5" x14ac:dyDescent="0.35">
      <c r="L1617"/>
    </row>
    <row r="1618" spans="12:12" ht="14.5" x14ac:dyDescent="0.35">
      <c r="L1618"/>
    </row>
    <row r="1619" spans="12:12" ht="14.5" x14ac:dyDescent="0.35">
      <c r="L1619"/>
    </row>
    <row r="1620" spans="12:12" ht="14.5" x14ac:dyDescent="0.35">
      <c r="L1620"/>
    </row>
    <row r="1621" spans="12:12" ht="14.5" x14ac:dyDescent="0.35">
      <c r="L1621"/>
    </row>
    <row r="1622" spans="12:12" ht="14.5" x14ac:dyDescent="0.35">
      <c r="L1622"/>
    </row>
    <row r="1623" spans="12:12" ht="14.5" x14ac:dyDescent="0.35">
      <c r="L1623"/>
    </row>
    <row r="1624" spans="12:12" ht="14.5" x14ac:dyDescent="0.35">
      <c r="L1624"/>
    </row>
    <row r="1625" spans="12:12" ht="14.5" x14ac:dyDescent="0.35">
      <c r="L1625"/>
    </row>
    <row r="1626" spans="12:12" ht="14.5" x14ac:dyDescent="0.35">
      <c r="L1626"/>
    </row>
    <row r="1627" spans="12:12" ht="14.5" x14ac:dyDescent="0.35">
      <c r="L1627"/>
    </row>
    <row r="1628" spans="12:12" ht="14.5" x14ac:dyDescent="0.35">
      <c r="L1628"/>
    </row>
    <row r="1629" spans="12:12" ht="14.5" x14ac:dyDescent="0.35">
      <c r="L1629"/>
    </row>
    <row r="1630" spans="12:12" ht="14.5" x14ac:dyDescent="0.35">
      <c r="L1630"/>
    </row>
    <row r="1631" spans="12:12" ht="14.5" x14ac:dyDescent="0.35">
      <c r="L1631"/>
    </row>
    <row r="1632" spans="12:12" ht="14.5" x14ac:dyDescent="0.35">
      <c r="L1632"/>
    </row>
    <row r="1633" spans="12:12" ht="14.5" x14ac:dyDescent="0.35">
      <c r="L1633"/>
    </row>
    <row r="1634" spans="12:12" ht="14.5" x14ac:dyDescent="0.35">
      <c r="L1634"/>
    </row>
    <row r="1635" spans="12:12" ht="14.5" x14ac:dyDescent="0.35">
      <c r="L1635"/>
    </row>
    <row r="1636" spans="12:12" ht="14.5" x14ac:dyDescent="0.35">
      <c r="L1636"/>
    </row>
    <row r="1637" spans="12:12" ht="14.5" x14ac:dyDescent="0.35">
      <c r="L1637"/>
    </row>
    <row r="1638" spans="12:12" ht="14.5" x14ac:dyDescent="0.35">
      <c r="L1638"/>
    </row>
    <row r="1639" spans="12:12" ht="14.5" x14ac:dyDescent="0.35">
      <c r="L1639"/>
    </row>
    <row r="1640" spans="12:12" ht="14.5" x14ac:dyDescent="0.35">
      <c r="L1640"/>
    </row>
    <row r="1641" spans="12:12" ht="14.5" x14ac:dyDescent="0.35">
      <c r="L1641"/>
    </row>
    <row r="1642" spans="12:12" ht="14.5" x14ac:dyDescent="0.35">
      <c r="L1642"/>
    </row>
    <row r="1643" spans="12:12" ht="14.5" x14ac:dyDescent="0.35">
      <c r="L1643"/>
    </row>
    <row r="1644" spans="12:12" ht="14.5" x14ac:dyDescent="0.35">
      <c r="L1644"/>
    </row>
    <row r="1645" spans="12:12" ht="14.5" x14ac:dyDescent="0.35">
      <c r="L1645"/>
    </row>
    <row r="1646" spans="12:12" ht="14.5" x14ac:dyDescent="0.35">
      <c r="L1646"/>
    </row>
    <row r="1647" spans="12:12" ht="14.5" x14ac:dyDescent="0.35">
      <c r="L1647"/>
    </row>
    <row r="1648" spans="12:12" ht="14.5" x14ac:dyDescent="0.35">
      <c r="L1648"/>
    </row>
    <row r="1649" spans="12:12" ht="14.5" x14ac:dyDescent="0.35">
      <c r="L1649"/>
    </row>
    <row r="1650" spans="12:12" ht="14.5" x14ac:dyDescent="0.35">
      <c r="L1650"/>
    </row>
    <row r="1651" spans="12:12" ht="14.5" x14ac:dyDescent="0.35">
      <c r="L1651"/>
    </row>
    <row r="1652" spans="12:12" ht="14.5" x14ac:dyDescent="0.35">
      <c r="L1652"/>
    </row>
    <row r="1653" spans="12:12" ht="14.5" x14ac:dyDescent="0.35">
      <c r="L1653"/>
    </row>
    <row r="1654" spans="12:12" ht="14.5" x14ac:dyDescent="0.35">
      <c r="L1654"/>
    </row>
    <row r="1655" spans="12:12" ht="14.5" x14ac:dyDescent="0.35">
      <c r="L1655"/>
    </row>
    <row r="1656" spans="12:12" ht="14.5" x14ac:dyDescent="0.35">
      <c r="L1656"/>
    </row>
    <row r="1657" spans="12:12" ht="14.5" x14ac:dyDescent="0.35">
      <c r="L1657"/>
    </row>
    <row r="1658" spans="12:12" ht="14.5" x14ac:dyDescent="0.35">
      <c r="L1658"/>
    </row>
    <row r="1659" spans="12:12" ht="14.5" x14ac:dyDescent="0.35">
      <c r="L1659"/>
    </row>
    <row r="1660" spans="12:12" ht="14.5" x14ac:dyDescent="0.35">
      <c r="L1660"/>
    </row>
    <row r="1661" spans="12:12" ht="14.5" x14ac:dyDescent="0.35">
      <c r="L1661"/>
    </row>
    <row r="1662" spans="12:12" ht="14.5" x14ac:dyDescent="0.35">
      <c r="L1662"/>
    </row>
    <row r="1663" spans="12:12" ht="14.5" x14ac:dyDescent="0.35">
      <c r="L1663"/>
    </row>
    <row r="1664" spans="12:12" ht="14.5" x14ac:dyDescent="0.35">
      <c r="L1664"/>
    </row>
    <row r="1665" spans="12:12" ht="14.5" x14ac:dyDescent="0.35">
      <c r="L1665"/>
    </row>
    <row r="1666" spans="12:12" ht="14.5" x14ac:dyDescent="0.35">
      <c r="L1666"/>
    </row>
    <row r="1667" spans="12:12" ht="14.5" x14ac:dyDescent="0.35">
      <c r="L1667"/>
    </row>
    <row r="1668" spans="12:12" ht="14.5" x14ac:dyDescent="0.35">
      <c r="L1668"/>
    </row>
    <row r="1669" spans="12:12" ht="14.5" x14ac:dyDescent="0.35">
      <c r="L1669"/>
    </row>
    <row r="1670" spans="12:12" ht="14.5" x14ac:dyDescent="0.35">
      <c r="L1670"/>
    </row>
    <row r="1671" spans="12:12" ht="14.5" x14ac:dyDescent="0.35">
      <c r="L1671"/>
    </row>
    <row r="1672" spans="12:12" ht="14.5" x14ac:dyDescent="0.35">
      <c r="L1672"/>
    </row>
    <row r="1673" spans="12:12" ht="14.5" x14ac:dyDescent="0.35">
      <c r="L1673"/>
    </row>
    <row r="1674" spans="12:12" ht="14.5" x14ac:dyDescent="0.35">
      <c r="L1674"/>
    </row>
    <row r="1675" spans="12:12" ht="14.5" x14ac:dyDescent="0.35">
      <c r="L1675"/>
    </row>
    <row r="1676" spans="12:12" ht="14.5" x14ac:dyDescent="0.35">
      <c r="L1676"/>
    </row>
    <row r="1677" spans="12:12" ht="14.5" x14ac:dyDescent="0.35">
      <c r="L1677"/>
    </row>
    <row r="1678" spans="12:12" ht="14.5" x14ac:dyDescent="0.35">
      <c r="L1678"/>
    </row>
    <row r="1679" spans="12:12" ht="14.5" x14ac:dyDescent="0.35">
      <c r="L1679"/>
    </row>
    <row r="1680" spans="12:12" ht="14.5" x14ac:dyDescent="0.35">
      <c r="L1680"/>
    </row>
    <row r="1681" spans="12:12" ht="14.5" x14ac:dyDescent="0.35">
      <c r="L1681"/>
    </row>
    <row r="1682" spans="12:12" ht="14.5" x14ac:dyDescent="0.35">
      <c r="L1682"/>
    </row>
    <row r="1683" spans="12:12" ht="14.5" x14ac:dyDescent="0.35">
      <c r="L1683"/>
    </row>
    <row r="1684" spans="12:12" ht="14.5" x14ac:dyDescent="0.35">
      <c r="L1684"/>
    </row>
    <row r="1685" spans="12:12" ht="14.5" x14ac:dyDescent="0.35">
      <c r="L1685"/>
    </row>
    <row r="1686" spans="12:12" ht="14.5" x14ac:dyDescent="0.35">
      <c r="L1686"/>
    </row>
    <row r="1687" spans="12:12" ht="14.5" x14ac:dyDescent="0.35">
      <c r="L1687"/>
    </row>
    <row r="1688" spans="12:12" ht="14.5" x14ac:dyDescent="0.35">
      <c r="L1688"/>
    </row>
    <row r="1689" spans="12:12" ht="14.5" x14ac:dyDescent="0.35">
      <c r="L1689"/>
    </row>
    <row r="1690" spans="12:12" ht="14.5" x14ac:dyDescent="0.35">
      <c r="L1690"/>
    </row>
    <row r="1691" spans="12:12" ht="14.5" x14ac:dyDescent="0.35">
      <c r="L1691"/>
    </row>
    <row r="1692" spans="12:12" ht="14.5" x14ac:dyDescent="0.35">
      <c r="L1692"/>
    </row>
    <row r="1693" spans="12:12" ht="14.5" x14ac:dyDescent="0.35">
      <c r="L1693"/>
    </row>
    <row r="1694" spans="12:12" ht="14.5" x14ac:dyDescent="0.35">
      <c r="L1694"/>
    </row>
    <row r="1695" spans="12:12" ht="14.5" x14ac:dyDescent="0.35">
      <c r="L1695"/>
    </row>
    <row r="1696" spans="12:12" ht="14.5" x14ac:dyDescent="0.35">
      <c r="L1696"/>
    </row>
    <row r="1697" spans="12:12" ht="14.5" x14ac:dyDescent="0.35">
      <c r="L1697"/>
    </row>
    <row r="1698" spans="12:12" ht="14.5" x14ac:dyDescent="0.35">
      <c r="L1698"/>
    </row>
    <row r="1699" spans="12:12" ht="14.5" x14ac:dyDescent="0.35">
      <c r="L1699"/>
    </row>
    <row r="1700" spans="12:12" ht="14.5" x14ac:dyDescent="0.35">
      <c r="L1700"/>
    </row>
    <row r="1701" spans="12:12" ht="14.5" x14ac:dyDescent="0.35">
      <c r="L1701"/>
    </row>
    <row r="1702" spans="12:12" ht="14.5" x14ac:dyDescent="0.35">
      <c r="L1702"/>
    </row>
    <row r="1703" spans="12:12" ht="14.5" x14ac:dyDescent="0.35">
      <c r="L1703"/>
    </row>
    <row r="1704" spans="12:12" ht="14.5" x14ac:dyDescent="0.35">
      <c r="L1704"/>
    </row>
    <row r="1705" spans="12:12" ht="14.5" x14ac:dyDescent="0.35">
      <c r="L1705"/>
    </row>
    <row r="1706" spans="12:12" ht="14.5" x14ac:dyDescent="0.35">
      <c r="L1706"/>
    </row>
    <row r="1707" spans="12:12" ht="14.5" x14ac:dyDescent="0.35">
      <c r="L1707"/>
    </row>
    <row r="1708" spans="12:12" ht="14.5" x14ac:dyDescent="0.35">
      <c r="L1708"/>
    </row>
    <row r="1709" spans="12:12" ht="14.5" x14ac:dyDescent="0.35">
      <c r="L1709"/>
    </row>
    <row r="1710" spans="12:12" ht="14.5" x14ac:dyDescent="0.35">
      <c r="L1710"/>
    </row>
    <row r="1711" spans="12:12" ht="14.5" x14ac:dyDescent="0.35">
      <c r="L1711"/>
    </row>
    <row r="1712" spans="12:12" ht="14.5" x14ac:dyDescent="0.35">
      <c r="L1712"/>
    </row>
    <row r="1713" spans="12:12" ht="14.5" x14ac:dyDescent="0.35">
      <c r="L1713"/>
    </row>
    <row r="1714" spans="12:12" ht="14.5" x14ac:dyDescent="0.35">
      <c r="L1714"/>
    </row>
    <row r="1715" spans="12:12" ht="14.5" x14ac:dyDescent="0.35">
      <c r="L1715"/>
    </row>
    <row r="1716" spans="12:12" ht="14.5" x14ac:dyDescent="0.35">
      <c r="L1716"/>
    </row>
    <row r="1717" spans="12:12" ht="14.5" x14ac:dyDescent="0.35">
      <c r="L1717"/>
    </row>
    <row r="1718" spans="12:12" ht="14.5" x14ac:dyDescent="0.35">
      <c r="L1718"/>
    </row>
    <row r="1719" spans="12:12" ht="14.5" x14ac:dyDescent="0.35">
      <c r="L1719"/>
    </row>
    <row r="1720" spans="12:12" ht="14.5" x14ac:dyDescent="0.35">
      <c r="L1720"/>
    </row>
    <row r="1721" spans="12:12" ht="14.5" x14ac:dyDescent="0.35">
      <c r="L1721"/>
    </row>
    <row r="1722" spans="12:12" ht="14.5" x14ac:dyDescent="0.35">
      <c r="L1722"/>
    </row>
    <row r="1723" spans="12:12" ht="14.5" x14ac:dyDescent="0.35">
      <c r="L1723"/>
    </row>
    <row r="1724" spans="12:12" ht="14.5" x14ac:dyDescent="0.35">
      <c r="L1724"/>
    </row>
    <row r="1725" spans="12:12" ht="14.5" x14ac:dyDescent="0.35">
      <c r="L1725"/>
    </row>
    <row r="1726" spans="12:12" ht="14.5" x14ac:dyDescent="0.35">
      <c r="L1726"/>
    </row>
    <row r="1727" spans="12:12" ht="14.5" x14ac:dyDescent="0.35">
      <c r="L1727"/>
    </row>
    <row r="1728" spans="12:12" ht="14.5" x14ac:dyDescent="0.35">
      <c r="L1728"/>
    </row>
    <row r="1729" spans="12:12" ht="14.5" x14ac:dyDescent="0.35">
      <c r="L1729"/>
    </row>
    <row r="1730" spans="12:12" ht="14.5" x14ac:dyDescent="0.35">
      <c r="L1730"/>
    </row>
    <row r="1731" spans="12:12" ht="14.5" x14ac:dyDescent="0.35">
      <c r="L1731"/>
    </row>
    <row r="1732" spans="12:12" ht="14.5" x14ac:dyDescent="0.35">
      <c r="L1732"/>
    </row>
    <row r="1733" spans="12:12" ht="14.5" x14ac:dyDescent="0.35">
      <c r="L1733"/>
    </row>
    <row r="1734" spans="12:12" ht="14.5" x14ac:dyDescent="0.35">
      <c r="L1734"/>
    </row>
    <row r="1735" spans="12:12" ht="14.5" x14ac:dyDescent="0.35">
      <c r="L1735"/>
    </row>
    <row r="1736" spans="12:12" ht="14.5" x14ac:dyDescent="0.35">
      <c r="L1736"/>
    </row>
    <row r="1737" spans="12:12" ht="14.5" x14ac:dyDescent="0.35">
      <c r="L1737"/>
    </row>
    <row r="1738" spans="12:12" ht="14.5" x14ac:dyDescent="0.35">
      <c r="L1738"/>
    </row>
    <row r="1739" spans="12:12" ht="14.5" x14ac:dyDescent="0.35">
      <c r="L1739"/>
    </row>
    <row r="1740" spans="12:12" ht="14.5" x14ac:dyDescent="0.35">
      <c r="L1740"/>
    </row>
    <row r="1741" spans="12:12" ht="14.5" x14ac:dyDescent="0.35">
      <c r="L1741"/>
    </row>
    <row r="1742" spans="12:12" ht="14.5" x14ac:dyDescent="0.35">
      <c r="L1742"/>
    </row>
    <row r="1743" spans="12:12" ht="14.5" x14ac:dyDescent="0.35">
      <c r="L1743"/>
    </row>
    <row r="1744" spans="12:12" ht="14.5" x14ac:dyDescent="0.35">
      <c r="L1744"/>
    </row>
    <row r="1745" spans="12:12" ht="14.5" x14ac:dyDescent="0.35">
      <c r="L1745"/>
    </row>
    <row r="1746" spans="12:12" ht="14.5" x14ac:dyDescent="0.35">
      <c r="L1746"/>
    </row>
    <row r="1747" spans="12:12" ht="14.5" x14ac:dyDescent="0.35">
      <c r="L1747"/>
    </row>
    <row r="1748" spans="12:12" ht="14.5" x14ac:dyDescent="0.35">
      <c r="L1748"/>
    </row>
    <row r="1749" spans="12:12" ht="14.5" x14ac:dyDescent="0.35">
      <c r="L1749"/>
    </row>
    <row r="1750" spans="12:12" ht="14.5" x14ac:dyDescent="0.35">
      <c r="L1750"/>
    </row>
    <row r="1751" spans="12:12" ht="14.5" x14ac:dyDescent="0.35">
      <c r="L1751"/>
    </row>
    <row r="1752" spans="12:12" ht="14.5" x14ac:dyDescent="0.35">
      <c r="L1752"/>
    </row>
    <row r="1753" spans="12:12" ht="14.5" x14ac:dyDescent="0.35">
      <c r="L1753"/>
    </row>
    <row r="1754" spans="12:12" ht="14.5" x14ac:dyDescent="0.35">
      <c r="L1754"/>
    </row>
    <row r="1755" spans="12:12" ht="14.5" x14ac:dyDescent="0.35">
      <c r="L1755"/>
    </row>
    <row r="1756" spans="12:12" ht="14.5" x14ac:dyDescent="0.35">
      <c r="L1756"/>
    </row>
    <row r="1757" spans="12:12" ht="14.5" x14ac:dyDescent="0.35">
      <c r="L1757"/>
    </row>
    <row r="1758" spans="12:12" ht="14.5" x14ac:dyDescent="0.35">
      <c r="L1758"/>
    </row>
    <row r="1759" spans="12:12" ht="14.5" x14ac:dyDescent="0.35">
      <c r="L1759"/>
    </row>
    <row r="1760" spans="12:12" ht="14.5" x14ac:dyDescent="0.35">
      <c r="L1760"/>
    </row>
    <row r="1761" spans="12:12" ht="14.5" x14ac:dyDescent="0.35">
      <c r="L1761"/>
    </row>
    <row r="1762" spans="12:12" ht="14.5" x14ac:dyDescent="0.35">
      <c r="L1762"/>
    </row>
    <row r="1763" spans="12:12" ht="14.5" x14ac:dyDescent="0.35">
      <c r="L1763"/>
    </row>
    <row r="1764" spans="12:12" ht="14.5" x14ac:dyDescent="0.35">
      <c r="L1764"/>
    </row>
    <row r="1765" spans="12:12" ht="14.5" x14ac:dyDescent="0.35">
      <c r="L1765"/>
    </row>
    <row r="1766" spans="12:12" ht="14.5" x14ac:dyDescent="0.35">
      <c r="L1766"/>
    </row>
    <row r="1767" spans="12:12" ht="14.5" x14ac:dyDescent="0.35">
      <c r="L1767"/>
    </row>
    <row r="1768" spans="12:12" ht="14.5" x14ac:dyDescent="0.35">
      <c r="L1768"/>
    </row>
    <row r="1769" spans="12:12" ht="14.5" x14ac:dyDescent="0.35">
      <c r="L1769"/>
    </row>
    <row r="1770" spans="12:12" ht="14.5" x14ac:dyDescent="0.35">
      <c r="L1770"/>
    </row>
    <row r="1771" spans="12:12" ht="14.5" x14ac:dyDescent="0.35">
      <c r="L1771"/>
    </row>
    <row r="1772" spans="12:12" ht="14.5" x14ac:dyDescent="0.35">
      <c r="L1772"/>
    </row>
    <row r="1773" spans="12:12" ht="14.5" x14ac:dyDescent="0.35">
      <c r="L1773"/>
    </row>
    <row r="1774" spans="12:12" ht="14.5" x14ac:dyDescent="0.35">
      <c r="L1774"/>
    </row>
    <row r="1775" spans="12:12" ht="14.5" x14ac:dyDescent="0.35">
      <c r="L1775"/>
    </row>
    <row r="1776" spans="12:12" ht="14.5" x14ac:dyDescent="0.35">
      <c r="L1776"/>
    </row>
    <row r="1777" spans="12:12" ht="14.5" x14ac:dyDescent="0.35">
      <c r="L1777"/>
    </row>
    <row r="1778" spans="12:12" ht="14.5" x14ac:dyDescent="0.35">
      <c r="L1778"/>
    </row>
    <row r="1779" spans="12:12" ht="14.5" x14ac:dyDescent="0.35">
      <c r="L1779"/>
    </row>
    <row r="1780" spans="12:12" ht="14.5" x14ac:dyDescent="0.35">
      <c r="L1780"/>
    </row>
    <row r="1781" spans="12:12" ht="14.5" x14ac:dyDescent="0.35">
      <c r="L1781"/>
    </row>
    <row r="1782" spans="12:12" ht="14.5" x14ac:dyDescent="0.35">
      <c r="L1782"/>
    </row>
    <row r="1783" spans="12:12" ht="14.5" x14ac:dyDescent="0.35">
      <c r="L1783"/>
    </row>
    <row r="1784" spans="12:12" ht="14.5" x14ac:dyDescent="0.35">
      <c r="L1784"/>
    </row>
    <row r="1785" spans="12:12" ht="14.5" x14ac:dyDescent="0.35">
      <c r="L1785"/>
    </row>
    <row r="1786" spans="12:12" ht="14.5" x14ac:dyDescent="0.35">
      <c r="L1786"/>
    </row>
    <row r="1787" spans="12:12" ht="14.5" x14ac:dyDescent="0.35">
      <c r="L1787"/>
    </row>
    <row r="1788" spans="12:12" ht="14.5" x14ac:dyDescent="0.35">
      <c r="L1788"/>
    </row>
    <row r="1789" spans="12:12" ht="14.5" x14ac:dyDescent="0.35">
      <c r="L1789"/>
    </row>
    <row r="1790" spans="12:12" ht="14.5" x14ac:dyDescent="0.35">
      <c r="L1790"/>
    </row>
    <row r="1791" spans="12:12" ht="14.5" x14ac:dyDescent="0.35">
      <c r="L1791"/>
    </row>
    <row r="1792" spans="12:12" ht="14.5" x14ac:dyDescent="0.35">
      <c r="L1792"/>
    </row>
    <row r="1793" spans="12:12" ht="14.5" x14ac:dyDescent="0.35">
      <c r="L1793"/>
    </row>
    <row r="1794" spans="12:12" ht="14.5" x14ac:dyDescent="0.35">
      <c r="L1794"/>
    </row>
    <row r="1795" spans="12:12" ht="14.5" x14ac:dyDescent="0.35">
      <c r="L1795"/>
    </row>
    <row r="1796" spans="12:12" ht="14.5" x14ac:dyDescent="0.35">
      <c r="L1796"/>
    </row>
    <row r="1797" spans="12:12" ht="14.5" x14ac:dyDescent="0.35">
      <c r="L1797"/>
    </row>
    <row r="1798" spans="12:12" ht="14.5" x14ac:dyDescent="0.35">
      <c r="L1798"/>
    </row>
    <row r="1799" spans="12:12" ht="14.5" x14ac:dyDescent="0.35">
      <c r="L1799"/>
    </row>
    <row r="1800" spans="12:12" ht="14.5" x14ac:dyDescent="0.35">
      <c r="L1800"/>
    </row>
    <row r="1801" spans="12:12" ht="14.5" x14ac:dyDescent="0.35">
      <c r="L1801"/>
    </row>
    <row r="1802" spans="12:12" ht="14.5" x14ac:dyDescent="0.35">
      <c r="L1802"/>
    </row>
    <row r="1803" spans="12:12" ht="14.5" x14ac:dyDescent="0.35">
      <c r="L1803"/>
    </row>
    <row r="1804" spans="12:12" ht="14.5" x14ac:dyDescent="0.35">
      <c r="L1804"/>
    </row>
    <row r="1805" spans="12:12" ht="14.5" x14ac:dyDescent="0.35">
      <c r="L1805"/>
    </row>
    <row r="1806" spans="12:12" ht="14.5" x14ac:dyDescent="0.35">
      <c r="L1806"/>
    </row>
    <row r="1807" spans="12:12" ht="14.5" x14ac:dyDescent="0.35">
      <c r="L1807"/>
    </row>
    <row r="1808" spans="12:12" ht="14.5" x14ac:dyDescent="0.35">
      <c r="L1808"/>
    </row>
    <row r="1809" spans="12:12" ht="14.5" x14ac:dyDescent="0.35">
      <c r="L1809"/>
    </row>
    <row r="1810" spans="12:12" ht="14.5" x14ac:dyDescent="0.35">
      <c r="L1810"/>
    </row>
    <row r="1811" spans="12:12" ht="14.5" x14ac:dyDescent="0.35">
      <c r="L1811"/>
    </row>
    <row r="1812" spans="12:12" ht="14.5" x14ac:dyDescent="0.35">
      <c r="L1812"/>
    </row>
    <row r="1813" spans="12:12" ht="14.5" x14ac:dyDescent="0.35">
      <c r="L1813"/>
    </row>
    <row r="1814" spans="12:12" ht="14.5" x14ac:dyDescent="0.35">
      <c r="L1814"/>
    </row>
    <row r="1815" spans="12:12" ht="14.5" x14ac:dyDescent="0.35">
      <c r="L1815"/>
    </row>
    <row r="1816" spans="12:12" ht="14.5" x14ac:dyDescent="0.35">
      <c r="L1816"/>
    </row>
    <row r="1817" spans="12:12" ht="14.5" x14ac:dyDescent="0.35">
      <c r="L1817"/>
    </row>
    <row r="1818" spans="12:12" ht="14.5" x14ac:dyDescent="0.35">
      <c r="L1818"/>
    </row>
    <row r="1819" spans="12:12" ht="14.5" x14ac:dyDescent="0.35">
      <c r="L1819"/>
    </row>
    <row r="1820" spans="12:12" ht="14.5" x14ac:dyDescent="0.35">
      <c r="L1820"/>
    </row>
    <row r="1821" spans="12:12" ht="14.5" x14ac:dyDescent="0.35">
      <c r="L1821"/>
    </row>
    <row r="1822" spans="12:12" ht="14.5" x14ac:dyDescent="0.35">
      <c r="L1822"/>
    </row>
    <row r="1823" spans="12:12" ht="14.5" x14ac:dyDescent="0.35">
      <c r="L1823"/>
    </row>
    <row r="1824" spans="12:12" ht="14.5" x14ac:dyDescent="0.35">
      <c r="L1824"/>
    </row>
    <row r="1825" spans="12:12" ht="14.5" x14ac:dyDescent="0.35">
      <c r="L1825"/>
    </row>
    <row r="1826" spans="12:12" ht="14.5" x14ac:dyDescent="0.35">
      <c r="L1826"/>
    </row>
    <row r="1827" spans="12:12" ht="14.5" x14ac:dyDescent="0.35">
      <c r="L1827"/>
    </row>
    <row r="1828" spans="12:12" ht="14.5" x14ac:dyDescent="0.35">
      <c r="L1828"/>
    </row>
    <row r="1829" spans="12:12" ht="14.5" x14ac:dyDescent="0.35">
      <c r="L1829"/>
    </row>
    <row r="1830" spans="12:12" ht="14.5" x14ac:dyDescent="0.35">
      <c r="L1830"/>
    </row>
    <row r="1831" spans="12:12" ht="14.5" x14ac:dyDescent="0.35">
      <c r="L1831"/>
    </row>
    <row r="1832" spans="12:12" ht="14.5" x14ac:dyDescent="0.35">
      <c r="L1832"/>
    </row>
    <row r="1833" spans="12:12" ht="14.5" x14ac:dyDescent="0.35">
      <c r="L1833"/>
    </row>
    <row r="1834" spans="12:12" ht="14.5" x14ac:dyDescent="0.35">
      <c r="L1834"/>
    </row>
    <row r="1835" spans="12:12" ht="14.5" x14ac:dyDescent="0.35">
      <c r="L1835"/>
    </row>
    <row r="1836" spans="12:12" ht="14.5" x14ac:dyDescent="0.35">
      <c r="L1836"/>
    </row>
    <row r="1837" spans="12:12" ht="14.5" x14ac:dyDescent="0.35">
      <c r="L1837"/>
    </row>
    <row r="1838" spans="12:12" ht="14.5" x14ac:dyDescent="0.35">
      <c r="L1838"/>
    </row>
    <row r="1839" spans="12:12" ht="14.5" x14ac:dyDescent="0.35">
      <c r="L1839"/>
    </row>
    <row r="1840" spans="12:12" ht="14.5" x14ac:dyDescent="0.35">
      <c r="L1840"/>
    </row>
    <row r="1841" spans="12:12" ht="14.5" x14ac:dyDescent="0.35">
      <c r="L1841"/>
    </row>
    <row r="1842" spans="12:12" ht="14.5" x14ac:dyDescent="0.35">
      <c r="L1842"/>
    </row>
    <row r="1843" spans="12:12" ht="14.5" x14ac:dyDescent="0.35">
      <c r="L1843"/>
    </row>
    <row r="1844" spans="12:12" ht="14.5" x14ac:dyDescent="0.35">
      <c r="L1844"/>
    </row>
    <row r="1845" spans="12:12" ht="14.5" x14ac:dyDescent="0.35">
      <c r="L1845"/>
    </row>
    <row r="1846" spans="12:12" ht="14.5" x14ac:dyDescent="0.35">
      <c r="L1846"/>
    </row>
    <row r="1847" spans="12:12" ht="14.5" x14ac:dyDescent="0.35">
      <c r="L1847"/>
    </row>
    <row r="1848" spans="12:12" ht="14.5" x14ac:dyDescent="0.35">
      <c r="L1848"/>
    </row>
    <row r="1849" spans="12:12" ht="14.5" x14ac:dyDescent="0.35">
      <c r="L1849"/>
    </row>
    <row r="1850" spans="12:12" ht="14.5" x14ac:dyDescent="0.35">
      <c r="L1850"/>
    </row>
    <row r="1851" spans="12:12" ht="14.5" x14ac:dyDescent="0.35">
      <c r="L1851"/>
    </row>
    <row r="1852" spans="12:12" ht="14.5" x14ac:dyDescent="0.35">
      <c r="L1852"/>
    </row>
    <row r="1853" spans="12:12" ht="14.5" x14ac:dyDescent="0.35">
      <c r="L1853"/>
    </row>
    <row r="1854" spans="12:12" ht="14.5" x14ac:dyDescent="0.35">
      <c r="L1854"/>
    </row>
    <row r="1855" spans="12:12" ht="14.5" x14ac:dyDescent="0.35">
      <c r="L1855"/>
    </row>
    <row r="1856" spans="12:12" ht="14.5" x14ac:dyDescent="0.35">
      <c r="L1856"/>
    </row>
    <row r="1857" spans="12:12" ht="14.5" x14ac:dyDescent="0.35">
      <c r="L1857"/>
    </row>
    <row r="1858" spans="12:12" ht="14.5" x14ac:dyDescent="0.35">
      <c r="L1858"/>
    </row>
    <row r="1859" spans="12:12" ht="14.5" x14ac:dyDescent="0.35">
      <c r="L1859"/>
    </row>
    <row r="1860" spans="12:12" ht="14.5" x14ac:dyDescent="0.35">
      <c r="L1860"/>
    </row>
    <row r="1861" spans="12:12" ht="14.5" x14ac:dyDescent="0.35">
      <c r="L1861"/>
    </row>
    <row r="1862" spans="12:12" ht="14.5" x14ac:dyDescent="0.35">
      <c r="L1862"/>
    </row>
    <row r="1863" spans="12:12" ht="14.5" x14ac:dyDescent="0.35">
      <c r="L1863"/>
    </row>
    <row r="1864" spans="12:12" ht="14.5" x14ac:dyDescent="0.35">
      <c r="L1864"/>
    </row>
    <row r="1865" spans="12:12" ht="14.5" x14ac:dyDescent="0.35">
      <c r="L1865"/>
    </row>
    <row r="1866" spans="12:12" ht="14.5" x14ac:dyDescent="0.35">
      <c r="L1866"/>
    </row>
    <row r="1867" spans="12:12" ht="14.5" x14ac:dyDescent="0.35">
      <c r="L1867"/>
    </row>
    <row r="1868" spans="12:12" ht="14.5" x14ac:dyDescent="0.35">
      <c r="L1868"/>
    </row>
    <row r="1869" spans="12:12" ht="14.5" x14ac:dyDescent="0.35">
      <c r="L1869"/>
    </row>
    <row r="1870" spans="12:12" ht="14.5" x14ac:dyDescent="0.35">
      <c r="L1870"/>
    </row>
    <row r="1871" spans="12:12" ht="14.5" x14ac:dyDescent="0.35">
      <c r="L1871"/>
    </row>
    <row r="1872" spans="12:12" ht="14.5" x14ac:dyDescent="0.35">
      <c r="L1872"/>
    </row>
    <row r="1873" spans="12:12" ht="14.5" x14ac:dyDescent="0.35">
      <c r="L1873"/>
    </row>
    <row r="1874" spans="12:12" ht="14.5" x14ac:dyDescent="0.35">
      <c r="L1874"/>
    </row>
    <row r="1875" spans="12:12" ht="14.5" x14ac:dyDescent="0.35">
      <c r="L1875"/>
    </row>
    <row r="1876" spans="12:12" ht="14.5" x14ac:dyDescent="0.35">
      <c r="L1876"/>
    </row>
    <row r="1877" spans="12:12" ht="14.5" x14ac:dyDescent="0.35">
      <c r="L1877"/>
    </row>
    <row r="1878" spans="12:12" ht="14.5" x14ac:dyDescent="0.35">
      <c r="L1878"/>
    </row>
    <row r="1879" spans="12:12" ht="14.5" x14ac:dyDescent="0.35">
      <c r="L1879"/>
    </row>
    <row r="1880" spans="12:12" ht="14.5" x14ac:dyDescent="0.35">
      <c r="L1880"/>
    </row>
    <row r="1881" spans="12:12" ht="14.5" x14ac:dyDescent="0.35">
      <c r="L1881"/>
    </row>
    <row r="1882" spans="12:12" ht="14.5" x14ac:dyDescent="0.35">
      <c r="L1882"/>
    </row>
    <row r="1883" spans="12:12" ht="14.5" x14ac:dyDescent="0.35">
      <c r="L1883"/>
    </row>
    <row r="1884" spans="12:12" ht="14.5" x14ac:dyDescent="0.35">
      <c r="L1884"/>
    </row>
    <row r="1885" spans="12:12" ht="14.5" x14ac:dyDescent="0.35">
      <c r="L1885"/>
    </row>
    <row r="1886" spans="12:12" ht="14.5" x14ac:dyDescent="0.35">
      <c r="L1886"/>
    </row>
    <row r="1887" spans="12:12" ht="14.5" x14ac:dyDescent="0.35">
      <c r="L1887"/>
    </row>
    <row r="1888" spans="12:12" ht="14.5" x14ac:dyDescent="0.35">
      <c r="L1888"/>
    </row>
    <row r="1889" spans="12:12" ht="14.5" x14ac:dyDescent="0.35">
      <c r="L1889"/>
    </row>
    <row r="1890" spans="12:12" ht="14.5" x14ac:dyDescent="0.35">
      <c r="L1890"/>
    </row>
    <row r="1891" spans="12:12" ht="14.5" x14ac:dyDescent="0.35">
      <c r="L1891"/>
    </row>
    <row r="1892" spans="12:12" ht="14.5" x14ac:dyDescent="0.35">
      <c r="L1892"/>
    </row>
    <row r="1893" spans="12:12" ht="14.5" x14ac:dyDescent="0.35">
      <c r="L1893"/>
    </row>
    <row r="1894" spans="12:12" ht="14.5" x14ac:dyDescent="0.35">
      <c r="L1894"/>
    </row>
    <row r="1895" spans="12:12" ht="14.5" x14ac:dyDescent="0.35">
      <c r="L1895"/>
    </row>
    <row r="1896" spans="12:12" ht="14.5" x14ac:dyDescent="0.35">
      <c r="L1896"/>
    </row>
    <row r="1897" spans="12:12" ht="14.5" x14ac:dyDescent="0.35">
      <c r="L1897"/>
    </row>
    <row r="1898" spans="12:12" ht="14.5" x14ac:dyDescent="0.35">
      <c r="L1898"/>
    </row>
    <row r="1899" spans="12:12" ht="14.5" x14ac:dyDescent="0.35">
      <c r="L1899"/>
    </row>
    <row r="1900" spans="12:12" ht="14.5" x14ac:dyDescent="0.35">
      <c r="L1900"/>
    </row>
    <row r="1901" spans="12:12" ht="14.5" x14ac:dyDescent="0.35">
      <c r="L1901"/>
    </row>
    <row r="1902" spans="12:12" ht="14.5" x14ac:dyDescent="0.35">
      <c r="L1902"/>
    </row>
    <row r="1903" spans="12:12" ht="14.5" x14ac:dyDescent="0.35">
      <c r="L1903"/>
    </row>
    <row r="1904" spans="12:12" ht="14.5" x14ac:dyDescent="0.35">
      <c r="L1904"/>
    </row>
    <row r="1905" spans="12:12" ht="14.5" x14ac:dyDescent="0.35">
      <c r="L1905"/>
    </row>
    <row r="1906" spans="12:12" ht="14.5" x14ac:dyDescent="0.35">
      <c r="L1906"/>
    </row>
    <row r="1907" spans="12:12" ht="14.5" x14ac:dyDescent="0.35">
      <c r="L1907"/>
    </row>
    <row r="1908" spans="12:12" ht="14.5" x14ac:dyDescent="0.35">
      <c r="L1908"/>
    </row>
    <row r="1909" spans="12:12" ht="14.5" x14ac:dyDescent="0.35">
      <c r="L1909"/>
    </row>
    <row r="1910" spans="12:12" ht="14.5" x14ac:dyDescent="0.35">
      <c r="L1910"/>
    </row>
    <row r="1911" spans="12:12" ht="14.5" x14ac:dyDescent="0.35">
      <c r="L1911"/>
    </row>
    <row r="1912" spans="12:12" ht="14.5" x14ac:dyDescent="0.35">
      <c r="L1912"/>
    </row>
    <row r="1913" spans="12:12" ht="14.5" x14ac:dyDescent="0.35">
      <c r="L1913"/>
    </row>
    <row r="1914" spans="12:12" ht="14.5" x14ac:dyDescent="0.35">
      <c r="L1914"/>
    </row>
    <row r="1915" spans="12:12" ht="14.5" x14ac:dyDescent="0.35">
      <c r="L1915"/>
    </row>
    <row r="1916" spans="12:12" ht="14.5" x14ac:dyDescent="0.35">
      <c r="L1916"/>
    </row>
    <row r="1917" spans="12:12" ht="14.5" x14ac:dyDescent="0.35">
      <c r="L1917"/>
    </row>
    <row r="1918" spans="12:12" ht="14.5" x14ac:dyDescent="0.35">
      <c r="L1918"/>
    </row>
    <row r="1919" spans="12:12" ht="14.5" x14ac:dyDescent="0.35">
      <c r="L1919"/>
    </row>
    <row r="1920" spans="12:12" ht="14.5" x14ac:dyDescent="0.35">
      <c r="L1920"/>
    </row>
    <row r="1921" spans="12:12" ht="14.5" x14ac:dyDescent="0.35">
      <c r="L1921"/>
    </row>
    <row r="1922" spans="12:12" ht="14.5" x14ac:dyDescent="0.35">
      <c r="L1922"/>
    </row>
    <row r="1923" spans="12:12" ht="14.5" x14ac:dyDescent="0.35">
      <c r="L1923"/>
    </row>
    <row r="1924" spans="12:12" ht="14.5" x14ac:dyDescent="0.35">
      <c r="L1924"/>
    </row>
    <row r="1925" spans="12:12" ht="14.5" x14ac:dyDescent="0.35">
      <c r="L1925"/>
    </row>
    <row r="1926" spans="12:12" ht="14.5" x14ac:dyDescent="0.35">
      <c r="L1926"/>
    </row>
    <row r="1927" spans="12:12" ht="14.5" x14ac:dyDescent="0.35">
      <c r="L1927"/>
    </row>
    <row r="1928" spans="12:12" ht="14.5" x14ac:dyDescent="0.35">
      <c r="L1928"/>
    </row>
    <row r="1929" spans="12:12" ht="14.5" x14ac:dyDescent="0.35">
      <c r="L1929"/>
    </row>
    <row r="1930" spans="12:12" ht="14.5" x14ac:dyDescent="0.35">
      <c r="L1930"/>
    </row>
    <row r="1931" spans="12:12" ht="14.5" x14ac:dyDescent="0.35">
      <c r="L1931"/>
    </row>
    <row r="1932" spans="12:12" ht="14.5" x14ac:dyDescent="0.35">
      <c r="L1932"/>
    </row>
    <row r="1933" spans="12:12" ht="14.5" x14ac:dyDescent="0.35">
      <c r="L1933"/>
    </row>
    <row r="1934" spans="12:12" ht="14.5" x14ac:dyDescent="0.35">
      <c r="L1934"/>
    </row>
    <row r="1935" spans="12:12" ht="14.5" x14ac:dyDescent="0.35">
      <c r="L1935"/>
    </row>
    <row r="1936" spans="12:12" ht="14.5" x14ac:dyDescent="0.35">
      <c r="L1936"/>
    </row>
    <row r="1937" spans="12:12" ht="14.5" x14ac:dyDescent="0.35">
      <c r="L1937"/>
    </row>
    <row r="1938" spans="12:12" ht="14.5" x14ac:dyDescent="0.35">
      <c r="L1938"/>
    </row>
    <row r="1939" spans="12:12" ht="14.5" x14ac:dyDescent="0.35">
      <c r="L1939"/>
    </row>
    <row r="1940" spans="12:12" ht="14.5" x14ac:dyDescent="0.35">
      <c r="L1940"/>
    </row>
    <row r="1941" spans="12:12" ht="14.5" x14ac:dyDescent="0.35">
      <c r="L1941"/>
    </row>
    <row r="1942" spans="12:12" ht="14.5" x14ac:dyDescent="0.35">
      <c r="L1942"/>
    </row>
    <row r="1943" spans="12:12" ht="14.5" x14ac:dyDescent="0.35">
      <c r="L1943"/>
    </row>
    <row r="1944" spans="12:12" ht="14.5" x14ac:dyDescent="0.35">
      <c r="L1944"/>
    </row>
    <row r="1945" spans="12:12" ht="14.5" x14ac:dyDescent="0.35">
      <c r="L1945"/>
    </row>
    <row r="1946" spans="12:12" ht="14.5" x14ac:dyDescent="0.35">
      <c r="L1946"/>
    </row>
    <row r="1947" spans="12:12" ht="14.5" x14ac:dyDescent="0.35">
      <c r="L1947"/>
    </row>
    <row r="1948" spans="12:12" ht="14.5" x14ac:dyDescent="0.35">
      <c r="L1948"/>
    </row>
    <row r="1949" spans="12:12" ht="14.5" x14ac:dyDescent="0.35">
      <c r="L1949"/>
    </row>
    <row r="1950" spans="12:12" ht="14.5" x14ac:dyDescent="0.35">
      <c r="L1950"/>
    </row>
    <row r="1951" spans="12:12" ht="14.5" x14ac:dyDescent="0.35">
      <c r="L1951"/>
    </row>
    <row r="1952" spans="12:12" ht="14.5" x14ac:dyDescent="0.35">
      <c r="L1952"/>
    </row>
    <row r="1953" spans="12:12" ht="14.5" x14ac:dyDescent="0.35">
      <c r="L1953"/>
    </row>
    <row r="1954" spans="12:12" ht="14.5" x14ac:dyDescent="0.35">
      <c r="L1954"/>
    </row>
    <row r="1955" spans="12:12" ht="14.5" x14ac:dyDescent="0.35">
      <c r="L1955"/>
    </row>
    <row r="1956" spans="12:12" ht="14.5" x14ac:dyDescent="0.35">
      <c r="L1956"/>
    </row>
    <row r="1957" spans="12:12" ht="14.5" x14ac:dyDescent="0.35">
      <c r="L1957"/>
    </row>
    <row r="1958" spans="12:12" ht="14.5" x14ac:dyDescent="0.35">
      <c r="L1958"/>
    </row>
    <row r="1959" spans="12:12" ht="14.5" x14ac:dyDescent="0.35">
      <c r="L1959"/>
    </row>
    <row r="1960" spans="12:12" ht="14.5" x14ac:dyDescent="0.35">
      <c r="L1960"/>
    </row>
    <row r="1961" spans="12:12" ht="14.5" x14ac:dyDescent="0.35">
      <c r="L1961"/>
    </row>
    <row r="1962" spans="12:12" ht="14.5" x14ac:dyDescent="0.35">
      <c r="L1962"/>
    </row>
    <row r="1963" spans="12:12" ht="14.5" x14ac:dyDescent="0.35">
      <c r="L1963"/>
    </row>
    <row r="1964" spans="12:12" ht="14.5" x14ac:dyDescent="0.35">
      <c r="L1964"/>
    </row>
    <row r="1965" spans="12:12" ht="14.5" x14ac:dyDescent="0.35">
      <c r="L1965"/>
    </row>
    <row r="1966" spans="12:12" ht="14.5" x14ac:dyDescent="0.35">
      <c r="L1966"/>
    </row>
    <row r="1967" spans="12:12" ht="14.5" x14ac:dyDescent="0.35">
      <c r="L1967"/>
    </row>
    <row r="1968" spans="12:12" ht="14.5" x14ac:dyDescent="0.35">
      <c r="L1968"/>
    </row>
    <row r="1969" spans="12:12" ht="14.5" x14ac:dyDescent="0.35">
      <c r="L1969"/>
    </row>
    <row r="1970" spans="12:12" ht="14.5" x14ac:dyDescent="0.35">
      <c r="L1970"/>
    </row>
    <row r="1971" spans="12:12" ht="14.5" x14ac:dyDescent="0.35">
      <c r="L1971"/>
    </row>
    <row r="1972" spans="12:12" ht="14.5" x14ac:dyDescent="0.35">
      <c r="L1972"/>
    </row>
    <row r="1973" spans="12:12" ht="14.5" x14ac:dyDescent="0.35">
      <c r="L1973"/>
    </row>
    <row r="1974" spans="12:12" ht="14.5" x14ac:dyDescent="0.35">
      <c r="L1974"/>
    </row>
    <row r="1975" spans="12:12" ht="14.5" x14ac:dyDescent="0.35">
      <c r="L1975"/>
    </row>
    <row r="1976" spans="12:12" ht="14.5" x14ac:dyDescent="0.35">
      <c r="L1976"/>
    </row>
    <row r="1977" spans="12:12" ht="14.5" x14ac:dyDescent="0.35">
      <c r="L1977"/>
    </row>
    <row r="1978" spans="12:12" ht="14.5" x14ac:dyDescent="0.35">
      <c r="L1978"/>
    </row>
    <row r="1979" spans="12:12" ht="14.5" x14ac:dyDescent="0.35">
      <c r="L1979"/>
    </row>
    <row r="1980" spans="12:12" ht="14.5" x14ac:dyDescent="0.35">
      <c r="L1980"/>
    </row>
    <row r="1981" spans="12:12" ht="14.5" x14ac:dyDescent="0.35">
      <c r="L1981"/>
    </row>
    <row r="1982" spans="12:12" ht="14.5" x14ac:dyDescent="0.35">
      <c r="L1982"/>
    </row>
    <row r="1983" spans="12:12" ht="14.5" x14ac:dyDescent="0.35">
      <c r="L1983"/>
    </row>
    <row r="1984" spans="12:12" ht="14.5" x14ac:dyDescent="0.35">
      <c r="L1984"/>
    </row>
    <row r="1985" spans="12:12" ht="14.5" x14ac:dyDescent="0.35">
      <c r="L1985"/>
    </row>
    <row r="1986" spans="12:12" ht="14.5" x14ac:dyDescent="0.35">
      <c r="L1986"/>
    </row>
    <row r="1987" spans="12:12" ht="14.5" x14ac:dyDescent="0.35">
      <c r="L1987"/>
    </row>
    <row r="1988" spans="12:12" ht="14.5" x14ac:dyDescent="0.35">
      <c r="L1988"/>
    </row>
    <row r="1989" spans="12:12" ht="14.5" x14ac:dyDescent="0.35">
      <c r="L1989"/>
    </row>
    <row r="1990" spans="12:12" ht="14.5" x14ac:dyDescent="0.35">
      <c r="L1990"/>
    </row>
    <row r="1991" spans="12:12" ht="14.5" x14ac:dyDescent="0.35">
      <c r="L1991"/>
    </row>
    <row r="1992" spans="12:12" ht="14.5" x14ac:dyDescent="0.35">
      <c r="L1992"/>
    </row>
    <row r="1993" spans="12:12" ht="14.5" x14ac:dyDescent="0.35">
      <c r="L1993"/>
    </row>
    <row r="1994" spans="12:12" ht="14.5" x14ac:dyDescent="0.35">
      <c r="L1994"/>
    </row>
    <row r="1995" spans="12:12" ht="14.5" x14ac:dyDescent="0.35">
      <c r="L1995"/>
    </row>
    <row r="1996" spans="12:12" ht="14.5" x14ac:dyDescent="0.35">
      <c r="L1996"/>
    </row>
    <row r="1997" spans="12:12" ht="14.5" x14ac:dyDescent="0.35">
      <c r="L1997"/>
    </row>
    <row r="1998" spans="12:12" ht="14.5" x14ac:dyDescent="0.35">
      <c r="L1998"/>
    </row>
    <row r="1999" spans="12:12" ht="14.5" x14ac:dyDescent="0.35">
      <c r="L1999"/>
    </row>
    <row r="2000" spans="12:12" ht="14.5" x14ac:dyDescent="0.35">
      <c r="L2000"/>
    </row>
    <row r="2001" spans="12:12" ht="14.5" x14ac:dyDescent="0.35">
      <c r="L2001"/>
    </row>
    <row r="2002" spans="12:12" ht="14.5" x14ac:dyDescent="0.35">
      <c r="L2002"/>
    </row>
    <row r="2003" spans="12:12" ht="14.5" x14ac:dyDescent="0.35">
      <c r="L2003"/>
    </row>
    <row r="2004" spans="12:12" ht="14.5" x14ac:dyDescent="0.35">
      <c r="L2004"/>
    </row>
    <row r="2005" spans="12:12" ht="14.5" x14ac:dyDescent="0.35">
      <c r="L2005"/>
    </row>
    <row r="2006" spans="12:12" ht="14.5" x14ac:dyDescent="0.35">
      <c r="L2006"/>
    </row>
    <row r="2007" spans="12:12" ht="14.5" x14ac:dyDescent="0.35">
      <c r="L2007"/>
    </row>
    <row r="2008" spans="12:12" ht="14.5" x14ac:dyDescent="0.35">
      <c r="L2008"/>
    </row>
    <row r="2009" spans="12:12" ht="14.5" x14ac:dyDescent="0.35">
      <c r="L2009"/>
    </row>
    <row r="2010" spans="12:12" ht="14.5" x14ac:dyDescent="0.35">
      <c r="L2010"/>
    </row>
    <row r="2011" spans="12:12" ht="14.5" x14ac:dyDescent="0.35">
      <c r="L2011"/>
    </row>
    <row r="2012" spans="12:12" ht="14.5" x14ac:dyDescent="0.35">
      <c r="L2012"/>
    </row>
    <row r="2013" spans="12:12" ht="14.5" x14ac:dyDescent="0.35">
      <c r="L2013"/>
    </row>
    <row r="2014" spans="12:12" ht="14.5" x14ac:dyDescent="0.35">
      <c r="L2014"/>
    </row>
    <row r="2015" spans="12:12" ht="14.5" x14ac:dyDescent="0.35">
      <c r="L2015"/>
    </row>
    <row r="2016" spans="12:12" ht="14.5" x14ac:dyDescent="0.35">
      <c r="L2016"/>
    </row>
    <row r="2017" spans="12:12" ht="14.5" x14ac:dyDescent="0.35">
      <c r="L2017"/>
    </row>
    <row r="2018" spans="12:12" ht="14.5" x14ac:dyDescent="0.35">
      <c r="L2018"/>
    </row>
    <row r="2019" spans="12:12" ht="14.5" x14ac:dyDescent="0.35">
      <c r="L2019"/>
    </row>
    <row r="2020" spans="12:12" ht="14.5" x14ac:dyDescent="0.35">
      <c r="L2020"/>
    </row>
    <row r="2021" spans="12:12" ht="14.5" x14ac:dyDescent="0.35">
      <c r="L2021"/>
    </row>
    <row r="2022" spans="12:12" ht="14.5" x14ac:dyDescent="0.35">
      <c r="L2022"/>
    </row>
    <row r="2023" spans="12:12" ht="14.5" x14ac:dyDescent="0.35">
      <c r="L2023"/>
    </row>
    <row r="2024" spans="12:12" ht="14.5" x14ac:dyDescent="0.35">
      <c r="L2024"/>
    </row>
    <row r="2025" spans="12:12" ht="14.5" x14ac:dyDescent="0.35">
      <c r="L2025"/>
    </row>
    <row r="2026" spans="12:12" ht="14.5" x14ac:dyDescent="0.35">
      <c r="L2026"/>
    </row>
    <row r="2027" spans="12:12" ht="14.5" x14ac:dyDescent="0.35">
      <c r="L2027"/>
    </row>
    <row r="2028" spans="12:12" ht="14.5" x14ac:dyDescent="0.35">
      <c r="L2028"/>
    </row>
    <row r="2029" spans="12:12" ht="14.5" x14ac:dyDescent="0.35">
      <c r="L2029"/>
    </row>
    <row r="2030" spans="12:12" ht="14.5" x14ac:dyDescent="0.35">
      <c r="L2030"/>
    </row>
    <row r="2031" spans="12:12" ht="14.5" x14ac:dyDescent="0.35">
      <c r="L2031"/>
    </row>
    <row r="2032" spans="12:12" ht="14.5" x14ac:dyDescent="0.35">
      <c r="L2032"/>
    </row>
    <row r="2033" spans="12:12" ht="14.5" x14ac:dyDescent="0.35">
      <c r="L2033"/>
    </row>
    <row r="2034" spans="12:12" ht="14.5" x14ac:dyDescent="0.35">
      <c r="L2034"/>
    </row>
    <row r="2035" spans="12:12" ht="14.5" x14ac:dyDescent="0.35">
      <c r="L2035"/>
    </row>
    <row r="2036" spans="12:12" ht="14.5" x14ac:dyDescent="0.35">
      <c r="L2036"/>
    </row>
    <row r="2037" spans="12:12" ht="14.5" x14ac:dyDescent="0.35">
      <c r="L2037"/>
    </row>
    <row r="2038" spans="12:12" ht="14.5" x14ac:dyDescent="0.35">
      <c r="L2038"/>
    </row>
    <row r="2039" spans="12:12" ht="14.5" x14ac:dyDescent="0.35">
      <c r="L2039"/>
    </row>
    <row r="2040" spans="12:12" ht="14.5" x14ac:dyDescent="0.35">
      <c r="L2040"/>
    </row>
    <row r="2041" spans="12:12" ht="14.5" x14ac:dyDescent="0.35">
      <c r="L2041"/>
    </row>
    <row r="2042" spans="12:12" ht="14.5" x14ac:dyDescent="0.35">
      <c r="L2042"/>
    </row>
    <row r="2043" spans="12:12" ht="14.5" x14ac:dyDescent="0.35">
      <c r="L2043"/>
    </row>
    <row r="2044" spans="12:12" ht="14.5" x14ac:dyDescent="0.35">
      <c r="L2044"/>
    </row>
    <row r="2045" spans="12:12" ht="14.5" x14ac:dyDescent="0.35">
      <c r="L2045"/>
    </row>
    <row r="2046" spans="12:12" ht="14.5" x14ac:dyDescent="0.35">
      <c r="L2046"/>
    </row>
    <row r="2047" spans="12:12" ht="14.5" x14ac:dyDescent="0.35">
      <c r="L2047"/>
    </row>
    <row r="2048" spans="12:12" ht="14.5" x14ac:dyDescent="0.35">
      <c r="L2048"/>
    </row>
    <row r="2049" spans="12:12" ht="14.5" x14ac:dyDescent="0.35">
      <c r="L2049"/>
    </row>
    <row r="2050" spans="12:12" ht="14.5" x14ac:dyDescent="0.35">
      <c r="L2050"/>
    </row>
    <row r="2051" spans="12:12" ht="14.5" x14ac:dyDescent="0.35">
      <c r="L2051"/>
    </row>
    <row r="2052" spans="12:12" ht="14.5" x14ac:dyDescent="0.35">
      <c r="L2052"/>
    </row>
    <row r="2053" spans="12:12" ht="14.5" x14ac:dyDescent="0.35">
      <c r="L2053"/>
    </row>
    <row r="2054" spans="12:12" ht="14.5" x14ac:dyDescent="0.35">
      <c r="L2054"/>
    </row>
    <row r="2055" spans="12:12" ht="14.5" x14ac:dyDescent="0.35">
      <c r="L2055"/>
    </row>
    <row r="2056" spans="12:12" ht="14.5" x14ac:dyDescent="0.35">
      <c r="L2056"/>
    </row>
    <row r="2057" spans="12:12" ht="14.5" x14ac:dyDescent="0.35">
      <c r="L2057"/>
    </row>
    <row r="2058" spans="12:12" ht="14.5" x14ac:dyDescent="0.35">
      <c r="L2058"/>
    </row>
    <row r="2059" spans="12:12" ht="14.5" x14ac:dyDescent="0.35">
      <c r="L2059"/>
    </row>
    <row r="2060" spans="12:12" ht="14.5" x14ac:dyDescent="0.35">
      <c r="L2060"/>
    </row>
    <row r="2061" spans="12:12" ht="14.5" x14ac:dyDescent="0.35">
      <c r="L2061"/>
    </row>
    <row r="2062" spans="12:12" ht="14.5" x14ac:dyDescent="0.35">
      <c r="L2062"/>
    </row>
    <row r="2063" spans="12:12" ht="14.5" x14ac:dyDescent="0.35">
      <c r="L2063"/>
    </row>
    <row r="2064" spans="12:12" ht="14.5" x14ac:dyDescent="0.35">
      <c r="L2064"/>
    </row>
    <row r="2065" spans="12:12" ht="14.5" x14ac:dyDescent="0.35">
      <c r="L2065"/>
    </row>
    <row r="2066" spans="12:12" ht="14.5" x14ac:dyDescent="0.35">
      <c r="L2066"/>
    </row>
    <row r="2067" spans="12:12" ht="14.5" x14ac:dyDescent="0.35">
      <c r="L2067"/>
    </row>
    <row r="2068" spans="12:12" ht="14.5" x14ac:dyDescent="0.35">
      <c r="L2068"/>
    </row>
    <row r="2069" spans="12:12" ht="14.5" x14ac:dyDescent="0.35">
      <c r="L2069"/>
    </row>
    <row r="2070" spans="12:12" ht="14.5" x14ac:dyDescent="0.35">
      <c r="L2070"/>
    </row>
    <row r="2071" spans="12:12" ht="14.5" x14ac:dyDescent="0.35">
      <c r="L2071"/>
    </row>
    <row r="2072" spans="12:12" ht="14.5" x14ac:dyDescent="0.35">
      <c r="L2072"/>
    </row>
    <row r="2073" spans="12:12" ht="14.5" x14ac:dyDescent="0.35">
      <c r="L2073"/>
    </row>
    <row r="2074" spans="12:12" ht="14.5" x14ac:dyDescent="0.35">
      <c r="L2074"/>
    </row>
    <row r="2075" spans="12:12" ht="14.5" x14ac:dyDescent="0.35">
      <c r="L2075"/>
    </row>
    <row r="2076" spans="12:12" ht="14.5" x14ac:dyDescent="0.35">
      <c r="L2076"/>
    </row>
    <row r="2077" spans="12:12" ht="14.5" x14ac:dyDescent="0.35">
      <c r="L2077"/>
    </row>
    <row r="2078" spans="12:12" ht="14.5" x14ac:dyDescent="0.35">
      <c r="L2078"/>
    </row>
    <row r="2079" spans="12:12" ht="14.5" x14ac:dyDescent="0.35">
      <c r="L2079"/>
    </row>
    <row r="2080" spans="12:12" ht="14.5" x14ac:dyDescent="0.35">
      <c r="L2080"/>
    </row>
    <row r="2081" spans="12:12" ht="14.5" x14ac:dyDescent="0.35">
      <c r="L2081"/>
    </row>
    <row r="2082" spans="12:12" ht="14.5" x14ac:dyDescent="0.35">
      <c r="L2082"/>
    </row>
    <row r="2083" spans="12:12" ht="14.5" x14ac:dyDescent="0.35">
      <c r="L2083"/>
    </row>
    <row r="2084" spans="12:12" ht="14.5" x14ac:dyDescent="0.35">
      <c r="L2084"/>
    </row>
    <row r="2085" spans="12:12" ht="14.5" x14ac:dyDescent="0.35">
      <c r="L2085"/>
    </row>
    <row r="2086" spans="12:12" ht="14.5" x14ac:dyDescent="0.35">
      <c r="L2086"/>
    </row>
    <row r="2087" spans="12:12" ht="14.5" x14ac:dyDescent="0.35">
      <c r="L2087"/>
    </row>
    <row r="2088" spans="12:12" ht="14.5" x14ac:dyDescent="0.35">
      <c r="L2088"/>
    </row>
    <row r="2089" spans="12:12" ht="14.5" x14ac:dyDescent="0.35">
      <c r="L2089"/>
    </row>
    <row r="2090" spans="12:12" ht="14.5" x14ac:dyDescent="0.35">
      <c r="L2090"/>
    </row>
    <row r="2091" spans="12:12" ht="14.5" x14ac:dyDescent="0.35">
      <c r="L2091"/>
    </row>
    <row r="2092" spans="12:12" ht="14.5" x14ac:dyDescent="0.35">
      <c r="L2092"/>
    </row>
    <row r="2093" spans="12:12" ht="14.5" x14ac:dyDescent="0.35">
      <c r="L2093"/>
    </row>
    <row r="2094" spans="12:12" ht="14.5" x14ac:dyDescent="0.35">
      <c r="L2094"/>
    </row>
    <row r="2095" spans="12:12" ht="14.5" x14ac:dyDescent="0.35">
      <c r="L2095"/>
    </row>
    <row r="2096" spans="12:12" ht="14.5" x14ac:dyDescent="0.35">
      <c r="L2096"/>
    </row>
    <row r="2097" spans="12:12" ht="14.5" x14ac:dyDescent="0.35">
      <c r="L2097"/>
    </row>
    <row r="2098" spans="12:12" ht="14.5" x14ac:dyDescent="0.35">
      <c r="L2098"/>
    </row>
    <row r="2099" spans="12:12" ht="14.5" x14ac:dyDescent="0.35">
      <c r="L2099"/>
    </row>
    <row r="2100" spans="12:12" ht="14.5" x14ac:dyDescent="0.35">
      <c r="L2100"/>
    </row>
    <row r="2101" spans="12:12" ht="14.5" x14ac:dyDescent="0.35">
      <c r="L2101"/>
    </row>
    <row r="2102" spans="12:12" ht="14.5" x14ac:dyDescent="0.35">
      <c r="L2102"/>
    </row>
    <row r="2103" spans="12:12" ht="14.5" x14ac:dyDescent="0.35">
      <c r="L2103"/>
    </row>
    <row r="2104" spans="12:12" ht="14.5" x14ac:dyDescent="0.35">
      <c r="L2104"/>
    </row>
    <row r="2105" spans="12:12" ht="14.5" x14ac:dyDescent="0.35">
      <c r="L2105"/>
    </row>
    <row r="2106" spans="12:12" ht="14.5" x14ac:dyDescent="0.35">
      <c r="L2106"/>
    </row>
    <row r="2107" spans="12:12" ht="14.5" x14ac:dyDescent="0.35">
      <c r="L2107"/>
    </row>
    <row r="2108" spans="12:12" ht="14.5" x14ac:dyDescent="0.35">
      <c r="L2108"/>
    </row>
    <row r="2109" spans="12:12" ht="14.5" x14ac:dyDescent="0.35">
      <c r="L2109"/>
    </row>
    <row r="2110" spans="12:12" ht="14.5" x14ac:dyDescent="0.35">
      <c r="L2110"/>
    </row>
    <row r="2111" spans="12:12" ht="14.5" x14ac:dyDescent="0.35">
      <c r="L2111"/>
    </row>
    <row r="2112" spans="12:12" ht="14.5" x14ac:dyDescent="0.35">
      <c r="L2112"/>
    </row>
    <row r="2113" spans="12:12" ht="14.5" x14ac:dyDescent="0.35">
      <c r="L2113"/>
    </row>
    <row r="2114" spans="12:12" ht="14.5" x14ac:dyDescent="0.35">
      <c r="L2114"/>
    </row>
    <row r="2115" spans="12:12" ht="14.5" x14ac:dyDescent="0.35">
      <c r="L2115"/>
    </row>
    <row r="2116" spans="12:12" ht="14.5" x14ac:dyDescent="0.35">
      <c r="L2116"/>
    </row>
    <row r="2117" spans="12:12" ht="14.5" x14ac:dyDescent="0.35">
      <c r="L2117"/>
    </row>
    <row r="2118" spans="12:12" ht="14.5" x14ac:dyDescent="0.35">
      <c r="L2118"/>
    </row>
    <row r="2119" spans="12:12" ht="14.5" x14ac:dyDescent="0.35">
      <c r="L2119"/>
    </row>
    <row r="2120" spans="12:12" ht="14.5" x14ac:dyDescent="0.35">
      <c r="L2120"/>
    </row>
    <row r="2121" spans="12:12" ht="14.5" x14ac:dyDescent="0.35">
      <c r="L2121"/>
    </row>
    <row r="2122" spans="12:12" ht="14.5" x14ac:dyDescent="0.35">
      <c r="L2122"/>
    </row>
    <row r="2123" spans="12:12" ht="14.5" x14ac:dyDescent="0.35">
      <c r="L2123"/>
    </row>
    <row r="2124" spans="12:12" ht="14.5" x14ac:dyDescent="0.35">
      <c r="L2124"/>
    </row>
    <row r="2125" spans="12:12" ht="14.5" x14ac:dyDescent="0.35">
      <c r="L2125"/>
    </row>
    <row r="2126" spans="12:12" ht="14.5" x14ac:dyDescent="0.35">
      <c r="L2126"/>
    </row>
    <row r="2127" spans="12:12" ht="14.5" x14ac:dyDescent="0.35">
      <c r="L2127"/>
    </row>
    <row r="2128" spans="12:12" ht="14.5" x14ac:dyDescent="0.35">
      <c r="L2128"/>
    </row>
    <row r="2129" spans="12:12" ht="14.5" x14ac:dyDescent="0.35">
      <c r="L2129"/>
    </row>
    <row r="2130" spans="12:12" ht="14.5" x14ac:dyDescent="0.35">
      <c r="L2130"/>
    </row>
    <row r="2131" spans="12:12" ht="14.5" x14ac:dyDescent="0.35">
      <c r="L2131"/>
    </row>
    <row r="2132" spans="12:12" ht="14.5" x14ac:dyDescent="0.35">
      <c r="L2132"/>
    </row>
    <row r="2133" spans="12:12" ht="14.5" x14ac:dyDescent="0.35">
      <c r="L2133"/>
    </row>
    <row r="2134" spans="12:12" ht="14.5" x14ac:dyDescent="0.35">
      <c r="L2134"/>
    </row>
    <row r="2135" spans="12:12" ht="14.5" x14ac:dyDescent="0.35">
      <c r="L2135"/>
    </row>
    <row r="2136" spans="12:12" ht="14.5" x14ac:dyDescent="0.35">
      <c r="L2136"/>
    </row>
    <row r="2137" spans="12:12" ht="14.5" x14ac:dyDescent="0.35">
      <c r="L2137"/>
    </row>
    <row r="2138" spans="12:12" ht="14.5" x14ac:dyDescent="0.35">
      <c r="L2138"/>
    </row>
    <row r="2139" spans="12:12" ht="14.5" x14ac:dyDescent="0.35">
      <c r="L2139"/>
    </row>
    <row r="2140" spans="12:12" ht="14.5" x14ac:dyDescent="0.35">
      <c r="L2140"/>
    </row>
    <row r="2141" spans="12:12" ht="14.5" x14ac:dyDescent="0.35">
      <c r="L2141"/>
    </row>
    <row r="2142" spans="12:12" ht="14.5" x14ac:dyDescent="0.35">
      <c r="L2142"/>
    </row>
    <row r="2143" spans="12:12" ht="14.5" x14ac:dyDescent="0.35">
      <c r="L2143"/>
    </row>
    <row r="2144" spans="12:12" ht="14.5" x14ac:dyDescent="0.35">
      <c r="L2144"/>
    </row>
    <row r="2145" spans="12:12" ht="14.5" x14ac:dyDescent="0.35">
      <c r="L2145"/>
    </row>
    <row r="2146" spans="12:12" ht="14.5" x14ac:dyDescent="0.35">
      <c r="L2146"/>
    </row>
    <row r="2147" spans="12:12" ht="14.5" x14ac:dyDescent="0.35">
      <c r="L2147"/>
    </row>
    <row r="2148" spans="12:12" ht="14.5" x14ac:dyDescent="0.35">
      <c r="L2148"/>
    </row>
    <row r="2149" spans="12:12" ht="14.5" x14ac:dyDescent="0.35">
      <c r="L2149"/>
    </row>
    <row r="2150" spans="12:12" ht="14.5" x14ac:dyDescent="0.35">
      <c r="L2150"/>
    </row>
    <row r="2151" spans="12:12" ht="14.5" x14ac:dyDescent="0.35">
      <c r="L2151"/>
    </row>
    <row r="2152" spans="12:12" ht="14.5" x14ac:dyDescent="0.35">
      <c r="L2152"/>
    </row>
    <row r="2153" spans="12:12" ht="14.5" x14ac:dyDescent="0.35">
      <c r="L2153"/>
    </row>
    <row r="2154" spans="12:12" ht="14.5" x14ac:dyDescent="0.35">
      <c r="L2154"/>
    </row>
    <row r="2155" spans="12:12" ht="14.5" x14ac:dyDescent="0.35">
      <c r="L2155"/>
    </row>
    <row r="2156" spans="12:12" ht="14.5" x14ac:dyDescent="0.35">
      <c r="L2156"/>
    </row>
    <row r="2157" spans="12:12" ht="14.5" x14ac:dyDescent="0.35">
      <c r="L2157"/>
    </row>
    <row r="2158" spans="12:12" ht="14.5" x14ac:dyDescent="0.35">
      <c r="L2158"/>
    </row>
    <row r="2159" spans="12:12" ht="14.5" x14ac:dyDescent="0.35">
      <c r="L2159"/>
    </row>
    <row r="2160" spans="12:12" ht="14.5" x14ac:dyDescent="0.35">
      <c r="L2160"/>
    </row>
    <row r="2161" spans="12:12" ht="14.5" x14ac:dyDescent="0.35">
      <c r="L2161"/>
    </row>
    <row r="2162" spans="12:12" ht="14.5" x14ac:dyDescent="0.35">
      <c r="L2162"/>
    </row>
    <row r="2163" spans="12:12" ht="14.5" x14ac:dyDescent="0.35">
      <c r="L2163"/>
    </row>
    <row r="2164" spans="12:12" ht="14.5" x14ac:dyDescent="0.35">
      <c r="L2164"/>
    </row>
    <row r="2165" spans="12:12" ht="14.5" x14ac:dyDescent="0.35">
      <c r="L2165"/>
    </row>
    <row r="2166" spans="12:12" ht="14.5" x14ac:dyDescent="0.35">
      <c r="L2166"/>
    </row>
    <row r="2167" spans="12:12" ht="14.5" x14ac:dyDescent="0.35">
      <c r="L2167"/>
    </row>
    <row r="2168" spans="12:12" ht="14.5" x14ac:dyDescent="0.35">
      <c r="L2168"/>
    </row>
    <row r="2169" spans="12:12" ht="14.5" x14ac:dyDescent="0.35">
      <c r="L2169"/>
    </row>
    <row r="2170" spans="12:12" ht="14.5" x14ac:dyDescent="0.35">
      <c r="L2170"/>
    </row>
    <row r="2171" spans="12:12" ht="14.5" x14ac:dyDescent="0.35">
      <c r="L2171"/>
    </row>
    <row r="2172" spans="12:12" ht="14.5" x14ac:dyDescent="0.35">
      <c r="L2172"/>
    </row>
    <row r="2173" spans="12:12" ht="14.5" x14ac:dyDescent="0.35">
      <c r="L2173"/>
    </row>
    <row r="2174" spans="12:12" ht="14.5" x14ac:dyDescent="0.35">
      <c r="L2174"/>
    </row>
    <row r="2175" spans="12:12" ht="14.5" x14ac:dyDescent="0.35">
      <c r="L2175"/>
    </row>
    <row r="2176" spans="12:12" ht="14.5" x14ac:dyDescent="0.35">
      <c r="L2176"/>
    </row>
    <row r="2177" spans="12:12" ht="14.5" x14ac:dyDescent="0.35">
      <c r="L2177"/>
    </row>
    <row r="2178" spans="12:12" ht="14.5" x14ac:dyDescent="0.35">
      <c r="L2178"/>
    </row>
    <row r="2179" spans="12:12" ht="14.5" x14ac:dyDescent="0.35">
      <c r="L2179"/>
    </row>
    <row r="2180" spans="12:12" ht="14.5" x14ac:dyDescent="0.35">
      <c r="L2180"/>
    </row>
    <row r="2181" spans="12:12" ht="14.5" x14ac:dyDescent="0.35">
      <c r="L2181"/>
    </row>
    <row r="2182" spans="12:12" ht="14.5" x14ac:dyDescent="0.35">
      <c r="L2182"/>
    </row>
    <row r="2183" spans="12:12" ht="14.5" x14ac:dyDescent="0.35">
      <c r="L2183"/>
    </row>
    <row r="2184" spans="12:12" ht="14.5" x14ac:dyDescent="0.35">
      <c r="L2184"/>
    </row>
    <row r="2185" spans="12:12" ht="14.5" x14ac:dyDescent="0.35">
      <c r="L2185"/>
    </row>
    <row r="2186" spans="12:12" ht="14.5" x14ac:dyDescent="0.35">
      <c r="L2186"/>
    </row>
    <row r="2187" spans="12:12" ht="14.5" x14ac:dyDescent="0.35">
      <c r="L2187"/>
    </row>
    <row r="2188" spans="12:12" ht="14.5" x14ac:dyDescent="0.35">
      <c r="L2188"/>
    </row>
    <row r="2189" spans="12:12" ht="14.5" x14ac:dyDescent="0.35">
      <c r="L2189"/>
    </row>
    <row r="2190" spans="12:12" ht="14.5" x14ac:dyDescent="0.35">
      <c r="L2190"/>
    </row>
    <row r="2191" spans="12:12" ht="14.5" x14ac:dyDescent="0.35">
      <c r="L2191"/>
    </row>
    <row r="2192" spans="12:12" ht="14.5" x14ac:dyDescent="0.35">
      <c r="L2192"/>
    </row>
    <row r="2193" spans="12:12" ht="14.5" x14ac:dyDescent="0.35">
      <c r="L2193"/>
    </row>
    <row r="2194" spans="12:12" ht="14.5" x14ac:dyDescent="0.35">
      <c r="L2194"/>
    </row>
    <row r="2195" spans="12:12" ht="14.5" x14ac:dyDescent="0.35">
      <c r="L2195"/>
    </row>
    <row r="2196" spans="12:12" ht="14.5" x14ac:dyDescent="0.35">
      <c r="L2196"/>
    </row>
    <row r="2197" spans="12:12" ht="14.5" x14ac:dyDescent="0.35">
      <c r="L2197"/>
    </row>
    <row r="2198" spans="12:12" ht="14.5" x14ac:dyDescent="0.35">
      <c r="L2198"/>
    </row>
    <row r="2199" spans="12:12" ht="14.5" x14ac:dyDescent="0.35">
      <c r="L2199"/>
    </row>
    <row r="2200" spans="12:12" ht="14.5" x14ac:dyDescent="0.35">
      <c r="L2200"/>
    </row>
    <row r="2201" spans="12:12" ht="14.5" x14ac:dyDescent="0.35">
      <c r="L2201"/>
    </row>
    <row r="2202" spans="12:12" ht="14.5" x14ac:dyDescent="0.35">
      <c r="L2202"/>
    </row>
    <row r="2203" spans="12:12" ht="14.5" x14ac:dyDescent="0.35">
      <c r="L2203"/>
    </row>
    <row r="2204" spans="12:12" ht="14.5" x14ac:dyDescent="0.35">
      <c r="L2204"/>
    </row>
    <row r="2205" spans="12:12" ht="14.5" x14ac:dyDescent="0.35">
      <c r="L2205"/>
    </row>
    <row r="2206" spans="12:12" ht="14.5" x14ac:dyDescent="0.35">
      <c r="L2206"/>
    </row>
    <row r="2207" spans="12:12" ht="14.5" x14ac:dyDescent="0.35">
      <c r="L2207"/>
    </row>
    <row r="2208" spans="12:12" ht="14.5" x14ac:dyDescent="0.35">
      <c r="L2208"/>
    </row>
    <row r="2209" spans="12:12" ht="14.5" x14ac:dyDescent="0.35">
      <c r="L2209"/>
    </row>
    <row r="2210" spans="12:12" ht="14.5" x14ac:dyDescent="0.35">
      <c r="L2210"/>
    </row>
    <row r="2211" spans="12:12" ht="14.5" x14ac:dyDescent="0.35">
      <c r="L2211"/>
    </row>
    <row r="2212" spans="12:12" ht="14.5" x14ac:dyDescent="0.35">
      <c r="L2212"/>
    </row>
    <row r="2213" spans="12:12" ht="14.5" x14ac:dyDescent="0.35">
      <c r="L2213"/>
    </row>
    <row r="2214" spans="12:12" ht="14.5" x14ac:dyDescent="0.35">
      <c r="L2214"/>
    </row>
    <row r="2215" spans="12:12" ht="14.5" x14ac:dyDescent="0.35">
      <c r="L2215"/>
    </row>
    <row r="2216" spans="12:12" ht="14.5" x14ac:dyDescent="0.35">
      <c r="L2216"/>
    </row>
    <row r="2217" spans="12:12" ht="14.5" x14ac:dyDescent="0.35">
      <c r="L2217"/>
    </row>
    <row r="2218" spans="12:12" ht="14.5" x14ac:dyDescent="0.35">
      <c r="L2218"/>
    </row>
    <row r="2219" spans="12:12" ht="14.5" x14ac:dyDescent="0.35">
      <c r="L2219"/>
    </row>
    <row r="2220" spans="12:12" ht="14.5" x14ac:dyDescent="0.35">
      <c r="L2220"/>
    </row>
    <row r="2221" spans="12:12" ht="14.5" x14ac:dyDescent="0.35">
      <c r="L2221"/>
    </row>
    <row r="2222" spans="12:12" ht="14.5" x14ac:dyDescent="0.35">
      <c r="L2222"/>
    </row>
    <row r="2223" spans="12:12" ht="14.5" x14ac:dyDescent="0.35">
      <c r="L2223"/>
    </row>
    <row r="2224" spans="12:12" ht="14.5" x14ac:dyDescent="0.35">
      <c r="L2224"/>
    </row>
    <row r="2225" spans="12:12" ht="14.5" x14ac:dyDescent="0.35">
      <c r="L2225"/>
    </row>
    <row r="2226" spans="12:12" ht="14.5" x14ac:dyDescent="0.35">
      <c r="L2226"/>
    </row>
    <row r="2227" spans="12:12" ht="14.5" x14ac:dyDescent="0.35">
      <c r="L2227"/>
    </row>
    <row r="2228" spans="12:12" ht="14.5" x14ac:dyDescent="0.35">
      <c r="L2228"/>
    </row>
    <row r="2229" spans="12:12" ht="14.5" x14ac:dyDescent="0.35">
      <c r="L2229"/>
    </row>
    <row r="2230" spans="12:12" ht="14.5" x14ac:dyDescent="0.35">
      <c r="L2230"/>
    </row>
    <row r="2231" spans="12:12" ht="14.5" x14ac:dyDescent="0.35">
      <c r="L2231"/>
    </row>
    <row r="2232" spans="12:12" ht="14.5" x14ac:dyDescent="0.35">
      <c r="L2232"/>
    </row>
    <row r="2233" spans="12:12" ht="14.5" x14ac:dyDescent="0.35">
      <c r="L2233"/>
    </row>
    <row r="2234" spans="12:12" ht="14.5" x14ac:dyDescent="0.35">
      <c r="L2234"/>
    </row>
    <row r="2235" spans="12:12" ht="14.5" x14ac:dyDescent="0.35">
      <c r="L2235"/>
    </row>
    <row r="2236" spans="12:12" ht="14.5" x14ac:dyDescent="0.35">
      <c r="L2236"/>
    </row>
    <row r="2237" spans="12:12" ht="14.5" x14ac:dyDescent="0.35">
      <c r="L2237"/>
    </row>
    <row r="2238" spans="12:12" ht="14.5" x14ac:dyDescent="0.35">
      <c r="L2238"/>
    </row>
    <row r="2239" spans="12:12" ht="14.5" x14ac:dyDescent="0.35">
      <c r="L2239"/>
    </row>
    <row r="2240" spans="12:12" ht="14.5" x14ac:dyDescent="0.35">
      <c r="L2240"/>
    </row>
    <row r="2241" spans="12:12" ht="14.5" x14ac:dyDescent="0.35">
      <c r="L2241"/>
    </row>
    <row r="2242" spans="12:12" ht="14.5" x14ac:dyDescent="0.35">
      <c r="L2242"/>
    </row>
    <row r="2243" spans="12:12" ht="14.5" x14ac:dyDescent="0.35">
      <c r="L2243"/>
    </row>
    <row r="2244" spans="12:12" ht="14.5" x14ac:dyDescent="0.35">
      <c r="L2244"/>
    </row>
    <row r="2245" spans="12:12" ht="14.5" x14ac:dyDescent="0.35">
      <c r="L2245"/>
    </row>
    <row r="2246" spans="12:12" ht="14.5" x14ac:dyDescent="0.35">
      <c r="L2246"/>
    </row>
    <row r="2247" spans="12:12" ht="14.5" x14ac:dyDescent="0.35">
      <c r="L2247"/>
    </row>
    <row r="2248" spans="12:12" ht="14.5" x14ac:dyDescent="0.35">
      <c r="L2248"/>
    </row>
    <row r="2249" spans="12:12" ht="14.5" x14ac:dyDescent="0.35">
      <c r="L2249"/>
    </row>
    <row r="2250" spans="12:12" ht="14.5" x14ac:dyDescent="0.35">
      <c r="L2250"/>
    </row>
    <row r="2251" spans="12:12" ht="14.5" x14ac:dyDescent="0.35">
      <c r="L2251"/>
    </row>
    <row r="2252" spans="12:12" ht="14.5" x14ac:dyDescent="0.35">
      <c r="L2252"/>
    </row>
    <row r="2253" spans="12:12" ht="14.5" x14ac:dyDescent="0.35">
      <c r="L2253"/>
    </row>
    <row r="2254" spans="12:12" ht="14.5" x14ac:dyDescent="0.35">
      <c r="L2254"/>
    </row>
    <row r="2255" spans="12:12" ht="14.5" x14ac:dyDescent="0.35">
      <c r="L2255"/>
    </row>
    <row r="2256" spans="12:12" ht="14.5" x14ac:dyDescent="0.35">
      <c r="L2256"/>
    </row>
    <row r="2257" spans="12:12" ht="14.5" x14ac:dyDescent="0.35">
      <c r="L2257"/>
    </row>
    <row r="2258" spans="12:12" ht="14.5" x14ac:dyDescent="0.35">
      <c r="L2258"/>
    </row>
    <row r="2259" spans="12:12" ht="14.5" x14ac:dyDescent="0.35">
      <c r="L2259"/>
    </row>
    <row r="2260" spans="12:12" ht="14.5" x14ac:dyDescent="0.35">
      <c r="L2260"/>
    </row>
    <row r="2261" spans="12:12" ht="14.5" x14ac:dyDescent="0.35">
      <c r="L2261"/>
    </row>
    <row r="2262" spans="12:12" ht="14.5" x14ac:dyDescent="0.35">
      <c r="L2262"/>
    </row>
    <row r="2263" spans="12:12" ht="14.5" x14ac:dyDescent="0.35">
      <c r="L2263"/>
    </row>
    <row r="2264" spans="12:12" ht="14.5" x14ac:dyDescent="0.35">
      <c r="L2264"/>
    </row>
    <row r="2265" spans="12:12" ht="14.5" x14ac:dyDescent="0.35">
      <c r="L2265"/>
    </row>
    <row r="2266" spans="12:12" ht="14.5" x14ac:dyDescent="0.35">
      <c r="L2266"/>
    </row>
    <row r="2267" spans="12:12" ht="14.5" x14ac:dyDescent="0.35">
      <c r="L2267"/>
    </row>
    <row r="2268" spans="12:12" ht="14.5" x14ac:dyDescent="0.35">
      <c r="L2268"/>
    </row>
    <row r="2269" spans="12:12" ht="14.5" x14ac:dyDescent="0.35">
      <c r="L2269"/>
    </row>
    <row r="2270" spans="12:12" ht="14.5" x14ac:dyDescent="0.35">
      <c r="L2270"/>
    </row>
    <row r="2271" spans="12:12" ht="14.5" x14ac:dyDescent="0.35">
      <c r="L2271"/>
    </row>
    <row r="2272" spans="12:12" ht="14.5" x14ac:dyDescent="0.35">
      <c r="L2272"/>
    </row>
    <row r="2273" spans="12:12" ht="14.5" x14ac:dyDescent="0.35">
      <c r="L2273"/>
    </row>
    <row r="2274" spans="12:12" ht="14.5" x14ac:dyDescent="0.35">
      <c r="L2274"/>
    </row>
    <row r="2275" spans="12:12" ht="14.5" x14ac:dyDescent="0.35">
      <c r="L2275"/>
    </row>
    <row r="2276" spans="12:12" ht="14.5" x14ac:dyDescent="0.35">
      <c r="L2276"/>
    </row>
    <row r="2277" spans="12:12" ht="14.5" x14ac:dyDescent="0.35">
      <c r="L2277"/>
    </row>
    <row r="2278" spans="12:12" ht="14.5" x14ac:dyDescent="0.35">
      <c r="L2278"/>
    </row>
    <row r="2279" spans="12:12" ht="14.5" x14ac:dyDescent="0.35">
      <c r="L2279"/>
    </row>
    <row r="2280" spans="12:12" ht="14.5" x14ac:dyDescent="0.35">
      <c r="L2280"/>
    </row>
    <row r="2281" spans="12:12" ht="14.5" x14ac:dyDescent="0.35">
      <c r="L2281"/>
    </row>
    <row r="2282" spans="12:12" ht="14.5" x14ac:dyDescent="0.35">
      <c r="L2282"/>
    </row>
    <row r="2283" spans="12:12" ht="14.5" x14ac:dyDescent="0.35">
      <c r="L2283"/>
    </row>
    <row r="2284" spans="12:12" ht="14.5" x14ac:dyDescent="0.35">
      <c r="L2284"/>
    </row>
    <row r="2285" spans="12:12" ht="14.5" x14ac:dyDescent="0.35">
      <c r="L2285"/>
    </row>
    <row r="2286" spans="12:12" ht="14.5" x14ac:dyDescent="0.35">
      <c r="L2286"/>
    </row>
    <row r="2287" spans="12:12" ht="14.5" x14ac:dyDescent="0.35">
      <c r="L2287"/>
    </row>
    <row r="2288" spans="12:12" ht="14.5" x14ac:dyDescent="0.35">
      <c r="L2288"/>
    </row>
    <row r="2289" spans="12:12" ht="14.5" x14ac:dyDescent="0.35">
      <c r="L2289"/>
    </row>
    <row r="2290" spans="12:12" ht="14.5" x14ac:dyDescent="0.35">
      <c r="L2290"/>
    </row>
    <row r="2291" spans="12:12" ht="14.5" x14ac:dyDescent="0.35">
      <c r="L2291"/>
    </row>
    <row r="2292" spans="12:12" ht="14.5" x14ac:dyDescent="0.35">
      <c r="L2292"/>
    </row>
    <row r="2293" spans="12:12" ht="14.5" x14ac:dyDescent="0.35">
      <c r="L2293"/>
    </row>
    <row r="2294" spans="12:12" ht="14.5" x14ac:dyDescent="0.35">
      <c r="L2294"/>
    </row>
    <row r="2295" spans="12:12" ht="14.5" x14ac:dyDescent="0.35">
      <c r="L2295"/>
    </row>
    <row r="2296" spans="12:12" ht="14.5" x14ac:dyDescent="0.35">
      <c r="L2296"/>
    </row>
    <row r="2297" spans="12:12" ht="14.5" x14ac:dyDescent="0.35">
      <c r="L2297"/>
    </row>
    <row r="2298" spans="12:12" ht="14.5" x14ac:dyDescent="0.35">
      <c r="L2298"/>
    </row>
    <row r="2299" spans="12:12" ht="14.5" x14ac:dyDescent="0.35">
      <c r="L2299"/>
    </row>
    <row r="2300" spans="12:12" ht="14.5" x14ac:dyDescent="0.35">
      <c r="L2300"/>
    </row>
    <row r="2301" spans="12:12" ht="14.5" x14ac:dyDescent="0.35">
      <c r="L2301"/>
    </row>
    <row r="2302" spans="12:12" ht="14.5" x14ac:dyDescent="0.35">
      <c r="L2302"/>
    </row>
    <row r="2303" spans="12:12" ht="14.5" x14ac:dyDescent="0.35">
      <c r="L2303"/>
    </row>
    <row r="2304" spans="12:12" ht="14.5" x14ac:dyDescent="0.35">
      <c r="L2304"/>
    </row>
    <row r="2305" spans="12:12" ht="14.5" x14ac:dyDescent="0.35">
      <c r="L2305"/>
    </row>
    <row r="2306" spans="12:12" ht="14.5" x14ac:dyDescent="0.35">
      <c r="L2306"/>
    </row>
    <row r="2307" spans="12:12" ht="14.5" x14ac:dyDescent="0.35">
      <c r="L2307"/>
    </row>
    <row r="2308" spans="12:12" ht="14.5" x14ac:dyDescent="0.35">
      <c r="L2308"/>
    </row>
    <row r="2309" spans="12:12" ht="14.5" x14ac:dyDescent="0.35">
      <c r="L2309"/>
    </row>
    <row r="2310" spans="12:12" ht="14.5" x14ac:dyDescent="0.35">
      <c r="L2310"/>
    </row>
    <row r="2311" spans="12:12" ht="14.5" x14ac:dyDescent="0.35">
      <c r="L2311"/>
    </row>
    <row r="2312" spans="12:12" ht="14.5" x14ac:dyDescent="0.35">
      <c r="L2312"/>
    </row>
    <row r="2313" spans="12:12" ht="14.5" x14ac:dyDescent="0.35">
      <c r="L2313"/>
    </row>
    <row r="2314" spans="12:12" ht="14.5" x14ac:dyDescent="0.35">
      <c r="L2314"/>
    </row>
    <row r="2315" spans="12:12" ht="14.5" x14ac:dyDescent="0.35">
      <c r="L2315"/>
    </row>
    <row r="2316" spans="12:12" ht="14.5" x14ac:dyDescent="0.35">
      <c r="L2316"/>
    </row>
    <row r="2317" spans="12:12" ht="14.5" x14ac:dyDescent="0.35">
      <c r="L2317"/>
    </row>
    <row r="2318" spans="12:12" ht="14.5" x14ac:dyDescent="0.35">
      <c r="L2318"/>
    </row>
    <row r="2319" spans="12:12" ht="14.5" x14ac:dyDescent="0.35">
      <c r="L2319"/>
    </row>
    <row r="2320" spans="12:12" ht="14.5" x14ac:dyDescent="0.35">
      <c r="L2320"/>
    </row>
    <row r="2321" spans="12:12" ht="14.5" x14ac:dyDescent="0.35">
      <c r="L2321"/>
    </row>
    <row r="2322" spans="12:12" ht="14.5" x14ac:dyDescent="0.35">
      <c r="L2322"/>
    </row>
    <row r="2323" spans="12:12" ht="14.5" x14ac:dyDescent="0.35">
      <c r="L2323"/>
    </row>
    <row r="2324" spans="12:12" ht="14.5" x14ac:dyDescent="0.35">
      <c r="L2324"/>
    </row>
    <row r="2325" spans="12:12" ht="14.5" x14ac:dyDescent="0.35">
      <c r="L2325"/>
    </row>
    <row r="2326" spans="12:12" ht="14.5" x14ac:dyDescent="0.35">
      <c r="L2326"/>
    </row>
    <row r="2327" spans="12:12" ht="14.5" x14ac:dyDescent="0.35">
      <c r="L2327"/>
    </row>
    <row r="2328" spans="12:12" ht="14.5" x14ac:dyDescent="0.35">
      <c r="L2328"/>
    </row>
    <row r="2329" spans="12:12" ht="14.5" x14ac:dyDescent="0.35">
      <c r="L2329"/>
    </row>
    <row r="2330" spans="12:12" ht="14.5" x14ac:dyDescent="0.35">
      <c r="L2330"/>
    </row>
    <row r="2331" spans="12:12" ht="14.5" x14ac:dyDescent="0.35">
      <c r="L2331"/>
    </row>
    <row r="2332" spans="12:12" ht="14.5" x14ac:dyDescent="0.35">
      <c r="L2332"/>
    </row>
    <row r="2333" spans="12:12" ht="14.5" x14ac:dyDescent="0.35">
      <c r="L2333"/>
    </row>
    <row r="2334" spans="12:12" ht="14.5" x14ac:dyDescent="0.35">
      <c r="L2334"/>
    </row>
    <row r="2335" spans="12:12" ht="14.5" x14ac:dyDescent="0.35">
      <c r="L2335"/>
    </row>
    <row r="2336" spans="12:12" ht="14.5" x14ac:dyDescent="0.35">
      <c r="L2336"/>
    </row>
    <row r="2337" spans="12:12" ht="14.5" x14ac:dyDescent="0.35">
      <c r="L2337"/>
    </row>
    <row r="2338" spans="12:12" ht="14.5" x14ac:dyDescent="0.35">
      <c r="L2338"/>
    </row>
    <row r="2339" spans="12:12" ht="14.5" x14ac:dyDescent="0.35">
      <c r="L2339"/>
    </row>
    <row r="2340" spans="12:12" ht="14.5" x14ac:dyDescent="0.35">
      <c r="L2340"/>
    </row>
    <row r="2341" spans="12:12" ht="14.5" x14ac:dyDescent="0.35">
      <c r="L2341"/>
    </row>
    <row r="2342" spans="12:12" ht="14.5" x14ac:dyDescent="0.35">
      <c r="L2342"/>
    </row>
    <row r="2343" spans="12:12" ht="14.5" x14ac:dyDescent="0.35">
      <c r="L2343"/>
    </row>
    <row r="2344" spans="12:12" ht="14.5" x14ac:dyDescent="0.35">
      <c r="L2344"/>
    </row>
    <row r="2345" spans="12:12" ht="14.5" x14ac:dyDescent="0.35">
      <c r="L2345"/>
    </row>
    <row r="2346" spans="12:12" ht="14.5" x14ac:dyDescent="0.35">
      <c r="L2346"/>
    </row>
    <row r="2347" spans="12:12" ht="14.5" x14ac:dyDescent="0.35">
      <c r="L2347"/>
    </row>
    <row r="2348" spans="12:12" ht="14.5" x14ac:dyDescent="0.35">
      <c r="L2348"/>
    </row>
    <row r="2349" spans="12:12" ht="14.5" x14ac:dyDescent="0.35">
      <c r="L2349"/>
    </row>
    <row r="2350" spans="12:12" ht="14.5" x14ac:dyDescent="0.35">
      <c r="L2350"/>
    </row>
    <row r="2351" spans="12:12" ht="14.5" x14ac:dyDescent="0.35">
      <c r="L2351"/>
    </row>
    <row r="2352" spans="12:12" ht="14.5" x14ac:dyDescent="0.35">
      <c r="L2352"/>
    </row>
    <row r="2353" spans="12:12" ht="14.5" x14ac:dyDescent="0.35">
      <c r="L2353"/>
    </row>
    <row r="2354" spans="12:12" ht="14.5" x14ac:dyDescent="0.35">
      <c r="L2354"/>
    </row>
    <row r="2355" spans="12:12" ht="14.5" x14ac:dyDescent="0.35">
      <c r="L2355"/>
    </row>
    <row r="2356" spans="12:12" ht="14.5" x14ac:dyDescent="0.35">
      <c r="L2356"/>
    </row>
    <row r="2357" spans="12:12" ht="14.5" x14ac:dyDescent="0.35">
      <c r="L2357"/>
    </row>
    <row r="2358" spans="12:12" ht="14.5" x14ac:dyDescent="0.35">
      <c r="L2358"/>
    </row>
    <row r="2359" spans="12:12" ht="14.5" x14ac:dyDescent="0.35">
      <c r="L2359"/>
    </row>
    <row r="2360" spans="12:12" ht="14.5" x14ac:dyDescent="0.35">
      <c r="L2360"/>
    </row>
    <row r="2361" spans="12:12" ht="14.5" x14ac:dyDescent="0.35">
      <c r="L2361"/>
    </row>
    <row r="2362" spans="12:12" ht="14.5" x14ac:dyDescent="0.35">
      <c r="L2362"/>
    </row>
    <row r="2363" spans="12:12" ht="14.5" x14ac:dyDescent="0.35">
      <c r="L2363"/>
    </row>
    <row r="2364" spans="12:12" ht="14.5" x14ac:dyDescent="0.35">
      <c r="L2364"/>
    </row>
    <row r="2365" spans="12:12" ht="14.5" x14ac:dyDescent="0.35">
      <c r="L2365"/>
    </row>
    <row r="2366" spans="12:12" ht="14.5" x14ac:dyDescent="0.35">
      <c r="L2366"/>
    </row>
    <row r="2367" spans="12:12" ht="14.5" x14ac:dyDescent="0.35">
      <c r="L2367"/>
    </row>
    <row r="2368" spans="12:12" ht="14.5" x14ac:dyDescent="0.35">
      <c r="L2368"/>
    </row>
    <row r="2369" spans="12:12" ht="14.5" x14ac:dyDescent="0.35">
      <c r="L2369"/>
    </row>
    <row r="2370" spans="12:12" ht="14.5" x14ac:dyDescent="0.35">
      <c r="L2370"/>
    </row>
    <row r="2371" spans="12:12" ht="14.5" x14ac:dyDescent="0.35">
      <c r="L2371"/>
    </row>
    <row r="2372" spans="12:12" ht="14.5" x14ac:dyDescent="0.35">
      <c r="L2372"/>
    </row>
    <row r="2373" spans="12:12" ht="14.5" x14ac:dyDescent="0.35">
      <c r="L2373"/>
    </row>
    <row r="2374" spans="12:12" ht="14.5" x14ac:dyDescent="0.35">
      <c r="L2374"/>
    </row>
    <row r="2375" spans="12:12" ht="14.5" x14ac:dyDescent="0.35">
      <c r="L2375"/>
    </row>
    <row r="2376" spans="12:12" ht="14.5" x14ac:dyDescent="0.35">
      <c r="L2376"/>
    </row>
    <row r="2377" spans="12:12" ht="14.5" x14ac:dyDescent="0.35">
      <c r="L2377"/>
    </row>
    <row r="2378" spans="12:12" ht="14.5" x14ac:dyDescent="0.35">
      <c r="L2378"/>
    </row>
    <row r="2379" spans="12:12" ht="14.5" x14ac:dyDescent="0.35">
      <c r="L2379"/>
    </row>
    <row r="2380" spans="12:12" ht="14.5" x14ac:dyDescent="0.35">
      <c r="L2380"/>
    </row>
    <row r="2381" spans="12:12" ht="14.5" x14ac:dyDescent="0.35">
      <c r="L2381"/>
    </row>
    <row r="2382" spans="12:12" ht="14.5" x14ac:dyDescent="0.35">
      <c r="L2382"/>
    </row>
    <row r="2383" spans="12:12" ht="14.5" x14ac:dyDescent="0.35">
      <c r="L2383"/>
    </row>
    <row r="2384" spans="12:12" ht="14.5" x14ac:dyDescent="0.35">
      <c r="L2384"/>
    </row>
    <row r="2385" spans="12:12" ht="14.5" x14ac:dyDescent="0.35">
      <c r="L2385"/>
    </row>
    <row r="2386" spans="12:12" ht="14.5" x14ac:dyDescent="0.35">
      <c r="L2386"/>
    </row>
    <row r="2387" spans="12:12" ht="14.5" x14ac:dyDescent="0.35">
      <c r="L2387"/>
    </row>
    <row r="2388" spans="12:12" ht="14.5" x14ac:dyDescent="0.35">
      <c r="L2388"/>
    </row>
    <row r="2389" spans="12:12" ht="14.5" x14ac:dyDescent="0.35">
      <c r="L2389"/>
    </row>
    <row r="2390" spans="12:12" ht="14.5" x14ac:dyDescent="0.35">
      <c r="L2390"/>
    </row>
    <row r="2391" spans="12:12" ht="14.5" x14ac:dyDescent="0.35">
      <c r="L2391"/>
    </row>
    <row r="2392" spans="12:12" ht="14.5" x14ac:dyDescent="0.35">
      <c r="L2392"/>
    </row>
    <row r="2393" spans="12:12" ht="14.5" x14ac:dyDescent="0.35">
      <c r="L2393"/>
    </row>
    <row r="2394" spans="12:12" ht="14.5" x14ac:dyDescent="0.35">
      <c r="L2394"/>
    </row>
    <row r="2395" spans="12:12" ht="14.5" x14ac:dyDescent="0.35">
      <c r="L2395"/>
    </row>
    <row r="2396" spans="12:12" ht="14.5" x14ac:dyDescent="0.35">
      <c r="L2396"/>
    </row>
    <row r="2397" spans="12:12" ht="14.5" x14ac:dyDescent="0.35">
      <c r="L2397"/>
    </row>
    <row r="2398" spans="12:12" ht="14.5" x14ac:dyDescent="0.35">
      <c r="L2398"/>
    </row>
    <row r="2399" spans="12:12" ht="14.5" x14ac:dyDescent="0.35">
      <c r="L2399"/>
    </row>
    <row r="2400" spans="12:12" ht="14.5" x14ac:dyDescent="0.35">
      <c r="L2400"/>
    </row>
    <row r="2401" spans="12:12" ht="14.5" x14ac:dyDescent="0.35">
      <c r="L2401"/>
    </row>
    <row r="2402" spans="12:12" ht="14.5" x14ac:dyDescent="0.35">
      <c r="L2402"/>
    </row>
    <row r="2403" spans="12:12" ht="14.5" x14ac:dyDescent="0.35">
      <c r="L2403"/>
    </row>
    <row r="2404" spans="12:12" ht="14.5" x14ac:dyDescent="0.35">
      <c r="L2404"/>
    </row>
    <row r="2405" spans="12:12" ht="14.5" x14ac:dyDescent="0.35">
      <c r="L2405"/>
    </row>
    <row r="2406" spans="12:12" ht="14.5" x14ac:dyDescent="0.35">
      <c r="L2406"/>
    </row>
    <row r="2407" spans="12:12" ht="14.5" x14ac:dyDescent="0.35">
      <c r="L2407"/>
    </row>
    <row r="2408" spans="12:12" ht="14.5" x14ac:dyDescent="0.35">
      <c r="L2408"/>
    </row>
    <row r="2409" spans="12:12" ht="14.5" x14ac:dyDescent="0.35">
      <c r="L2409"/>
    </row>
    <row r="2410" spans="12:12" ht="14.5" x14ac:dyDescent="0.35">
      <c r="L2410"/>
    </row>
    <row r="2411" spans="12:12" ht="14.5" x14ac:dyDescent="0.35">
      <c r="L2411"/>
    </row>
    <row r="2412" spans="12:12" ht="14.5" x14ac:dyDescent="0.35">
      <c r="L2412"/>
    </row>
    <row r="2413" spans="12:12" ht="14.5" x14ac:dyDescent="0.35">
      <c r="L2413"/>
    </row>
    <row r="2414" spans="12:12" ht="14.5" x14ac:dyDescent="0.35">
      <c r="L2414"/>
    </row>
    <row r="2415" spans="12:12" ht="14.5" x14ac:dyDescent="0.35">
      <c r="L2415"/>
    </row>
    <row r="2416" spans="12:12" ht="14.5" x14ac:dyDescent="0.35">
      <c r="L2416"/>
    </row>
    <row r="2417" spans="12:12" ht="14.5" x14ac:dyDescent="0.35">
      <c r="L2417"/>
    </row>
    <row r="2418" spans="12:12" ht="14.5" x14ac:dyDescent="0.35">
      <c r="L2418"/>
    </row>
    <row r="2419" spans="12:12" ht="14.5" x14ac:dyDescent="0.35">
      <c r="L2419"/>
    </row>
    <row r="2420" spans="12:12" ht="14.5" x14ac:dyDescent="0.35">
      <c r="L2420"/>
    </row>
    <row r="2421" spans="12:12" ht="14.5" x14ac:dyDescent="0.35">
      <c r="L2421"/>
    </row>
    <row r="2422" spans="12:12" ht="14.5" x14ac:dyDescent="0.35">
      <c r="L2422"/>
    </row>
    <row r="2423" spans="12:12" ht="14.5" x14ac:dyDescent="0.35">
      <c r="L2423"/>
    </row>
    <row r="2424" spans="12:12" ht="14.5" x14ac:dyDescent="0.35">
      <c r="L2424"/>
    </row>
    <row r="2425" spans="12:12" ht="14.5" x14ac:dyDescent="0.35">
      <c r="L2425"/>
    </row>
    <row r="2426" spans="12:12" ht="14.5" x14ac:dyDescent="0.35">
      <c r="L2426"/>
    </row>
    <row r="2427" spans="12:12" ht="14.5" x14ac:dyDescent="0.35">
      <c r="L2427"/>
    </row>
    <row r="2428" spans="12:12" ht="14.5" x14ac:dyDescent="0.35">
      <c r="L2428"/>
    </row>
    <row r="2429" spans="12:12" ht="14.5" x14ac:dyDescent="0.35">
      <c r="L2429"/>
    </row>
    <row r="2430" spans="12:12" ht="14.5" x14ac:dyDescent="0.35">
      <c r="L2430"/>
    </row>
    <row r="2431" spans="12:12" ht="14.5" x14ac:dyDescent="0.35">
      <c r="L2431"/>
    </row>
    <row r="2432" spans="12:12" ht="14.5" x14ac:dyDescent="0.35">
      <c r="L2432"/>
    </row>
    <row r="2433" spans="12:12" ht="14.5" x14ac:dyDescent="0.35">
      <c r="L2433"/>
    </row>
    <row r="2434" spans="12:12" ht="14.5" x14ac:dyDescent="0.35">
      <c r="L2434"/>
    </row>
    <row r="2435" spans="12:12" ht="14.5" x14ac:dyDescent="0.35">
      <c r="L2435"/>
    </row>
    <row r="2436" spans="12:12" ht="14.5" x14ac:dyDescent="0.35">
      <c r="L2436"/>
    </row>
    <row r="2437" spans="12:12" ht="14.5" x14ac:dyDescent="0.35">
      <c r="L2437"/>
    </row>
    <row r="2438" spans="12:12" ht="14.5" x14ac:dyDescent="0.35">
      <c r="L2438"/>
    </row>
    <row r="2439" spans="12:12" ht="14.5" x14ac:dyDescent="0.35">
      <c r="L2439"/>
    </row>
    <row r="2440" spans="12:12" ht="14.5" x14ac:dyDescent="0.35">
      <c r="L2440"/>
    </row>
    <row r="2441" spans="12:12" ht="14.5" x14ac:dyDescent="0.35">
      <c r="L2441"/>
    </row>
    <row r="2442" spans="12:12" ht="14.5" x14ac:dyDescent="0.35">
      <c r="L2442"/>
    </row>
    <row r="2443" spans="12:12" ht="14.5" x14ac:dyDescent="0.35">
      <c r="L2443"/>
    </row>
    <row r="2444" spans="12:12" ht="14.5" x14ac:dyDescent="0.35">
      <c r="L2444"/>
    </row>
    <row r="2445" spans="12:12" ht="14.5" x14ac:dyDescent="0.35">
      <c r="L2445"/>
    </row>
    <row r="2446" spans="12:12" ht="14.5" x14ac:dyDescent="0.35">
      <c r="L2446"/>
    </row>
    <row r="2447" spans="12:12" ht="14.5" x14ac:dyDescent="0.35">
      <c r="L2447"/>
    </row>
    <row r="2448" spans="12:12" ht="14.5" x14ac:dyDescent="0.35">
      <c r="L2448"/>
    </row>
    <row r="2449" spans="12:12" ht="14.5" x14ac:dyDescent="0.35">
      <c r="L2449"/>
    </row>
    <row r="2450" spans="12:12" ht="14.5" x14ac:dyDescent="0.35">
      <c r="L2450"/>
    </row>
    <row r="2451" spans="12:12" ht="14.5" x14ac:dyDescent="0.35">
      <c r="L2451"/>
    </row>
    <row r="2452" spans="12:12" ht="14.5" x14ac:dyDescent="0.35">
      <c r="L2452"/>
    </row>
    <row r="2453" spans="12:12" ht="14.5" x14ac:dyDescent="0.35">
      <c r="L2453"/>
    </row>
    <row r="2454" spans="12:12" ht="14.5" x14ac:dyDescent="0.35">
      <c r="L2454"/>
    </row>
    <row r="2455" spans="12:12" ht="14.5" x14ac:dyDescent="0.35">
      <c r="L2455"/>
    </row>
    <row r="2456" spans="12:12" ht="14.5" x14ac:dyDescent="0.35">
      <c r="L2456"/>
    </row>
    <row r="2457" spans="12:12" ht="14.5" x14ac:dyDescent="0.35">
      <c r="L2457"/>
    </row>
    <row r="2458" spans="12:12" ht="14.5" x14ac:dyDescent="0.35">
      <c r="L2458"/>
    </row>
    <row r="2459" spans="12:12" ht="14.5" x14ac:dyDescent="0.35">
      <c r="L2459"/>
    </row>
    <row r="2460" spans="12:12" ht="14.5" x14ac:dyDescent="0.35">
      <c r="L2460"/>
    </row>
    <row r="2461" spans="12:12" ht="14.5" x14ac:dyDescent="0.35">
      <c r="L2461"/>
    </row>
    <row r="2462" spans="12:12" ht="14.5" x14ac:dyDescent="0.35">
      <c r="L2462"/>
    </row>
    <row r="2463" spans="12:12" ht="14.5" x14ac:dyDescent="0.35">
      <c r="L2463"/>
    </row>
    <row r="2464" spans="12:12" ht="14.5" x14ac:dyDescent="0.35">
      <c r="L2464"/>
    </row>
    <row r="2465" spans="12:12" ht="14.5" x14ac:dyDescent="0.35">
      <c r="L2465"/>
    </row>
    <row r="2466" spans="12:12" ht="14.5" x14ac:dyDescent="0.35">
      <c r="L2466"/>
    </row>
    <row r="2467" spans="12:12" ht="14.5" x14ac:dyDescent="0.35">
      <c r="L2467"/>
    </row>
    <row r="2468" spans="12:12" ht="14.5" x14ac:dyDescent="0.35">
      <c r="L2468"/>
    </row>
    <row r="2469" spans="12:12" ht="14.5" x14ac:dyDescent="0.35">
      <c r="L2469"/>
    </row>
    <row r="2470" spans="12:12" ht="14.5" x14ac:dyDescent="0.35">
      <c r="L2470"/>
    </row>
    <row r="2471" spans="12:12" ht="14.5" x14ac:dyDescent="0.35">
      <c r="L2471"/>
    </row>
    <row r="2472" spans="12:12" ht="14.5" x14ac:dyDescent="0.35">
      <c r="L2472"/>
    </row>
    <row r="2473" spans="12:12" ht="14.5" x14ac:dyDescent="0.35">
      <c r="L2473"/>
    </row>
    <row r="2474" spans="12:12" ht="14.5" x14ac:dyDescent="0.35">
      <c r="L2474"/>
    </row>
    <row r="2475" spans="12:12" ht="14.5" x14ac:dyDescent="0.35">
      <c r="L2475"/>
    </row>
    <row r="2476" spans="12:12" ht="14.5" x14ac:dyDescent="0.35">
      <c r="L2476"/>
    </row>
    <row r="2477" spans="12:12" ht="14.5" x14ac:dyDescent="0.35">
      <c r="L2477"/>
    </row>
    <row r="2478" spans="12:12" ht="14.5" x14ac:dyDescent="0.35">
      <c r="L2478"/>
    </row>
    <row r="2479" spans="12:12" ht="14.5" x14ac:dyDescent="0.35">
      <c r="L2479"/>
    </row>
    <row r="2480" spans="12:12" ht="14.5" x14ac:dyDescent="0.35">
      <c r="L2480"/>
    </row>
    <row r="2481" spans="12:12" ht="14.5" x14ac:dyDescent="0.35">
      <c r="L2481"/>
    </row>
    <row r="2482" spans="12:12" ht="14.5" x14ac:dyDescent="0.35">
      <c r="L2482"/>
    </row>
    <row r="2483" spans="12:12" ht="14.5" x14ac:dyDescent="0.35">
      <c r="L2483"/>
    </row>
    <row r="2484" spans="12:12" ht="14.5" x14ac:dyDescent="0.35">
      <c r="L2484"/>
    </row>
    <row r="2485" spans="12:12" ht="14.5" x14ac:dyDescent="0.35">
      <c r="L2485"/>
    </row>
    <row r="2486" spans="12:12" ht="14.5" x14ac:dyDescent="0.35">
      <c r="L2486"/>
    </row>
    <row r="2487" spans="12:12" ht="14.5" x14ac:dyDescent="0.35">
      <c r="L2487"/>
    </row>
    <row r="2488" spans="12:12" ht="14.5" x14ac:dyDescent="0.35">
      <c r="L2488"/>
    </row>
    <row r="2489" spans="12:12" ht="14.5" x14ac:dyDescent="0.35">
      <c r="L2489"/>
    </row>
    <row r="2490" spans="12:12" ht="14.5" x14ac:dyDescent="0.35">
      <c r="L2490"/>
    </row>
    <row r="2491" spans="12:12" ht="14.5" x14ac:dyDescent="0.35">
      <c r="L2491"/>
    </row>
    <row r="2492" spans="12:12" ht="14.5" x14ac:dyDescent="0.35">
      <c r="L2492"/>
    </row>
    <row r="2493" spans="12:12" ht="14.5" x14ac:dyDescent="0.35">
      <c r="L2493"/>
    </row>
    <row r="2494" spans="12:12" ht="14.5" x14ac:dyDescent="0.35">
      <c r="L2494"/>
    </row>
    <row r="2495" spans="12:12" ht="14.5" x14ac:dyDescent="0.35">
      <c r="L2495"/>
    </row>
    <row r="2496" spans="12:12" ht="14.5" x14ac:dyDescent="0.35">
      <c r="L2496"/>
    </row>
    <row r="2497" spans="12:12" ht="14.5" x14ac:dyDescent="0.35">
      <c r="L2497"/>
    </row>
    <row r="2498" spans="12:12" ht="14.5" x14ac:dyDescent="0.35">
      <c r="L2498"/>
    </row>
    <row r="2499" spans="12:12" ht="14.5" x14ac:dyDescent="0.35">
      <c r="L2499"/>
    </row>
    <row r="2500" spans="12:12" ht="14.5" x14ac:dyDescent="0.35">
      <c r="L2500"/>
    </row>
    <row r="2501" spans="12:12" ht="14.5" x14ac:dyDescent="0.35">
      <c r="L2501"/>
    </row>
    <row r="2502" spans="12:12" ht="14.5" x14ac:dyDescent="0.35">
      <c r="L2502"/>
    </row>
    <row r="2503" spans="12:12" ht="14.5" x14ac:dyDescent="0.35">
      <c r="L2503"/>
    </row>
    <row r="2504" spans="12:12" ht="14.5" x14ac:dyDescent="0.35">
      <c r="L2504"/>
    </row>
    <row r="2505" spans="12:12" ht="14.5" x14ac:dyDescent="0.35">
      <c r="L2505"/>
    </row>
    <row r="2506" spans="12:12" ht="14.5" x14ac:dyDescent="0.35">
      <c r="L2506"/>
    </row>
    <row r="2507" spans="12:12" ht="14.5" x14ac:dyDescent="0.35">
      <c r="L2507"/>
    </row>
    <row r="2508" spans="12:12" ht="14.5" x14ac:dyDescent="0.35">
      <c r="L2508"/>
    </row>
    <row r="2509" spans="12:12" ht="14.5" x14ac:dyDescent="0.35">
      <c r="L2509"/>
    </row>
    <row r="2510" spans="12:12" ht="14.5" x14ac:dyDescent="0.35">
      <c r="L2510"/>
    </row>
    <row r="2511" spans="12:12" ht="14.5" x14ac:dyDescent="0.35">
      <c r="L2511"/>
    </row>
    <row r="2512" spans="12:12" ht="14.5" x14ac:dyDescent="0.35">
      <c r="L2512"/>
    </row>
    <row r="2513" spans="12:12" ht="14.5" x14ac:dyDescent="0.35">
      <c r="L2513"/>
    </row>
    <row r="2514" spans="12:12" ht="14.5" x14ac:dyDescent="0.35">
      <c r="L2514"/>
    </row>
    <row r="2515" spans="12:12" ht="14.5" x14ac:dyDescent="0.35">
      <c r="L2515"/>
    </row>
    <row r="2516" spans="12:12" ht="14.5" x14ac:dyDescent="0.35">
      <c r="L2516"/>
    </row>
    <row r="2517" spans="12:12" ht="14.5" x14ac:dyDescent="0.35">
      <c r="L2517"/>
    </row>
    <row r="2518" spans="12:12" ht="14.5" x14ac:dyDescent="0.35">
      <c r="L2518"/>
    </row>
    <row r="2519" spans="12:12" ht="14.5" x14ac:dyDescent="0.35">
      <c r="L2519"/>
    </row>
    <row r="2520" spans="12:12" ht="14.5" x14ac:dyDescent="0.35">
      <c r="L2520"/>
    </row>
    <row r="2521" spans="12:12" ht="14.5" x14ac:dyDescent="0.35">
      <c r="L2521"/>
    </row>
    <row r="2522" spans="12:12" ht="14.5" x14ac:dyDescent="0.35">
      <c r="L2522"/>
    </row>
    <row r="2523" spans="12:12" ht="14.5" x14ac:dyDescent="0.35">
      <c r="L2523"/>
    </row>
    <row r="2524" spans="12:12" ht="14.5" x14ac:dyDescent="0.35">
      <c r="L2524"/>
    </row>
    <row r="2525" spans="12:12" ht="14.5" x14ac:dyDescent="0.35">
      <c r="L2525"/>
    </row>
    <row r="2526" spans="12:12" ht="14.5" x14ac:dyDescent="0.35">
      <c r="L2526"/>
    </row>
    <row r="2527" spans="12:12" ht="14.5" x14ac:dyDescent="0.35">
      <c r="L2527"/>
    </row>
    <row r="2528" spans="12:12" ht="14.5" x14ac:dyDescent="0.35">
      <c r="L2528"/>
    </row>
    <row r="2529" spans="12:12" ht="14.5" x14ac:dyDescent="0.35">
      <c r="L2529"/>
    </row>
    <row r="2530" spans="12:12" ht="14.5" x14ac:dyDescent="0.35">
      <c r="L2530"/>
    </row>
    <row r="2531" spans="12:12" ht="14.5" x14ac:dyDescent="0.35">
      <c r="L2531"/>
    </row>
    <row r="2532" spans="12:12" ht="14.5" x14ac:dyDescent="0.35">
      <c r="L2532"/>
    </row>
    <row r="2533" spans="12:12" ht="14.5" x14ac:dyDescent="0.35">
      <c r="L2533"/>
    </row>
    <row r="2534" spans="12:12" ht="14.5" x14ac:dyDescent="0.35">
      <c r="L2534"/>
    </row>
    <row r="2535" spans="12:12" ht="14.5" x14ac:dyDescent="0.35">
      <c r="L2535"/>
    </row>
    <row r="2536" spans="12:12" ht="14.5" x14ac:dyDescent="0.35">
      <c r="L2536"/>
    </row>
    <row r="2537" spans="12:12" ht="14.5" x14ac:dyDescent="0.35">
      <c r="L2537"/>
    </row>
    <row r="2538" spans="12:12" ht="14.5" x14ac:dyDescent="0.35">
      <c r="L2538"/>
    </row>
    <row r="2539" spans="12:12" ht="14.5" x14ac:dyDescent="0.35">
      <c r="L2539"/>
    </row>
    <row r="2540" spans="12:12" ht="14.5" x14ac:dyDescent="0.35">
      <c r="L2540"/>
    </row>
    <row r="2541" spans="12:12" ht="14.5" x14ac:dyDescent="0.35">
      <c r="L2541"/>
    </row>
    <row r="2542" spans="12:12" ht="14.5" x14ac:dyDescent="0.35">
      <c r="L2542"/>
    </row>
    <row r="2543" spans="12:12" ht="14.5" x14ac:dyDescent="0.35">
      <c r="L2543"/>
    </row>
    <row r="2544" spans="12:12" ht="14.5" x14ac:dyDescent="0.35">
      <c r="L2544"/>
    </row>
    <row r="2545" spans="12:12" ht="14.5" x14ac:dyDescent="0.35">
      <c r="L2545"/>
    </row>
    <row r="2546" spans="12:12" ht="14.5" x14ac:dyDescent="0.35">
      <c r="L2546"/>
    </row>
    <row r="2547" spans="12:12" ht="14.5" x14ac:dyDescent="0.35">
      <c r="L2547"/>
    </row>
    <row r="2548" spans="12:12" ht="14.5" x14ac:dyDescent="0.35">
      <c r="L2548"/>
    </row>
    <row r="2549" spans="12:12" ht="14.5" x14ac:dyDescent="0.35">
      <c r="L2549"/>
    </row>
    <row r="2550" spans="12:12" ht="14.5" x14ac:dyDescent="0.35">
      <c r="L2550"/>
    </row>
    <row r="2551" spans="12:12" ht="14.5" x14ac:dyDescent="0.35">
      <c r="L2551"/>
    </row>
    <row r="2552" spans="12:12" ht="14.5" x14ac:dyDescent="0.35">
      <c r="L2552"/>
    </row>
    <row r="2553" spans="12:12" ht="14.5" x14ac:dyDescent="0.35">
      <c r="L2553"/>
    </row>
    <row r="2554" spans="12:12" ht="14.5" x14ac:dyDescent="0.35">
      <c r="L2554"/>
    </row>
    <row r="2555" spans="12:12" ht="14.5" x14ac:dyDescent="0.35">
      <c r="L2555"/>
    </row>
    <row r="2556" spans="12:12" ht="14.5" x14ac:dyDescent="0.35">
      <c r="L2556"/>
    </row>
    <row r="2557" spans="12:12" ht="14.5" x14ac:dyDescent="0.35">
      <c r="L2557"/>
    </row>
    <row r="2558" spans="12:12" ht="14.5" x14ac:dyDescent="0.35">
      <c r="L2558"/>
    </row>
    <row r="2559" spans="12:12" ht="14.5" x14ac:dyDescent="0.35">
      <c r="L2559"/>
    </row>
    <row r="2560" spans="12:12" ht="14.5" x14ac:dyDescent="0.35">
      <c r="L2560"/>
    </row>
    <row r="2561" spans="12:12" ht="14.5" x14ac:dyDescent="0.35">
      <c r="L2561"/>
    </row>
    <row r="2562" spans="12:12" ht="14.5" x14ac:dyDescent="0.35">
      <c r="L2562"/>
    </row>
    <row r="2563" spans="12:12" ht="14.5" x14ac:dyDescent="0.35">
      <c r="L2563"/>
    </row>
    <row r="2564" spans="12:12" ht="14.5" x14ac:dyDescent="0.35">
      <c r="L2564"/>
    </row>
    <row r="2565" spans="12:12" ht="14.5" x14ac:dyDescent="0.35">
      <c r="L2565"/>
    </row>
    <row r="2566" spans="12:12" ht="14.5" x14ac:dyDescent="0.35">
      <c r="L2566"/>
    </row>
    <row r="2567" spans="12:12" ht="14.5" x14ac:dyDescent="0.35">
      <c r="L2567"/>
    </row>
    <row r="2568" spans="12:12" ht="14.5" x14ac:dyDescent="0.35">
      <c r="L2568"/>
    </row>
    <row r="2569" spans="12:12" ht="14.5" x14ac:dyDescent="0.35">
      <c r="L2569"/>
    </row>
    <row r="2570" spans="12:12" ht="14.5" x14ac:dyDescent="0.35">
      <c r="L2570"/>
    </row>
    <row r="2571" spans="12:12" ht="14.5" x14ac:dyDescent="0.35">
      <c r="L2571"/>
    </row>
    <row r="2572" spans="12:12" ht="14.5" x14ac:dyDescent="0.35">
      <c r="L2572"/>
    </row>
    <row r="2573" spans="12:12" ht="14.5" x14ac:dyDescent="0.35">
      <c r="L2573"/>
    </row>
    <row r="2574" spans="12:12" ht="14.5" x14ac:dyDescent="0.35">
      <c r="L2574"/>
    </row>
    <row r="2575" spans="12:12" ht="14.5" x14ac:dyDescent="0.35">
      <c r="L2575"/>
    </row>
    <row r="2576" spans="12:12" ht="14.5" x14ac:dyDescent="0.35">
      <c r="L2576"/>
    </row>
    <row r="2577" spans="12:12" ht="14.5" x14ac:dyDescent="0.35">
      <c r="L2577"/>
    </row>
    <row r="2578" spans="12:12" ht="14.5" x14ac:dyDescent="0.35">
      <c r="L2578"/>
    </row>
    <row r="2579" spans="12:12" ht="14.5" x14ac:dyDescent="0.35">
      <c r="L2579"/>
    </row>
    <row r="2580" spans="12:12" ht="14.5" x14ac:dyDescent="0.35">
      <c r="L2580"/>
    </row>
    <row r="2581" spans="12:12" ht="14.5" x14ac:dyDescent="0.35">
      <c r="L2581"/>
    </row>
    <row r="2582" spans="12:12" ht="14.5" x14ac:dyDescent="0.35">
      <c r="L2582"/>
    </row>
    <row r="2583" spans="12:12" ht="14.5" x14ac:dyDescent="0.35">
      <c r="L2583"/>
    </row>
    <row r="2584" spans="12:12" ht="14.5" x14ac:dyDescent="0.35">
      <c r="L2584"/>
    </row>
    <row r="2585" spans="12:12" ht="14.5" x14ac:dyDescent="0.35">
      <c r="L2585"/>
    </row>
    <row r="2586" spans="12:12" ht="14.5" x14ac:dyDescent="0.35">
      <c r="L2586"/>
    </row>
    <row r="2587" spans="12:12" ht="14.5" x14ac:dyDescent="0.35">
      <c r="L2587"/>
    </row>
    <row r="2588" spans="12:12" ht="14.5" x14ac:dyDescent="0.35">
      <c r="L2588"/>
    </row>
    <row r="2589" spans="12:12" ht="14.5" x14ac:dyDescent="0.35">
      <c r="L2589"/>
    </row>
    <row r="2590" spans="12:12" ht="14.5" x14ac:dyDescent="0.35">
      <c r="L2590"/>
    </row>
    <row r="2591" spans="12:12" ht="14.5" x14ac:dyDescent="0.35">
      <c r="L2591"/>
    </row>
    <row r="2592" spans="12:12" ht="14.5" x14ac:dyDescent="0.35">
      <c r="L2592"/>
    </row>
    <row r="2593" spans="12:12" ht="14.5" x14ac:dyDescent="0.35">
      <c r="L2593"/>
    </row>
    <row r="2594" spans="12:12" ht="14.5" x14ac:dyDescent="0.35">
      <c r="L2594"/>
    </row>
    <row r="2595" spans="12:12" ht="14.5" x14ac:dyDescent="0.35">
      <c r="L2595"/>
    </row>
    <row r="2596" spans="12:12" ht="14.5" x14ac:dyDescent="0.35">
      <c r="L2596"/>
    </row>
    <row r="2597" spans="12:12" ht="14.5" x14ac:dyDescent="0.35">
      <c r="L2597"/>
    </row>
    <row r="2598" spans="12:12" ht="14.5" x14ac:dyDescent="0.35">
      <c r="L2598"/>
    </row>
    <row r="2599" spans="12:12" ht="14.5" x14ac:dyDescent="0.35">
      <c r="L2599"/>
    </row>
    <row r="2600" spans="12:12" ht="14.5" x14ac:dyDescent="0.35">
      <c r="L2600"/>
    </row>
    <row r="2601" spans="12:12" ht="14.5" x14ac:dyDescent="0.35">
      <c r="L2601"/>
    </row>
    <row r="2602" spans="12:12" ht="14.5" x14ac:dyDescent="0.35">
      <c r="L2602"/>
    </row>
    <row r="2603" spans="12:12" ht="14.5" x14ac:dyDescent="0.35">
      <c r="L2603"/>
    </row>
    <row r="2604" spans="12:12" ht="14.5" x14ac:dyDescent="0.35">
      <c r="L2604"/>
    </row>
    <row r="2605" spans="12:12" ht="14.5" x14ac:dyDescent="0.35">
      <c r="L2605"/>
    </row>
    <row r="2606" spans="12:12" ht="14.5" x14ac:dyDescent="0.35">
      <c r="L2606"/>
    </row>
    <row r="2607" spans="12:12" ht="14.5" x14ac:dyDescent="0.35">
      <c r="L2607"/>
    </row>
    <row r="2608" spans="12:12" ht="14.5" x14ac:dyDescent="0.35">
      <c r="L2608"/>
    </row>
    <row r="2609" spans="12:12" ht="14.5" x14ac:dyDescent="0.35">
      <c r="L2609"/>
    </row>
    <row r="2610" spans="12:12" ht="14.5" x14ac:dyDescent="0.35">
      <c r="L2610"/>
    </row>
    <row r="2611" spans="12:12" ht="14.5" x14ac:dyDescent="0.35">
      <c r="L2611"/>
    </row>
    <row r="2612" spans="12:12" ht="14.5" x14ac:dyDescent="0.35">
      <c r="L2612"/>
    </row>
    <row r="2613" spans="12:12" ht="14.5" x14ac:dyDescent="0.35">
      <c r="L2613"/>
    </row>
    <row r="2614" spans="12:12" ht="14.5" x14ac:dyDescent="0.35">
      <c r="L2614"/>
    </row>
    <row r="2615" spans="12:12" ht="14.5" x14ac:dyDescent="0.35">
      <c r="L2615"/>
    </row>
    <row r="2616" spans="12:12" ht="14.5" x14ac:dyDescent="0.35">
      <c r="L2616"/>
    </row>
    <row r="2617" spans="12:12" ht="14.5" x14ac:dyDescent="0.35">
      <c r="L2617"/>
    </row>
    <row r="2618" spans="12:12" ht="14.5" x14ac:dyDescent="0.35">
      <c r="L2618"/>
    </row>
    <row r="2619" spans="12:12" ht="14.5" x14ac:dyDescent="0.35">
      <c r="L2619"/>
    </row>
    <row r="2620" spans="12:12" ht="14.5" x14ac:dyDescent="0.35">
      <c r="L2620"/>
    </row>
    <row r="2621" spans="12:12" ht="14.5" x14ac:dyDescent="0.35">
      <c r="L2621"/>
    </row>
    <row r="2622" spans="12:12" ht="14.5" x14ac:dyDescent="0.35">
      <c r="L2622"/>
    </row>
    <row r="2623" spans="12:12" ht="14.5" x14ac:dyDescent="0.35">
      <c r="L2623"/>
    </row>
    <row r="2624" spans="12:12" ht="14.5" x14ac:dyDescent="0.35">
      <c r="L2624"/>
    </row>
    <row r="2625" spans="12:12" ht="14.5" x14ac:dyDescent="0.35">
      <c r="L2625"/>
    </row>
    <row r="2626" spans="12:12" ht="14.5" x14ac:dyDescent="0.35">
      <c r="L2626"/>
    </row>
    <row r="2627" spans="12:12" ht="14.5" x14ac:dyDescent="0.35">
      <c r="L2627"/>
    </row>
    <row r="2628" spans="12:12" ht="14.5" x14ac:dyDescent="0.35">
      <c r="L2628"/>
    </row>
    <row r="2629" spans="12:12" ht="14.5" x14ac:dyDescent="0.35">
      <c r="L2629"/>
    </row>
    <row r="2630" spans="12:12" ht="14.5" x14ac:dyDescent="0.35">
      <c r="L2630"/>
    </row>
    <row r="2631" spans="12:12" ht="14.5" x14ac:dyDescent="0.35">
      <c r="L2631"/>
    </row>
    <row r="2632" spans="12:12" ht="14.5" x14ac:dyDescent="0.35">
      <c r="L2632"/>
    </row>
    <row r="2633" spans="12:12" ht="14.5" x14ac:dyDescent="0.35">
      <c r="L2633"/>
    </row>
    <row r="2634" spans="12:12" ht="14.5" x14ac:dyDescent="0.35">
      <c r="L2634"/>
    </row>
    <row r="2635" spans="12:12" ht="14.5" x14ac:dyDescent="0.35">
      <c r="L2635"/>
    </row>
    <row r="2636" spans="12:12" ht="14.5" x14ac:dyDescent="0.35">
      <c r="L2636"/>
    </row>
    <row r="2637" spans="12:12" ht="14.5" x14ac:dyDescent="0.35">
      <c r="L2637"/>
    </row>
    <row r="2638" spans="12:12" ht="14.5" x14ac:dyDescent="0.35">
      <c r="L2638"/>
    </row>
    <row r="2639" spans="12:12" ht="14.5" x14ac:dyDescent="0.35">
      <c r="L2639"/>
    </row>
    <row r="2640" spans="12:12" ht="14.5" x14ac:dyDescent="0.35">
      <c r="L2640"/>
    </row>
    <row r="2641" spans="12:12" ht="14.5" x14ac:dyDescent="0.35">
      <c r="L2641"/>
    </row>
    <row r="2642" spans="12:12" ht="14.5" x14ac:dyDescent="0.35">
      <c r="L2642"/>
    </row>
    <row r="2643" spans="12:12" ht="14.5" x14ac:dyDescent="0.35">
      <c r="L2643"/>
    </row>
    <row r="2644" spans="12:12" ht="14.5" x14ac:dyDescent="0.35">
      <c r="L2644"/>
    </row>
    <row r="2645" spans="12:12" ht="14.5" x14ac:dyDescent="0.35">
      <c r="L2645"/>
    </row>
    <row r="2646" spans="12:12" ht="14.5" x14ac:dyDescent="0.35">
      <c r="L2646"/>
    </row>
    <row r="2647" spans="12:12" ht="14.5" x14ac:dyDescent="0.35">
      <c r="L2647"/>
    </row>
    <row r="2648" spans="12:12" ht="14.5" x14ac:dyDescent="0.35">
      <c r="L2648"/>
    </row>
    <row r="2649" spans="12:12" ht="14.5" x14ac:dyDescent="0.35">
      <c r="L2649"/>
    </row>
    <row r="2650" spans="12:12" ht="14.5" x14ac:dyDescent="0.35">
      <c r="L2650"/>
    </row>
    <row r="2651" spans="12:12" ht="14.5" x14ac:dyDescent="0.35">
      <c r="L2651"/>
    </row>
    <row r="2652" spans="12:12" ht="14.5" x14ac:dyDescent="0.35">
      <c r="L2652"/>
    </row>
    <row r="2653" spans="12:12" ht="14.5" x14ac:dyDescent="0.35">
      <c r="L2653"/>
    </row>
    <row r="2654" spans="12:12" ht="14.5" x14ac:dyDescent="0.35">
      <c r="L2654"/>
    </row>
    <row r="2655" spans="12:12" ht="14.5" x14ac:dyDescent="0.35">
      <c r="L2655"/>
    </row>
    <row r="2656" spans="12:12" ht="14.5" x14ac:dyDescent="0.35">
      <c r="L2656"/>
    </row>
    <row r="2657" spans="12:12" ht="14.5" x14ac:dyDescent="0.35">
      <c r="L2657"/>
    </row>
    <row r="2658" spans="12:12" ht="14.5" x14ac:dyDescent="0.35">
      <c r="L2658"/>
    </row>
    <row r="2659" spans="12:12" ht="14.5" x14ac:dyDescent="0.35">
      <c r="L2659"/>
    </row>
    <row r="2660" spans="12:12" ht="14.5" x14ac:dyDescent="0.35">
      <c r="L2660"/>
    </row>
    <row r="2661" spans="12:12" ht="14.5" x14ac:dyDescent="0.35">
      <c r="L2661"/>
    </row>
    <row r="2662" spans="12:12" ht="14.5" x14ac:dyDescent="0.35">
      <c r="L2662"/>
    </row>
    <row r="2663" spans="12:12" ht="14.5" x14ac:dyDescent="0.35">
      <c r="L2663"/>
    </row>
    <row r="2664" spans="12:12" ht="14.5" x14ac:dyDescent="0.35">
      <c r="L2664"/>
    </row>
    <row r="2665" spans="12:12" ht="14.5" x14ac:dyDescent="0.35">
      <c r="L2665"/>
    </row>
    <row r="2666" spans="12:12" ht="14.5" x14ac:dyDescent="0.35">
      <c r="L2666"/>
    </row>
    <row r="2667" spans="12:12" ht="14.5" x14ac:dyDescent="0.35">
      <c r="L2667"/>
    </row>
    <row r="2668" spans="12:12" ht="14.5" x14ac:dyDescent="0.35">
      <c r="L2668"/>
    </row>
    <row r="2669" spans="12:12" ht="14.5" x14ac:dyDescent="0.35">
      <c r="L2669"/>
    </row>
    <row r="2670" spans="12:12" ht="14.5" x14ac:dyDescent="0.35">
      <c r="L2670"/>
    </row>
    <row r="2671" spans="12:12" ht="14.5" x14ac:dyDescent="0.35">
      <c r="L2671"/>
    </row>
    <row r="2672" spans="12:12" ht="14.5" x14ac:dyDescent="0.35">
      <c r="L2672"/>
    </row>
    <row r="2673" spans="12:12" ht="14.5" x14ac:dyDescent="0.35">
      <c r="L2673"/>
    </row>
    <row r="2674" spans="12:12" ht="14.5" x14ac:dyDescent="0.35">
      <c r="L2674"/>
    </row>
    <row r="2675" spans="12:12" ht="14.5" x14ac:dyDescent="0.35">
      <c r="L2675"/>
    </row>
    <row r="2676" spans="12:12" ht="14.5" x14ac:dyDescent="0.35">
      <c r="L2676"/>
    </row>
    <row r="2677" spans="12:12" ht="14.5" x14ac:dyDescent="0.35">
      <c r="L2677"/>
    </row>
    <row r="2678" spans="12:12" ht="14.5" x14ac:dyDescent="0.35">
      <c r="L2678"/>
    </row>
    <row r="2679" spans="12:12" ht="14.5" x14ac:dyDescent="0.35">
      <c r="L2679"/>
    </row>
    <row r="2680" spans="12:12" ht="14.5" x14ac:dyDescent="0.35">
      <c r="L2680"/>
    </row>
    <row r="2681" spans="12:12" ht="14.5" x14ac:dyDescent="0.35">
      <c r="L2681"/>
    </row>
    <row r="2682" spans="12:12" ht="14.5" x14ac:dyDescent="0.35">
      <c r="L2682"/>
    </row>
    <row r="2683" spans="12:12" ht="14.5" x14ac:dyDescent="0.35">
      <c r="L2683"/>
    </row>
    <row r="2684" spans="12:12" ht="14.5" x14ac:dyDescent="0.35">
      <c r="L2684"/>
    </row>
    <row r="2685" spans="12:12" ht="14.5" x14ac:dyDescent="0.35">
      <c r="L2685"/>
    </row>
    <row r="2686" spans="12:12" ht="14.5" x14ac:dyDescent="0.35">
      <c r="L2686"/>
    </row>
    <row r="2687" spans="12:12" ht="14.5" x14ac:dyDescent="0.35">
      <c r="L2687"/>
    </row>
    <row r="2688" spans="12:12" ht="14.5" x14ac:dyDescent="0.35">
      <c r="L2688"/>
    </row>
    <row r="2689" spans="12:12" ht="14.5" x14ac:dyDescent="0.35">
      <c r="L2689"/>
    </row>
    <row r="2690" spans="12:12" ht="14.5" x14ac:dyDescent="0.35">
      <c r="L2690"/>
    </row>
    <row r="2691" spans="12:12" ht="14.5" x14ac:dyDescent="0.35">
      <c r="L2691"/>
    </row>
    <row r="2692" spans="12:12" ht="14.5" x14ac:dyDescent="0.35">
      <c r="L2692"/>
    </row>
    <row r="2693" spans="12:12" ht="14.5" x14ac:dyDescent="0.35">
      <c r="L2693"/>
    </row>
    <row r="2694" spans="12:12" ht="14.5" x14ac:dyDescent="0.35">
      <c r="L2694"/>
    </row>
    <row r="2695" spans="12:12" ht="14.5" x14ac:dyDescent="0.35">
      <c r="L2695"/>
    </row>
    <row r="2696" spans="12:12" ht="14.5" x14ac:dyDescent="0.35">
      <c r="L2696"/>
    </row>
    <row r="2697" spans="12:12" ht="14.5" x14ac:dyDescent="0.35">
      <c r="L2697"/>
    </row>
    <row r="2698" spans="12:12" ht="14.5" x14ac:dyDescent="0.35">
      <c r="L2698"/>
    </row>
    <row r="2699" spans="12:12" ht="14.5" x14ac:dyDescent="0.35">
      <c r="L2699"/>
    </row>
    <row r="2700" spans="12:12" ht="14.5" x14ac:dyDescent="0.35">
      <c r="L2700"/>
    </row>
    <row r="2701" spans="12:12" ht="14.5" x14ac:dyDescent="0.35">
      <c r="L2701"/>
    </row>
    <row r="2702" spans="12:12" ht="14.5" x14ac:dyDescent="0.35">
      <c r="L2702"/>
    </row>
    <row r="2703" spans="12:12" ht="14.5" x14ac:dyDescent="0.35">
      <c r="L2703"/>
    </row>
    <row r="2704" spans="12:12" ht="14.5" x14ac:dyDescent="0.35">
      <c r="L2704"/>
    </row>
    <row r="2705" spans="12:12" ht="14.5" x14ac:dyDescent="0.35">
      <c r="L2705"/>
    </row>
    <row r="2706" spans="12:12" ht="14.5" x14ac:dyDescent="0.35">
      <c r="L2706"/>
    </row>
    <row r="2707" spans="12:12" ht="14.5" x14ac:dyDescent="0.35">
      <c r="L2707"/>
    </row>
    <row r="2708" spans="12:12" ht="14.5" x14ac:dyDescent="0.35">
      <c r="L2708"/>
    </row>
    <row r="2709" spans="12:12" ht="14.5" x14ac:dyDescent="0.35">
      <c r="L2709"/>
    </row>
    <row r="2710" spans="12:12" ht="14.5" x14ac:dyDescent="0.35">
      <c r="L2710"/>
    </row>
    <row r="2711" spans="12:12" ht="14.5" x14ac:dyDescent="0.35">
      <c r="L2711"/>
    </row>
    <row r="2712" spans="12:12" ht="14.5" x14ac:dyDescent="0.35">
      <c r="L2712"/>
    </row>
    <row r="2713" spans="12:12" ht="14.5" x14ac:dyDescent="0.35">
      <c r="L2713"/>
    </row>
    <row r="2714" spans="12:12" ht="14.5" x14ac:dyDescent="0.35">
      <c r="L2714"/>
    </row>
    <row r="2715" spans="12:12" ht="14.5" x14ac:dyDescent="0.35">
      <c r="L2715"/>
    </row>
    <row r="2716" spans="12:12" ht="14.5" x14ac:dyDescent="0.35">
      <c r="L2716"/>
    </row>
    <row r="2717" spans="12:12" ht="14.5" x14ac:dyDescent="0.35">
      <c r="L2717"/>
    </row>
    <row r="2718" spans="12:12" ht="14.5" x14ac:dyDescent="0.35">
      <c r="L2718"/>
    </row>
    <row r="2719" spans="12:12" ht="14.5" x14ac:dyDescent="0.35">
      <c r="L2719"/>
    </row>
    <row r="2720" spans="12:12" ht="14.5" x14ac:dyDescent="0.35">
      <c r="L2720"/>
    </row>
    <row r="2721" spans="12:12" ht="14.5" x14ac:dyDescent="0.35">
      <c r="L2721"/>
    </row>
    <row r="2722" spans="12:12" ht="14.5" x14ac:dyDescent="0.35">
      <c r="L2722"/>
    </row>
    <row r="2723" spans="12:12" ht="14.5" x14ac:dyDescent="0.35">
      <c r="L2723"/>
    </row>
    <row r="2724" spans="12:12" ht="14.5" x14ac:dyDescent="0.35">
      <c r="L2724"/>
    </row>
    <row r="2725" spans="12:12" ht="14.5" x14ac:dyDescent="0.35">
      <c r="L2725"/>
    </row>
    <row r="2726" spans="12:12" ht="14.5" x14ac:dyDescent="0.35">
      <c r="L2726"/>
    </row>
    <row r="2727" spans="12:12" ht="14.5" x14ac:dyDescent="0.35">
      <c r="L2727"/>
    </row>
    <row r="2728" spans="12:12" ht="14.5" x14ac:dyDescent="0.35">
      <c r="L2728"/>
    </row>
    <row r="2729" spans="12:12" ht="14.5" x14ac:dyDescent="0.35">
      <c r="L2729"/>
    </row>
    <row r="2730" spans="12:12" ht="14.5" x14ac:dyDescent="0.35">
      <c r="L2730"/>
    </row>
    <row r="2731" spans="12:12" ht="14.5" x14ac:dyDescent="0.35">
      <c r="L2731"/>
    </row>
    <row r="2732" spans="12:12" ht="14.5" x14ac:dyDescent="0.35">
      <c r="L2732"/>
    </row>
    <row r="2733" spans="12:12" ht="14.5" x14ac:dyDescent="0.35">
      <c r="L2733"/>
    </row>
    <row r="2734" spans="12:12" ht="14.5" x14ac:dyDescent="0.35">
      <c r="L2734"/>
    </row>
    <row r="2735" spans="12:12" ht="14.5" x14ac:dyDescent="0.35">
      <c r="L2735"/>
    </row>
    <row r="2736" spans="12:12" ht="14.5" x14ac:dyDescent="0.35">
      <c r="L2736"/>
    </row>
    <row r="2737" spans="12:12" ht="14.5" x14ac:dyDescent="0.35">
      <c r="L2737"/>
    </row>
    <row r="2738" spans="12:12" ht="14.5" x14ac:dyDescent="0.35">
      <c r="L2738"/>
    </row>
    <row r="2739" spans="12:12" ht="14.5" x14ac:dyDescent="0.35">
      <c r="L2739"/>
    </row>
    <row r="2740" spans="12:12" ht="14.5" x14ac:dyDescent="0.35">
      <c r="L2740"/>
    </row>
    <row r="2741" spans="12:12" ht="14.5" x14ac:dyDescent="0.35">
      <c r="L2741"/>
    </row>
    <row r="2742" spans="12:12" ht="14.5" x14ac:dyDescent="0.35">
      <c r="L2742"/>
    </row>
    <row r="2743" spans="12:12" ht="14.5" x14ac:dyDescent="0.35">
      <c r="L2743"/>
    </row>
    <row r="2744" spans="12:12" ht="14.5" x14ac:dyDescent="0.35">
      <c r="L2744"/>
    </row>
    <row r="2745" spans="12:12" ht="14.5" x14ac:dyDescent="0.35">
      <c r="L2745"/>
    </row>
    <row r="2746" spans="12:12" ht="14.5" x14ac:dyDescent="0.35">
      <c r="L2746"/>
    </row>
    <row r="2747" spans="12:12" ht="14.5" x14ac:dyDescent="0.35">
      <c r="L2747"/>
    </row>
    <row r="2748" spans="12:12" ht="14.5" x14ac:dyDescent="0.35">
      <c r="L2748"/>
    </row>
    <row r="2749" spans="12:12" ht="14.5" x14ac:dyDescent="0.35">
      <c r="L2749"/>
    </row>
    <row r="2750" spans="12:12" ht="14.5" x14ac:dyDescent="0.35">
      <c r="L2750"/>
    </row>
    <row r="2751" spans="12:12" ht="14.5" x14ac:dyDescent="0.35">
      <c r="L2751"/>
    </row>
    <row r="2752" spans="12:12" ht="14.5" x14ac:dyDescent="0.35">
      <c r="L2752"/>
    </row>
    <row r="2753" spans="12:12" ht="14.5" x14ac:dyDescent="0.35">
      <c r="L2753"/>
    </row>
    <row r="2754" spans="12:12" ht="14.5" x14ac:dyDescent="0.35">
      <c r="L2754"/>
    </row>
    <row r="2755" spans="12:12" ht="14.5" x14ac:dyDescent="0.35">
      <c r="L2755"/>
    </row>
    <row r="2756" spans="12:12" ht="14.5" x14ac:dyDescent="0.35">
      <c r="L2756"/>
    </row>
    <row r="2757" spans="12:12" ht="14.5" x14ac:dyDescent="0.35">
      <c r="L2757"/>
    </row>
    <row r="2758" spans="12:12" ht="14.5" x14ac:dyDescent="0.35">
      <c r="L2758"/>
    </row>
    <row r="2759" spans="12:12" ht="14.5" x14ac:dyDescent="0.35">
      <c r="L2759"/>
    </row>
    <row r="2760" spans="12:12" ht="14.5" x14ac:dyDescent="0.35">
      <c r="L2760"/>
    </row>
    <row r="2761" spans="12:12" ht="14.5" x14ac:dyDescent="0.35">
      <c r="L2761"/>
    </row>
    <row r="2762" spans="12:12" ht="14.5" x14ac:dyDescent="0.35">
      <c r="L2762"/>
    </row>
    <row r="2763" spans="12:12" ht="14.5" x14ac:dyDescent="0.35">
      <c r="L2763"/>
    </row>
    <row r="2764" spans="12:12" ht="14.5" x14ac:dyDescent="0.35">
      <c r="L2764"/>
    </row>
    <row r="2765" spans="12:12" ht="14.5" x14ac:dyDescent="0.35">
      <c r="L2765"/>
    </row>
    <row r="2766" spans="12:12" ht="14.5" x14ac:dyDescent="0.35">
      <c r="L2766"/>
    </row>
    <row r="2767" spans="12:12" ht="14.5" x14ac:dyDescent="0.35">
      <c r="L2767"/>
    </row>
    <row r="2768" spans="12:12" ht="14.5" x14ac:dyDescent="0.35">
      <c r="L2768"/>
    </row>
    <row r="2769" spans="12:12" ht="14.5" x14ac:dyDescent="0.35">
      <c r="L2769"/>
    </row>
    <row r="2770" spans="12:12" ht="14.5" x14ac:dyDescent="0.35">
      <c r="L2770"/>
    </row>
    <row r="2771" spans="12:12" ht="14.5" x14ac:dyDescent="0.35">
      <c r="L2771"/>
    </row>
    <row r="2772" spans="12:12" ht="14.5" x14ac:dyDescent="0.35">
      <c r="L2772"/>
    </row>
    <row r="2773" spans="12:12" ht="14.5" x14ac:dyDescent="0.35">
      <c r="L2773"/>
    </row>
    <row r="2774" spans="12:12" ht="14.5" x14ac:dyDescent="0.35">
      <c r="L2774"/>
    </row>
    <row r="2775" spans="12:12" ht="14.5" x14ac:dyDescent="0.35">
      <c r="L2775"/>
    </row>
    <row r="2776" spans="12:12" ht="14.5" x14ac:dyDescent="0.35">
      <c r="L2776"/>
    </row>
    <row r="2777" spans="12:12" ht="14.5" x14ac:dyDescent="0.35">
      <c r="L2777"/>
    </row>
    <row r="2778" spans="12:12" ht="14.5" x14ac:dyDescent="0.35">
      <c r="L2778"/>
    </row>
    <row r="2779" spans="12:12" ht="14.5" x14ac:dyDescent="0.35">
      <c r="L2779"/>
    </row>
    <row r="2780" spans="12:12" ht="14.5" x14ac:dyDescent="0.35">
      <c r="L2780"/>
    </row>
    <row r="2781" spans="12:12" ht="14.5" x14ac:dyDescent="0.35">
      <c r="L2781"/>
    </row>
    <row r="2782" spans="12:12" ht="14.5" x14ac:dyDescent="0.35">
      <c r="L2782"/>
    </row>
    <row r="2783" spans="12:12" ht="14.5" x14ac:dyDescent="0.35">
      <c r="L2783"/>
    </row>
    <row r="2784" spans="12:12" ht="14.5" x14ac:dyDescent="0.35">
      <c r="L2784"/>
    </row>
    <row r="2785" spans="12:12" ht="14.5" x14ac:dyDescent="0.35">
      <c r="L2785"/>
    </row>
    <row r="2786" spans="12:12" ht="14.5" x14ac:dyDescent="0.35">
      <c r="L2786"/>
    </row>
    <row r="2787" spans="12:12" ht="14.5" x14ac:dyDescent="0.35">
      <c r="L2787"/>
    </row>
    <row r="2788" spans="12:12" ht="14.5" x14ac:dyDescent="0.35">
      <c r="L2788"/>
    </row>
    <row r="2789" spans="12:12" ht="14.5" x14ac:dyDescent="0.35">
      <c r="L2789"/>
    </row>
    <row r="2790" spans="12:12" ht="14.5" x14ac:dyDescent="0.35">
      <c r="L2790"/>
    </row>
    <row r="2791" spans="12:12" ht="14.5" x14ac:dyDescent="0.35">
      <c r="L2791"/>
    </row>
    <row r="2792" spans="12:12" ht="14.5" x14ac:dyDescent="0.35">
      <c r="L2792"/>
    </row>
    <row r="2793" spans="12:12" ht="14.5" x14ac:dyDescent="0.35">
      <c r="L2793"/>
    </row>
    <row r="2794" spans="12:12" ht="14.5" x14ac:dyDescent="0.35">
      <c r="L2794"/>
    </row>
    <row r="2795" spans="12:12" ht="14.5" x14ac:dyDescent="0.35">
      <c r="L2795"/>
    </row>
    <row r="2796" spans="12:12" ht="14.5" x14ac:dyDescent="0.35">
      <c r="L2796"/>
    </row>
    <row r="2797" spans="12:12" ht="14.5" x14ac:dyDescent="0.35">
      <c r="L2797"/>
    </row>
    <row r="2798" spans="12:12" ht="14.5" x14ac:dyDescent="0.35">
      <c r="L2798"/>
    </row>
    <row r="2799" spans="12:12" ht="14.5" x14ac:dyDescent="0.35">
      <c r="L2799"/>
    </row>
    <row r="2800" spans="12:12" ht="14.5" x14ac:dyDescent="0.35">
      <c r="L2800"/>
    </row>
    <row r="2801" spans="12:12" ht="14.5" x14ac:dyDescent="0.35">
      <c r="L2801"/>
    </row>
    <row r="2802" spans="12:12" ht="14.5" x14ac:dyDescent="0.35">
      <c r="L2802"/>
    </row>
    <row r="2803" spans="12:12" ht="14.5" x14ac:dyDescent="0.35">
      <c r="L2803"/>
    </row>
    <row r="2804" spans="12:12" ht="14.5" x14ac:dyDescent="0.35">
      <c r="L2804"/>
    </row>
    <row r="2805" spans="12:12" ht="14.5" x14ac:dyDescent="0.35">
      <c r="L2805"/>
    </row>
    <row r="2806" spans="12:12" ht="14.5" x14ac:dyDescent="0.35">
      <c r="L2806"/>
    </row>
    <row r="2807" spans="12:12" ht="14.5" x14ac:dyDescent="0.35">
      <c r="L2807"/>
    </row>
    <row r="2808" spans="12:12" ht="14.5" x14ac:dyDescent="0.35">
      <c r="L2808"/>
    </row>
    <row r="2809" spans="12:12" ht="14.5" x14ac:dyDescent="0.35">
      <c r="L2809"/>
    </row>
    <row r="2810" spans="12:12" ht="14.5" x14ac:dyDescent="0.35">
      <c r="L2810"/>
    </row>
    <row r="2811" spans="12:12" ht="14.5" x14ac:dyDescent="0.35">
      <c r="L2811"/>
    </row>
    <row r="2812" spans="12:12" ht="14.5" x14ac:dyDescent="0.35">
      <c r="L2812"/>
    </row>
    <row r="2813" spans="12:12" ht="14.5" x14ac:dyDescent="0.35">
      <c r="L2813"/>
    </row>
    <row r="2814" spans="12:12" ht="14.5" x14ac:dyDescent="0.35">
      <c r="L2814"/>
    </row>
    <row r="2815" spans="12:12" ht="14.5" x14ac:dyDescent="0.35">
      <c r="L2815"/>
    </row>
    <row r="2816" spans="12:12" ht="14.5" x14ac:dyDescent="0.35">
      <c r="L2816"/>
    </row>
    <row r="2817" spans="12:12" ht="14.5" x14ac:dyDescent="0.35">
      <c r="L2817"/>
    </row>
    <row r="2818" spans="12:12" ht="14.5" x14ac:dyDescent="0.35">
      <c r="L2818"/>
    </row>
    <row r="2819" spans="12:12" ht="14.5" x14ac:dyDescent="0.35">
      <c r="L2819"/>
    </row>
    <row r="2820" spans="12:12" ht="14.5" x14ac:dyDescent="0.35">
      <c r="L2820"/>
    </row>
    <row r="2821" spans="12:12" ht="14.5" x14ac:dyDescent="0.35">
      <c r="L2821"/>
    </row>
    <row r="2822" spans="12:12" ht="14.5" x14ac:dyDescent="0.35">
      <c r="L2822"/>
    </row>
    <row r="2823" spans="12:12" ht="14.5" x14ac:dyDescent="0.35">
      <c r="L2823"/>
    </row>
    <row r="2824" spans="12:12" ht="14.5" x14ac:dyDescent="0.35">
      <c r="L2824"/>
    </row>
    <row r="2825" spans="12:12" ht="14.5" x14ac:dyDescent="0.35">
      <c r="L2825"/>
    </row>
    <row r="2826" spans="12:12" ht="14.5" x14ac:dyDescent="0.35">
      <c r="L2826"/>
    </row>
    <row r="2827" spans="12:12" ht="14.5" x14ac:dyDescent="0.35">
      <c r="L2827"/>
    </row>
    <row r="2828" spans="12:12" ht="14.5" x14ac:dyDescent="0.35">
      <c r="L2828"/>
    </row>
    <row r="2829" spans="12:12" ht="14.5" x14ac:dyDescent="0.35">
      <c r="L2829"/>
    </row>
    <row r="2830" spans="12:12" ht="14.5" x14ac:dyDescent="0.35">
      <c r="L2830"/>
    </row>
    <row r="2831" spans="12:12" ht="14.5" x14ac:dyDescent="0.35">
      <c r="L2831"/>
    </row>
    <row r="2832" spans="12:12" ht="14.5" x14ac:dyDescent="0.35">
      <c r="L2832"/>
    </row>
    <row r="2833" spans="12:12" ht="14.5" x14ac:dyDescent="0.35">
      <c r="L2833"/>
    </row>
    <row r="2834" spans="12:12" ht="14.5" x14ac:dyDescent="0.35">
      <c r="L2834"/>
    </row>
    <row r="2835" spans="12:12" ht="14.5" x14ac:dyDescent="0.35">
      <c r="L2835"/>
    </row>
    <row r="2836" spans="12:12" ht="14.5" x14ac:dyDescent="0.35">
      <c r="L2836"/>
    </row>
    <row r="2837" spans="12:12" ht="14.5" x14ac:dyDescent="0.35">
      <c r="L2837"/>
    </row>
    <row r="2838" spans="12:12" ht="14.5" x14ac:dyDescent="0.35">
      <c r="L2838"/>
    </row>
    <row r="2839" spans="12:12" ht="14.5" x14ac:dyDescent="0.35">
      <c r="L2839"/>
    </row>
    <row r="2840" spans="12:12" ht="14.5" x14ac:dyDescent="0.35">
      <c r="L2840"/>
    </row>
    <row r="2841" spans="12:12" ht="14.5" x14ac:dyDescent="0.35">
      <c r="L2841"/>
    </row>
    <row r="2842" spans="12:12" ht="14.5" x14ac:dyDescent="0.35">
      <c r="L2842"/>
    </row>
    <row r="2843" spans="12:12" ht="14.5" x14ac:dyDescent="0.35">
      <c r="L2843"/>
    </row>
    <row r="2844" spans="12:12" ht="14.5" x14ac:dyDescent="0.35">
      <c r="L2844"/>
    </row>
    <row r="2845" spans="12:12" ht="14.5" x14ac:dyDescent="0.35">
      <c r="L2845"/>
    </row>
    <row r="2846" spans="12:12" ht="14.5" x14ac:dyDescent="0.35">
      <c r="L2846"/>
    </row>
    <row r="2847" spans="12:12" ht="14.5" x14ac:dyDescent="0.35">
      <c r="L2847"/>
    </row>
    <row r="2848" spans="12:12" ht="14.5" x14ac:dyDescent="0.35">
      <c r="L2848"/>
    </row>
    <row r="2849" spans="12:12" ht="14.5" x14ac:dyDescent="0.35">
      <c r="L2849"/>
    </row>
    <row r="2850" spans="12:12" ht="14.5" x14ac:dyDescent="0.35">
      <c r="L2850"/>
    </row>
    <row r="2851" spans="12:12" ht="14.5" x14ac:dyDescent="0.35">
      <c r="L2851"/>
    </row>
    <row r="2852" spans="12:12" ht="14.5" x14ac:dyDescent="0.35">
      <c r="L2852"/>
    </row>
    <row r="2853" spans="12:12" ht="14.5" x14ac:dyDescent="0.35">
      <c r="L2853"/>
    </row>
    <row r="2854" spans="12:12" ht="14.5" x14ac:dyDescent="0.35">
      <c r="L2854"/>
    </row>
    <row r="2855" spans="12:12" ht="14.5" x14ac:dyDescent="0.35">
      <c r="L2855"/>
    </row>
    <row r="2856" spans="12:12" ht="14.5" x14ac:dyDescent="0.35">
      <c r="L2856"/>
    </row>
    <row r="2857" spans="12:12" ht="14.5" x14ac:dyDescent="0.35">
      <c r="L2857"/>
    </row>
    <row r="2858" spans="12:12" ht="14.5" x14ac:dyDescent="0.35">
      <c r="L2858"/>
    </row>
    <row r="2859" spans="12:12" ht="14.5" x14ac:dyDescent="0.35">
      <c r="L2859"/>
    </row>
    <row r="2860" spans="12:12" ht="14.5" x14ac:dyDescent="0.35">
      <c r="L2860"/>
    </row>
    <row r="2861" spans="12:12" ht="14.5" x14ac:dyDescent="0.35">
      <c r="L2861"/>
    </row>
    <row r="2862" spans="12:12" ht="14.5" x14ac:dyDescent="0.35">
      <c r="L2862"/>
    </row>
    <row r="2863" spans="12:12" ht="14.5" x14ac:dyDescent="0.35">
      <c r="L2863"/>
    </row>
    <row r="2864" spans="12:12" ht="14.5" x14ac:dyDescent="0.35">
      <c r="L2864"/>
    </row>
    <row r="2865" spans="12:12" ht="14.5" x14ac:dyDescent="0.35">
      <c r="L2865"/>
    </row>
    <row r="2866" spans="12:12" ht="14.5" x14ac:dyDescent="0.35">
      <c r="L2866"/>
    </row>
    <row r="2867" spans="12:12" ht="14.5" x14ac:dyDescent="0.35">
      <c r="L2867"/>
    </row>
    <row r="2868" spans="12:12" ht="14.5" x14ac:dyDescent="0.35">
      <c r="L2868"/>
    </row>
    <row r="2869" spans="12:12" ht="14.5" x14ac:dyDescent="0.35">
      <c r="L2869"/>
    </row>
    <row r="2870" spans="12:12" ht="14.5" x14ac:dyDescent="0.35">
      <c r="L2870"/>
    </row>
    <row r="2871" spans="12:12" ht="14.5" x14ac:dyDescent="0.35">
      <c r="L2871"/>
    </row>
    <row r="2872" spans="12:12" ht="14.5" x14ac:dyDescent="0.35">
      <c r="L2872"/>
    </row>
    <row r="2873" spans="12:12" ht="14.5" x14ac:dyDescent="0.35">
      <c r="L2873"/>
    </row>
    <row r="2874" spans="12:12" ht="14.5" x14ac:dyDescent="0.35">
      <c r="L2874"/>
    </row>
    <row r="2875" spans="12:12" ht="14.5" x14ac:dyDescent="0.35">
      <c r="L2875"/>
    </row>
    <row r="2876" spans="12:12" ht="14.5" x14ac:dyDescent="0.35">
      <c r="L2876"/>
    </row>
    <row r="2877" spans="12:12" ht="14.5" x14ac:dyDescent="0.35">
      <c r="L2877"/>
    </row>
    <row r="2878" spans="12:12" ht="14.5" x14ac:dyDescent="0.35">
      <c r="L2878"/>
    </row>
    <row r="2879" spans="12:12" ht="14.5" x14ac:dyDescent="0.35">
      <c r="L2879"/>
    </row>
    <row r="2880" spans="12:12" ht="14.5" x14ac:dyDescent="0.35">
      <c r="L2880"/>
    </row>
    <row r="2881" spans="12:12" ht="14.5" x14ac:dyDescent="0.35">
      <c r="L2881"/>
    </row>
    <row r="2882" spans="12:12" ht="14.5" x14ac:dyDescent="0.35">
      <c r="L2882"/>
    </row>
    <row r="2883" spans="12:12" ht="14.5" x14ac:dyDescent="0.35">
      <c r="L2883"/>
    </row>
    <row r="2884" spans="12:12" ht="14.5" x14ac:dyDescent="0.35">
      <c r="L2884"/>
    </row>
    <row r="2885" spans="12:12" ht="14.5" x14ac:dyDescent="0.35">
      <c r="L2885"/>
    </row>
    <row r="2886" spans="12:12" ht="14.5" x14ac:dyDescent="0.35">
      <c r="L2886"/>
    </row>
    <row r="2887" spans="12:12" ht="14.5" x14ac:dyDescent="0.35">
      <c r="L2887"/>
    </row>
    <row r="2888" spans="12:12" ht="14.5" x14ac:dyDescent="0.35">
      <c r="L2888"/>
    </row>
    <row r="2889" spans="12:12" ht="14.5" x14ac:dyDescent="0.35">
      <c r="L2889"/>
    </row>
    <row r="2890" spans="12:12" ht="14.5" x14ac:dyDescent="0.35">
      <c r="L2890"/>
    </row>
    <row r="2891" spans="12:12" ht="14.5" x14ac:dyDescent="0.35">
      <c r="L2891"/>
    </row>
    <row r="2892" spans="12:12" ht="14.5" x14ac:dyDescent="0.35">
      <c r="L2892"/>
    </row>
    <row r="2893" spans="12:12" ht="14.5" x14ac:dyDescent="0.35">
      <c r="L2893"/>
    </row>
    <row r="2894" spans="12:12" ht="14.5" x14ac:dyDescent="0.35">
      <c r="L2894"/>
    </row>
    <row r="2895" spans="12:12" ht="14.5" x14ac:dyDescent="0.35">
      <c r="L2895"/>
    </row>
    <row r="2896" spans="12:12" ht="14.5" x14ac:dyDescent="0.35">
      <c r="L2896"/>
    </row>
    <row r="2897" spans="12:12" ht="14.5" x14ac:dyDescent="0.35">
      <c r="L2897"/>
    </row>
    <row r="2898" spans="12:12" ht="14.5" x14ac:dyDescent="0.35">
      <c r="L2898"/>
    </row>
    <row r="2899" spans="12:12" ht="14.5" x14ac:dyDescent="0.35">
      <c r="L2899"/>
    </row>
    <row r="2900" spans="12:12" ht="14.5" x14ac:dyDescent="0.35">
      <c r="L2900"/>
    </row>
    <row r="2901" spans="12:12" ht="14.5" x14ac:dyDescent="0.35">
      <c r="L2901"/>
    </row>
    <row r="2902" spans="12:12" ht="14.5" x14ac:dyDescent="0.35">
      <c r="L2902"/>
    </row>
    <row r="2903" spans="12:12" ht="14.5" x14ac:dyDescent="0.35">
      <c r="L2903"/>
    </row>
    <row r="2904" spans="12:12" ht="14.5" x14ac:dyDescent="0.35">
      <c r="L2904"/>
    </row>
    <row r="2905" spans="12:12" ht="14.5" x14ac:dyDescent="0.35">
      <c r="L2905"/>
    </row>
    <row r="2906" spans="12:12" ht="14.5" x14ac:dyDescent="0.35">
      <c r="L2906"/>
    </row>
    <row r="2907" spans="12:12" ht="14.5" x14ac:dyDescent="0.35">
      <c r="L2907"/>
    </row>
    <row r="2908" spans="12:12" ht="14.5" x14ac:dyDescent="0.35">
      <c r="L2908"/>
    </row>
    <row r="2909" spans="12:12" ht="14.5" x14ac:dyDescent="0.35">
      <c r="L2909"/>
    </row>
    <row r="2910" spans="12:12" ht="14.5" x14ac:dyDescent="0.35">
      <c r="L2910"/>
    </row>
    <row r="2911" spans="12:12" ht="14.5" x14ac:dyDescent="0.35">
      <c r="L2911"/>
    </row>
    <row r="2912" spans="12:12" ht="14.5" x14ac:dyDescent="0.35">
      <c r="L2912"/>
    </row>
    <row r="2913" spans="12:12" ht="14.5" x14ac:dyDescent="0.35">
      <c r="L2913"/>
    </row>
    <row r="2914" spans="12:12" ht="14.5" x14ac:dyDescent="0.35">
      <c r="L2914"/>
    </row>
    <row r="2915" spans="12:12" ht="14.5" x14ac:dyDescent="0.35">
      <c r="L2915"/>
    </row>
    <row r="2916" spans="12:12" ht="14.5" x14ac:dyDescent="0.35">
      <c r="L2916"/>
    </row>
    <row r="2917" spans="12:12" ht="14.5" x14ac:dyDescent="0.35">
      <c r="L2917"/>
    </row>
    <row r="2918" spans="12:12" ht="14.5" x14ac:dyDescent="0.35">
      <c r="L2918"/>
    </row>
    <row r="2919" spans="12:12" ht="14.5" x14ac:dyDescent="0.35">
      <c r="L2919"/>
    </row>
    <row r="2920" spans="12:12" ht="14.5" x14ac:dyDescent="0.35">
      <c r="L2920"/>
    </row>
    <row r="2921" spans="12:12" ht="14.5" x14ac:dyDescent="0.35">
      <c r="L2921"/>
    </row>
    <row r="2922" spans="12:12" ht="14.5" x14ac:dyDescent="0.35">
      <c r="L2922"/>
    </row>
    <row r="2923" spans="12:12" ht="14.5" x14ac:dyDescent="0.35">
      <c r="L2923"/>
    </row>
    <row r="2924" spans="12:12" ht="14.5" x14ac:dyDescent="0.35">
      <c r="L2924"/>
    </row>
    <row r="2925" spans="12:12" ht="14.5" x14ac:dyDescent="0.35">
      <c r="L2925"/>
    </row>
    <row r="2926" spans="12:12" ht="14.5" x14ac:dyDescent="0.35">
      <c r="L2926"/>
    </row>
    <row r="2927" spans="12:12" ht="14.5" x14ac:dyDescent="0.35">
      <c r="L2927"/>
    </row>
    <row r="2928" spans="12:12" ht="14.5" x14ac:dyDescent="0.35">
      <c r="L2928"/>
    </row>
    <row r="2929" spans="12:12" ht="14.5" x14ac:dyDescent="0.35">
      <c r="L2929"/>
    </row>
    <row r="2930" spans="12:12" ht="14.5" x14ac:dyDescent="0.35">
      <c r="L2930"/>
    </row>
    <row r="2931" spans="12:12" ht="14.5" x14ac:dyDescent="0.35">
      <c r="L2931"/>
    </row>
    <row r="2932" spans="12:12" ht="14.5" x14ac:dyDescent="0.35">
      <c r="L2932"/>
    </row>
    <row r="2933" spans="12:12" ht="14.5" x14ac:dyDescent="0.35">
      <c r="L2933"/>
    </row>
    <row r="2934" spans="12:12" ht="14.5" x14ac:dyDescent="0.35">
      <c r="L2934"/>
    </row>
    <row r="2935" spans="12:12" ht="14.5" x14ac:dyDescent="0.35">
      <c r="L2935"/>
    </row>
    <row r="2936" spans="12:12" ht="14.5" x14ac:dyDescent="0.35">
      <c r="L2936"/>
    </row>
    <row r="2937" spans="12:12" ht="14.5" x14ac:dyDescent="0.35">
      <c r="L2937"/>
    </row>
    <row r="2938" spans="12:12" ht="14.5" x14ac:dyDescent="0.35">
      <c r="L2938"/>
    </row>
    <row r="2939" spans="12:12" ht="14.5" x14ac:dyDescent="0.35">
      <c r="L2939"/>
    </row>
    <row r="2940" spans="12:12" ht="14.5" x14ac:dyDescent="0.35">
      <c r="L2940"/>
    </row>
    <row r="2941" spans="12:12" ht="14.5" x14ac:dyDescent="0.35">
      <c r="L2941"/>
    </row>
    <row r="2942" spans="12:12" ht="14.5" x14ac:dyDescent="0.35">
      <c r="L2942"/>
    </row>
    <row r="2943" spans="12:12" ht="14.5" x14ac:dyDescent="0.35">
      <c r="L2943"/>
    </row>
    <row r="2944" spans="12:12" ht="14.5" x14ac:dyDescent="0.35">
      <c r="L2944"/>
    </row>
    <row r="2945" spans="12:12" ht="14.5" x14ac:dyDescent="0.35">
      <c r="L2945"/>
    </row>
    <row r="2946" spans="12:12" ht="14.5" x14ac:dyDescent="0.35">
      <c r="L2946"/>
    </row>
    <row r="2947" spans="12:12" ht="14.5" x14ac:dyDescent="0.35">
      <c r="L2947"/>
    </row>
    <row r="2948" spans="12:12" ht="14.5" x14ac:dyDescent="0.35">
      <c r="L2948"/>
    </row>
    <row r="2949" spans="12:12" ht="14.5" x14ac:dyDescent="0.35">
      <c r="L2949"/>
    </row>
    <row r="2950" spans="12:12" ht="14.5" x14ac:dyDescent="0.35">
      <c r="L2950"/>
    </row>
    <row r="2951" spans="12:12" ht="14.5" x14ac:dyDescent="0.35">
      <c r="L2951"/>
    </row>
    <row r="2952" spans="12:12" ht="14.5" x14ac:dyDescent="0.35">
      <c r="L2952"/>
    </row>
    <row r="2953" spans="12:12" ht="14.5" x14ac:dyDescent="0.35">
      <c r="L2953"/>
    </row>
    <row r="2954" spans="12:12" ht="14.5" x14ac:dyDescent="0.35">
      <c r="L2954"/>
    </row>
    <row r="2955" spans="12:12" ht="14.5" x14ac:dyDescent="0.35">
      <c r="L2955"/>
    </row>
    <row r="2956" spans="12:12" ht="14.5" x14ac:dyDescent="0.35">
      <c r="L2956"/>
    </row>
    <row r="2957" spans="12:12" ht="14.5" x14ac:dyDescent="0.35">
      <c r="L2957"/>
    </row>
    <row r="2958" spans="12:12" ht="14.5" x14ac:dyDescent="0.35">
      <c r="L2958"/>
    </row>
    <row r="2959" spans="12:12" ht="14.5" x14ac:dyDescent="0.35">
      <c r="L2959"/>
    </row>
    <row r="2960" spans="12:12" ht="14.5" x14ac:dyDescent="0.35">
      <c r="L2960"/>
    </row>
    <row r="2961" spans="12:12" ht="14.5" x14ac:dyDescent="0.35">
      <c r="L2961"/>
    </row>
    <row r="2962" spans="12:12" ht="14.5" x14ac:dyDescent="0.35">
      <c r="L2962"/>
    </row>
    <row r="2963" spans="12:12" ht="14.5" x14ac:dyDescent="0.35">
      <c r="L2963"/>
    </row>
    <row r="2964" spans="12:12" ht="14.5" x14ac:dyDescent="0.35">
      <c r="L2964"/>
    </row>
    <row r="2965" spans="12:12" ht="14.5" x14ac:dyDescent="0.35">
      <c r="L2965"/>
    </row>
    <row r="2966" spans="12:12" ht="14.5" x14ac:dyDescent="0.35">
      <c r="L2966"/>
    </row>
    <row r="2967" spans="12:12" ht="14.5" x14ac:dyDescent="0.35">
      <c r="L2967"/>
    </row>
    <row r="2968" spans="12:12" ht="14.5" x14ac:dyDescent="0.35">
      <c r="L2968"/>
    </row>
    <row r="2969" spans="12:12" ht="14.5" x14ac:dyDescent="0.35">
      <c r="L2969"/>
    </row>
    <row r="2970" spans="12:12" ht="14.5" x14ac:dyDescent="0.35">
      <c r="L2970"/>
    </row>
    <row r="2971" spans="12:12" ht="14.5" x14ac:dyDescent="0.35">
      <c r="L2971"/>
    </row>
    <row r="2972" spans="12:12" ht="14.5" x14ac:dyDescent="0.35">
      <c r="L2972"/>
    </row>
    <row r="2973" spans="12:12" ht="14.5" x14ac:dyDescent="0.35">
      <c r="L2973"/>
    </row>
    <row r="2974" spans="12:12" ht="14.5" x14ac:dyDescent="0.35">
      <c r="L2974"/>
    </row>
    <row r="2975" spans="12:12" ht="14.5" x14ac:dyDescent="0.35">
      <c r="L2975"/>
    </row>
    <row r="2976" spans="12:12" ht="14.5" x14ac:dyDescent="0.35">
      <c r="L2976"/>
    </row>
    <row r="2977" spans="12:12" ht="14.5" x14ac:dyDescent="0.35">
      <c r="L2977"/>
    </row>
    <row r="2978" spans="12:12" ht="14.5" x14ac:dyDescent="0.35">
      <c r="L2978"/>
    </row>
    <row r="2979" spans="12:12" ht="14.5" x14ac:dyDescent="0.35">
      <c r="L2979"/>
    </row>
    <row r="2980" spans="12:12" ht="14.5" x14ac:dyDescent="0.35">
      <c r="L2980"/>
    </row>
    <row r="2981" spans="12:12" ht="14.5" x14ac:dyDescent="0.35">
      <c r="L2981"/>
    </row>
    <row r="2982" spans="12:12" ht="14.5" x14ac:dyDescent="0.35">
      <c r="L2982"/>
    </row>
    <row r="2983" spans="12:12" ht="14.5" x14ac:dyDescent="0.35">
      <c r="L2983"/>
    </row>
    <row r="2984" spans="12:12" ht="14.5" x14ac:dyDescent="0.35">
      <c r="L2984"/>
    </row>
    <row r="2985" spans="12:12" ht="14.5" x14ac:dyDescent="0.35">
      <c r="L2985"/>
    </row>
    <row r="2986" spans="12:12" ht="14.5" x14ac:dyDescent="0.35">
      <c r="L2986"/>
    </row>
    <row r="2987" spans="12:12" ht="14.5" x14ac:dyDescent="0.35">
      <c r="L2987"/>
    </row>
    <row r="2988" spans="12:12" ht="14.5" x14ac:dyDescent="0.35">
      <c r="L2988"/>
    </row>
    <row r="2989" spans="12:12" ht="14.5" x14ac:dyDescent="0.35">
      <c r="L2989"/>
    </row>
    <row r="2990" spans="12:12" ht="14.5" x14ac:dyDescent="0.35">
      <c r="L2990"/>
    </row>
    <row r="2991" spans="12:12" ht="14.5" x14ac:dyDescent="0.35">
      <c r="L2991"/>
    </row>
    <row r="2992" spans="12:12" ht="14.5" x14ac:dyDescent="0.35">
      <c r="L2992"/>
    </row>
    <row r="2993" spans="12:12" ht="14.5" x14ac:dyDescent="0.35">
      <c r="L2993"/>
    </row>
    <row r="2994" spans="12:12" ht="14.5" x14ac:dyDescent="0.35">
      <c r="L2994"/>
    </row>
    <row r="2995" spans="12:12" ht="14.5" x14ac:dyDescent="0.35">
      <c r="L2995"/>
    </row>
    <row r="2996" spans="12:12" ht="14.5" x14ac:dyDescent="0.35">
      <c r="L2996"/>
    </row>
    <row r="2997" spans="12:12" ht="14.5" x14ac:dyDescent="0.35">
      <c r="L2997"/>
    </row>
    <row r="2998" spans="12:12" ht="14.5" x14ac:dyDescent="0.35">
      <c r="L2998"/>
    </row>
    <row r="2999" spans="12:12" ht="14.5" x14ac:dyDescent="0.35">
      <c r="L2999"/>
    </row>
    <row r="3000" spans="12:12" ht="14.5" x14ac:dyDescent="0.35">
      <c r="L3000"/>
    </row>
    <row r="3001" spans="12:12" ht="14.5" x14ac:dyDescent="0.35">
      <c r="L3001"/>
    </row>
    <row r="3002" spans="12:12" ht="14.5" x14ac:dyDescent="0.35">
      <c r="L3002"/>
    </row>
    <row r="3003" spans="12:12" ht="14.5" x14ac:dyDescent="0.35">
      <c r="L3003"/>
    </row>
    <row r="3004" spans="12:12" ht="14.5" x14ac:dyDescent="0.35">
      <c r="L3004"/>
    </row>
    <row r="3005" spans="12:12" ht="14.5" x14ac:dyDescent="0.35">
      <c r="L3005"/>
    </row>
    <row r="3006" spans="12:12" ht="14.5" x14ac:dyDescent="0.35">
      <c r="L3006"/>
    </row>
    <row r="3007" spans="12:12" ht="14.5" x14ac:dyDescent="0.35">
      <c r="L3007"/>
    </row>
    <row r="3008" spans="12:12" ht="14.5" x14ac:dyDescent="0.35">
      <c r="L3008"/>
    </row>
    <row r="3009" spans="12:12" ht="14.5" x14ac:dyDescent="0.35">
      <c r="L3009"/>
    </row>
    <row r="3010" spans="12:12" ht="14.5" x14ac:dyDescent="0.35">
      <c r="L3010"/>
    </row>
    <row r="3011" spans="12:12" ht="14.5" x14ac:dyDescent="0.35">
      <c r="L3011"/>
    </row>
    <row r="3012" spans="12:12" ht="14.5" x14ac:dyDescent="0.35">
      <c r="L3012"/>
    </row>
    <row r="3013" spans="12:12" ht="14.5" x14ac:dyDescent="0.35">
      <c r="L3013"/>
    </row>
    <row r="3014" spans="12:12" ht="14.5" x14ac:dyDescent="0.35">
      <c r="L3014"/>
    </row>
    <row r="3015" spans="12:12" ht="14.5" x14ac:dyDescent="0.35">
      <c r="L3015"/>
    </row>
    <row r="3016" spans="12:12" ht="14.5" x14ac:dyDescent="0.35">
      <c r="L3016"/>
    </row>
    <row r="3017" spans="12:12" ht="14.5" x14ac:dyDescent="0.35">
      <c r="L3017"/>
    </row>
    <row r="3018" spans="12:12" ht="14.5" x14ac:dyDescent="0.35">
      <c r="L3018"/>
    </row>
    <row r="3019" spans="12:12" ht="14.5" x14ac:dyDescent="0.35">
      <c r="L3019"/>
    </row>
    <row r="3020" spans="12:12" ht="14.5" x14ac:dyDescent="0.35">
      <c r="L3020"/>
    </row>
    <row r="3021" spans="12:12" ht="14.5" x14ac:dyDescent="0.35">
      <c r="L3021"/>
    </row>
    <row r="3022" spans="12:12" ht="14.5" x14ac:dyDescent="0.35">
      <c r="L3022"/>
    </row>
    <row r="3023" spans="12:12" ht="14.5" x14ac:dyDescent="0.35">
      <c r="L3023"/>
    </row>
    <row r="3024" spans="12:12" ht="14.5" x14ac:dyDescent="0.35">
      <c r="L3024"/>
    </row>
    <row r="3025" spans="12:12" ht="14.5" x14ac:dyDescent="0.35">
      <c r="L3025"/>
    </row>
    <row r="3026" spans="12:12" ht="14.5" x14ac:dyDescent="0.35">
      <c r="L3026"/>
    </row>
    <row r="3027" spans="12:12" ht="14.5" x14ac:dyDescent="0.35">
      <c r="L3027"/>
    </row>
    <row r="3028" spans="12:12" ht="14.5" x14ac:dyDescent="0.35">
      <c r="L3028"/>
    </row>
    <row r="3029" spans="12:12" ht="14.5" x14ac:dyDescent="0.35">
      <c r="L3029"/>
    </row>
    <row r="3030" spans="12:12" ht="14.5" x14ac:dyDescent="0.35">
      <c r="L3030"/>
    </row>
    <row r="3031" spans="12:12" ht="14.5" x14ac:dyDescent="0.35">
      <c r="L3031"/>
    </row>
    <row r="3032" spans="12:12" ht="14.5" x14ac:dyDescent="0.35">
      <c r="L3032"/>
    </row>
    <row r="3033" spans="12:12" ht="14.5" x14ac:dyDescent="0.35">
      <c r="L3033"/>
    </row>
    <row r="3034" spans="12:12" ht="14.5" x14ac:dyDescent="0.35">
      <c r="L3034"/>
    </row>
    <row r="3035" spans="12:12" ht="14.5" x14ac:dyDescent="0.35">
      <c r="L3035"/>
    </row>
    <row r="3036" spans="12:12" ht="14.5" x14ac:dyDescent="0.35">
      <c r="L3036"/>
    </row>
    <row r="3037" spans="12:12" ht="14.5" x14ac:dyDescent="0.35">
      <c r="L3037"/>
    </row>
    <row r="3038" spans="12:12" ht="14.5" x14ac:dyDescent="0.35">
      <c r="L3038"/>
    </row>
    <row r="3039" spans="12:12" ht="14.5" x14ac:dyDescent="0.35">
      <c r="L3039"/>
    </row>
    <row r="3040" spans="12:12" ht="14.5" x14ac:dyDescent="0.35">
      <c r="L3040"/>
    </row>
    <row r="3041" spans="12:12" ht="14.5" x14ac:dyDescent="0.35">
      <c r="L3041"/>
    </row>
    <row r="3042" spans="12:12" ht="14.5" x14ac:dyDescent="0.35">
      <c r="L3042"/>
    </row>
    <row r="3043" spans="12:12" ht="14.5" x14ac:dyDescent="0.35">
      <c r="L3043"/>
    </row>
    <row r="3044" spans="12:12" ht="14.5" x14ac:dyDescent="0.35">
      <c r="L3044"/>
    </row>
    <row r="3045" spans="12:12" ht="14.5" x14ac:dyDescent="0.35">
      <c r="L3045"/>
    </row>
    <row r="3046" spans="12:12" ht="14.5" x14ac:dyDescent="0.35">
      <c r="L3046"/>
    </row>
    <row r="3047" spans="12:12" ht="14.5" x14ac:dyDescent="0.35">
      <c r="L3047"/>
    </row>
    <row r="3048" spans="12:12" ht="14.5" x14ac:dyDescent="0.35">
      <c r="L3048"/>
    </row>
    <row r="3049" spans="12:12" ht="14.5" x14ac:dyDescent="0.35">
      <c r="L3049"/>
    </row>
    <row r="3050" spans="12:12" ht="14.5" x14ac:dyDescent="0.35">
      <c r="L3050"/>
    </row>
    <row r="3051" spans="12:12" ht="14.5" x14ac:dyDescent="0.35">
      <c r="L3051"/>
    </row>
    <row r="3052" spans="12:12" ht="14.5" x14ac:dyDescent="0.35">
      <c r="L3052"/>
    </row>
    <row r="3053" spans="12:12" ht="14.5" x14ac:dyDescent="0.35">
      <c r="L3053"/>
    </row>
    <row r="3054" spans="12:12" ht="14.5" x14ac:dyDescent="0.35">
      <c r="L3054"/>
    </row>
    <row r="3055" spans="12:12" ht="14.5" x14ac:dyDescent="0.35">
      <c r="L3055"/>
    </row>
    <row r="3056" spans="12:12" ht="14.5" x14ac:dyDescent="0.35">
      <c r="L3056"/>
    </row>
    <row r="3057" spans="12:12" ht="14.5" x14ac:dyDescent="0.35">
      <c r="L3057"/>
    </row>
    <row r="3058" spans="12:12" ht="14.5" x14ac:dyDescent="0.35">
      <c r="L3058"/>
    </row>
    <row r="3059" spans="12:12" ht="14.5" x14ac:dyDescent="0.35">
      <c r="L3059"/>
    </row>
    <row r="3060" spans="12:12" ht="14.5" x14ac:dyDescent="0.35">
      <c r="L3060"/>
    </row>
    <row r="3061" spans="12:12" ht="14.5" x14ac:dyDescent="0.35">
      <c r="L3061"/>
    </row>
    <row r="3062" spans="12:12" ht="14.5" x14ac:dyDescent="0.35">
      <c r="L3062"/>
    </row>
    <row r="3063" spans="12:12" ht="14.5" x14ac:dyDescent="0.35">
      <c r="L3063"/>
    </row>
    <row r="3064" spans="12:12" ht="14.5" x14ac:dyDescent="0.35">
      <c r="L3064"/>
    </row>
    <row r="3065" spans="12:12" ht="14.5" x14ac:dyDescent="0.35">
      <c r="L3065"/>
    </row>
    <row r="3066" spans="12:12" ht="14.5" x14ac:dyDescent="0.35">
      <c r="L3066"/>
    </row>
    <row r="3067" spans="12:12" ht="14.5" x14ac:dyDescent="0.35">
      <c r="L3067"/>
    </row>
    <row r="3068" spans="12:12" ht="14.5" x14ac:dyDescent="0.35">
      <c r="L3068"/>
    </row>
    <row r="3069" spans="12:12" ht="14.5" x14ac:dyDescent="0.35">
      <c r="L3069"/>
    </row>
    <row r="3070" spans="12:12" ht="14.5" x14ac:dyDescent="0.35">
      <c r="L3070"/>
    </row>
    <row r="3071" spans="12:12" ht="14.5" x14ac:dyDescent="0.35">
      <c r="L3071"/>
    </row>
    <row r="3072" spans="12:12" ht="14.5" x14ac:dyDescent="0.35">
      <c r="L3072"/>
    </row>
    <row r="3073" spans="12:12" ht="14.5" x14ac:dyDescent="0.35">
      <c r="L3073"/>
    </row>
    <row r="3074" spans="12:12" ht="14.5" x14ac:dyDescent="0.35">
      <c r="L3074"/>
    </row>
    <row r="3075" spans="12:12" ht="14.5" x14ac:dyDescent="0.35">
      <c r="L3075"/>
    </row>
    <row r="3076" spans="12:12" ht="14.5" x14ac:dyDescent="0.35">
      <c r="L3076"/>
    </row>
    <row r="3077" spans="12:12" ht="14.5" x14ac:dyDescent="0.35">
      <c r="L3077"/>
    </row>
    <row r="3078" spans="12:12" ht="14.5" x14ac:dyDescent="0.35">
      <c r="L3078"/>
    </row>
    <row r="3079" spans="12:12" ht="14.5" x14ac:dyDescent="0.35">
      <c r="L3079"/>
    </row>
    <row r="3080" spans="12:12" ht="14.5" x14ac:dyDescent="0.35">
      <c r="L3080"/>
    </row>
    <row r="3081" spans="12:12" ht="14.5" x14ac:dyDescent="0.35">
      <c r="L3081"/>
    </row>
    <row r="3082" spans="12:12" ht="14.5" x14ac:dyDescent="0.35">
      <c r="L3082"/>
    </row>
    <row r="3083" spans="12:12" ht="14.5" x14ac:dyDescent="0.35">
      <c r="L3083"/>
    </row>
    <row r="3084" spans="12:12" ht="14.5" x14ac:dyDescent="0.35">
      <c r="L3084"/>
    </row>
    <row r="3085" spans="12:12" ht="14.5" x14ac:dyDescent="0.35">
      <c r="L3085"/>
    </row>
    <row r="3086" spans="12:12" ht="14.5" x14ac:dyDescent="0.35">
      <c r="L3086"/>
    </row>
    <row r="3087" spans="12:12" ht="14.5" x14ac:dyDescent="0.35">
      <c r="L3087"/>
    </row>
    <row r="3088" spans="12:12" ht="14.5" x14ac:dyDescent="0.35">
      <c r="L3088"/>
    </row>
    <row r="3089" spans="12:12" ht="14.5" x14ac:dyDescent="0.35">
      <c r="L3089"/>
    </row>
    <row r="3090" spans="12:12" ht="14.5" x14ac:dyDescent="0.35">
      <c r="L3090"/>
    </row>
    <row r="3091" spans="12:12" ht="14.5" x14ac:dyDescent="0.35">
      <c r="L3091"/>
    </row>
    <row r="3092" spans="12:12" ht="14.5" x14ac:dyDescent="0.35">
      <c r="L3092"/>
    </row>
    <row r="3093" spans="12:12" ht="14.5" x14ac:dyDescent="0.35">
      <c r="L3093"/>
    </row>
    <row r="3094" spans="12:12" ht="14.5" x14ac:dyDescent="0.35">
      <c r="L3094"/>
    </row>
    <row r="3095" spans="12:12" ht="14.5" x14ac:dyDescent="0.35">
      <c r="L3095"/>
    </row>
    <row r="3096" spans="12:12" ht="14.5" x14ac:dyDescent="0.35">
      <c r="L3096"/>
    </row>
    <row r="3097" spans="12:12" ht="14.5" x14ac:dyDescent="0.35">
      <c r="L3097"/>
    </row>
    <row r="3098" spans="12:12" ht="14.5" x14ac:dyDescent="0.35">
      <c r="L3098"/>
    </row>
    <row r="3099" spans="12:12" ht="14.5" x14ac:dyDescent="0.35">
      <c r="L3099"/>
    </row>
    <row r="3100" spans="12:12" ht="14.5" x14ac:dyDescent="0.35">
      <c r="L3100"/>
    </row>
    <row r="3101" spans="12:12" ht="14.5" x14ac:dyDescent="0.35">
      <c r="L3101"/>
    </row>
    <row r="3102" spans="12:12" ht="14.5" x14ac:dyDescent="0.35">
      <c r="L3102"/>
    </row>
    <row r="3103" spans="12:12" ht="14.5" x14ac:dyDescent="0.35">
      <c r="L3103"/>
    </row>
    <row r="3104" spans="12:12" ht="14.5" x14ac:dyDescent="0.35">
      <c r="L3104"/>
    </row>
    <row r="3105" spans="12:12" ht="14.5" x14ac:dyDescent="0.35">
      <c r="L3105"/>
    </row>
    <row r="3106" spans="12:12" ht="14.5" x14ac:dyDescent="0.35">
      <c r="L3106"/>
    </row>
    <row r="3107" spans="12:12" ht="14.5" x14ac:dyDescent="0.35">
      <c r="L3107"/>
    </row>
    <row r="3108" spans="12:12" ht="14.5" x14ac:dyDescent="0.35">
      <c r="L3108"/>
    </row>
    <row r="3109" spans="12:12" ht="14.5" x14ac:dyDescent="0.35">
      <c r="L3109"/>
    </row>
    <row r="3110" spans="12:12" ht="14.5" x14ac:dyDescent="0.35">
      <c r="L3110"/>
    </row>
    <row r="3111" spans="12:12" ht="14.5" x14ac:dyDescent="0.35">
      <c r="L3111"/>
    </row>
    <row r="3112" spans="12:12" ht="14.5" x14ac:dyDescent="0.35">
      <c r="L3112"/>
    </row>
    <row r="3113" spans="12:12" ht="14.5" x14ac:dyDescent="0.35">
      <c r="L3113"/>
    </row>
    <row r="3114" spans="12:12" ht="14.5" x14ac:dyDescent="0.35">
      <c r="L3114"/>
    </row>
    <row r="3115" spans="12:12" ht="14.5" x14ac:dyDescent="0.35">
      <c r="L3115"/>
    </row>
    <row r="3116" spans="12:12" ht="14.5" x14ac:dyDescent="0.35">
      <c r="L3116"/>
    </row>
    <row r="3117" spans="12:12" ht="14.5" x14ac:dyDescent="0.35">
      <c r="L3117"/>
    </row>
    <row r="3118" spans="12:12" ht="14.5" x14ac:dyDescent="0.35">
      <c r="L3118"/>
    </row>
    <row r="3119" spans="12:12" ht="14.5" x14ac:dyDescent="0.35">
      <c r="L3119"/>
    </row>
    <row r="3120" spans="12:12" ht="14.5" x14ac:dyDescent="0.35">
      <c r="L3120"/>
    </row>
    <row r="3121" spans="12:12" ht="14.5" x14ac:dyDescent="0.35">
      <c r="L3121"/>
    </row>
    <row r="3122" spans="12:12" ht="14.5" x14ac:dyDescent="0.35">
      <c r="L3122"/>
    </row>
    <row r="3123" spans="12:12" ht="14.5" x14ac:dyDescent="0.35">
      <c r="L3123"/>
    </row>
    <row r="3124" spans="12:12" ht="14.5" x14ac:dyDescent="0.35">
      <c r="L3124"/>
    </row>
    <row r="3125" spans="12:12" ht="14.5" x14ac:dyDescent="0.35">
      <c r="L3125"/>
    </row>
    <row r="3126" spans="12:12" ht="14.5" x14ac:dyDescent="0.35">
      <c r="L3126"/>
    </row>
    <row r="3127" spans="12:12" ht="14.5" x14ac:dyDescent="0.35">
      <c r="L3127"/>
    </row>
    <row r="3128" spans="12:12" ht="14.5" x14ac:dyDescent="0.35">
      <c r="L3128"/>
    </row>
    <row r="3129" spans="12:12" ht="14.5" x14ac:dyDescent="0.35">
      <c r="L3129"/>
    </row>
    <row r="3130" spans="12:12" ht="14.5" x14ac:dyDescent="0.35">
      <c r="L3130"/>
    </row>
    <row r="3131" spans="12:12" ht="14.5" x14ac:dyDescent="0.35">
      <c r="L3131"/>
    </row>
    <row r="3132" spans="12:12" ht="14.5" x14ac:dyDescent="0.35">
      <c r="L3132"/>
    </row>
    <row r="3133" spans="12:12" ht="14.5" x14ac:dyDescent="0.35">
      <c r="L3133"/>
    </row>
    <row r="3134" spans="12:12" ht="14.5" x14ac:dyDescent="0.35">
      <c r="L3134"/>
    </row>
    <row r="3135" spans="12:12" ht="14.5" x14ac:dyDescent="0.35">
      <c r="L3135"/>
    </row>
    <row r="3136" spans="12:12" ht="14.5" x14ac:dyDescent="0.35">
      <c r="L3136"/>
    </row>
    <row r="3137" spans="12:12" ht="14.5" x14ac:dyDescent="0.35">
      <c r="L3137"/>
    </row>
    <row r="3138" spans="12:12" ht="14.5" x14ac:dyDescent="0.35">
      <c r="L3138"/>
    </row>
    <row r="3139" spans="12:12" ht="14.5" x14ac:dyDescent="0.35">
      <c r="L3139"/>
    </row>
    <row r="3140" spans="12:12" ht="14.5" x14ac:dyDescent="0.35">
      <c r="L3140"/>
    </row>
    <row r="3141" spans="12:12" ht="14.5" x14ac:dyDescent="0.35">
      <c r="L3141"/>
    </row>
    <row r="3142" spans="12:12" ht="14.5" x14ac:dyDescent="0.35">
      <c r="L3142"/>
    </row>
    <row r="3143" spans="12:12" ht="14.5" x14ac:dyDescent="0.35">
      <c r="L3143"/>
    </row>
    <row r="3144" spans="12:12" ht="14.5" x14ac:dyDescent="0.35">
      <c r="L3144"/>
    </row>
    <row r="3145" spans="12:12" ht="14.5" x14ac:dyDescent="0.35">
      <c r="L3145"/>
    </row>
    <row r="3146" spans="12:12" ht="14.5" x14ac:dyDescent="0.35">
      <c r="L3146"/>
    </row>
    <row r="3147" spans="12:12" ht="14.5" x14ac:dyDescent="0.35">
      <c r="L3147"/>
    </row>
    <row r="3148" spans="12:12" ht="14.5" x14ac:dyDescent="0.35">
      <c r="L3148"/>
    </row>
    <row r="3149" spans="12:12" ht="14.5" x14ac:dyDescent="0.35">
      <c r="L3149"/>
    </row>
    <row r="3150" spans="12:12" ht="14.5" x14ac:dyDescent="0.35">
      <c r="L3150"/>
    </row>
    <row r="3151" spans="12:12" ht="14.5" x14ac:dyDescent="0.35">
      <c r="L3151"/>
    </row>
    <row r="3152" spans="12:12" ht="14.5" x14ac:dyDescent="0.35">
      <c r="L3152"/>
    </row>
    <row r="3153" spans="12:12" ht="14.5" x14ac:dyDescent="0.35">
      <c r="L3153"/>
    </row>
    <row r="3154" spans="12:12" ht="14.5" x14ac:dyDescent="0.35">
      <c r="L3154"/>
    </row>
    <row r="3155" spans="12:12" ht="14.5" x14ac:dyDescent="0.35">
      <c r="L3155"/>
    </row>
    <row r="3156" spans="12:12" ht="14.5" x14ac:dyDescent="0.35">
      <c r="L3156"/>
    </row>
    <row r="3157" spans="12:12" ht="14.5" x14ac:dyDescent="0.35">
      <c r="L3157"/>
    </row>
    <row r="3158" spans="12:12" ht="14.5" x14ac:dyDescent="0.35">
      <c r="L3158"/>
    </row>
    <row r="3159" spans="12:12" ht="14.5" x14ac:dyDescent="0.35">
      <c r="L3159"/>
    </row>
    <row r="3160" spans="12:12" ht="14.5" x14ac:dyDescent="0.35">
      <c r="L3160"/>
    </row>
    <row r="3161" spans="12:12" ht="14.5" x14ac:dyDescent="0.35">
      <c r="L3161"/>
    </row>
    <row r="3162" spans="12:12" ht="14.5" x14ac:dyDescent="0.35">
      <c r="L3162"/>
    </row>
    <row r="3163" spans="12:12" ht="14.5" x14ac:dyDescent="0.35">
      <c r="L3163"/>
    </row>
    <row r="3164" spans="12:12" ht="14.5" x14ac:dyDescent="0.35">
      <c r="L3164"/>
    </row>
    <row r="3165" spans="12:12" ht="14.5" x14ac:dyDescent="0.35">
      <c r="L3165"/>
    </row>
    <row r="3166" spans="12:12" ht="14.5" x14ac:dyDescent="0.35">
      <c r="L3166"/>
    </row>
    <row r="3167" spans="12:12" ht="14.5" x14ac:dyDescent="0.35">
      <c r="L3167"/>
    </row>
    <row r="3168" spans="12:12" ht="14.5" x14ac:dyDescent="0.35">
      <c r="L3168"/>
    </row>
    <row r="3169" spans="12:12" ht="14.5" x14ac:dyDescent="0.35">
      <c r="L3169"/>
    </row>
    <row r="3170" spans="12:12" ht="14.5" x14ac:dyDescent="0.35">
      <c r="L3170"/>
    </row>
    <row r="3171" spans="12:12" ht="14.5" x14ac:dyDescent="0.35">
      <c r="L3171"/>
    </row>
    <row r="3172" spans="12:12" ht="14.5" x14ac:dyDescent="0.35">
      <c r="L3172"/>
    </row>
    <row r="3173" spans="12:12" ht="14.5" x14ac:dyDescent="0.35">
      <c r="L3173"/>
    </row>
    <row r="3174" spans="12:12" ht="14.5" x14ac:dyDescent="0.35">
      <c r="L3174"/>
    </row>
    <row r="3175" spans="12:12" ht="14.5" x14ac:dyDescent="0.35">
      <c r="L3175"/>
    </row>
    <row r="3176" spans="12:12" ht="14.5" x14ac:dyDescent="0.35">
      <c r="L3176"/>
    </row>
    <row r="3177" spans="12:12" ht="14.5" x14ac:dyDescent="0.35">
      <c r="L3177"/>
    </row>
    <row r="3178" spans="12:12" ht="14.5" x14ac:dyDescent="0.35">
      <c r="L3178"/>
    </row>
    <row r="3179" spans="12:12" ht="14.5" x14ac:dyDescent="0.35">
      <c r="L3179"/>
    </row>
    <row r="3180" spans="12:12" ht="14.5" x14ac:dyDescent="0.35">
      <c r="L3180"/>
    </row>
    <row r="3181" spans="12:12" ht="14.5" x14ac:dyDescent="0.35">
      <c r="L3181"/>
    </row>
    <row r="3182" spans="12:12" ht="14.5" x14ac:dyDescent="0.35">
      <c r="L3182"/>
    </row>
    <row r="3183" spans="12:12" ht="14.5" x14ac:dyDescent="0.35">
      <c r="L3183"/>
    </row>
    <row r="3184" spans="12:12" ht="14.5" x14ac:dyDescent="0.35">
      <c r="L3184"/>
    </row>
    <row r="3185" spans="12:12" ht="14.5" x14ac:dyDescent="0.35">
      <c r="L3185"/>
    </row>
    <row r="3186" spans="12:12" ht="14.5" x14ac:dyDescent="0.35">
      <c r="L3186"/>
    </row>
    <row r="3187" spans="12:12" ht="14.5" x14ac:dyDescent="0.35">
      <c r="L3187"/>
    </row>
    <row r="3188" spans="12:12" ht="14.5" x14ac:dyDescent="0.35">
      <c r="L3188"/>
    </row>
    <row r="3189" spans="12:12" ht="14.5" x14ac:dyDescent="0.35">
      <c r="L3189"/>
    </row>
    <row r="3190" spans="12:12" ht="14.5" x14ac:dyDescent="0.35">
      <c r="L3190"/>
    </row>
    <row r="3191" spans="12:12" ht="14.5" x14ac:dyDescent="0.35">
      <c r="L3191"/>
    </row>
    <row r="3192" spans="12:12" ht="14.5" x14ac:dyDescent="0.35">
      <c r="L3192"/>
    </row>
    <row r="3193" spans="12:12" ht="14.5" x14ac:dyDescent="0.35">
      <c r="L3193"/>
    </row>
    <row r="3194" spans="12:12" ht="14.5" x14ac:dyDescent="0.35">
      <c r="L3194"/>
    </row>
    <row r="3195" spans="12:12" ht="14.5" x14ac:dyDescent="0.35">
      <c r="L3195"/>
    </row>
    <row r="3196" spans="12:12" ht="14.5" x14ac:dyDescent="0.35">
      <c r="L3196"/>
    </row>
    <row r="3197" spans="12:12" ht="14.5" x14ac:dyDescent="0.35">
      <c r="L3197"/>
    </row>
    <row r="3198" spans="12:12" ht="14.5" x14ac:dyDescent="0.35">
      <c r="L3198"/>
    </row>
    <row r="3199" spans="12:12" ht="14.5" x14ac:dyDescent="0.35">
      <c r="L3199"/>
    </row>
    <row r="3200" spans="12:12" ht="14.5" x14ac:dyDescent="0.35">
      <c r="L3200"/>
    </row>
    <row r="3201" spans="12:12" ht="14.5" x14ac:dyDescent="0.35">
      <c r="L3201"/>
    </row>
    <row r="3202" spans="12:12" ht="14.5" x14ac:dyDescent="0.35">
      <c r="L3202"/>
    </row>
    <row r="3203" spans="12:12" ht="14.5" x14ac:dyDescent="0.35">
      <c r="L3203"/>
    </row>
    <row r="3204" spans="12:12" ht="14.5" x14ac:dyDescent="0.35">
      <c r="L3204"/>
    </row>
    <row r="3205" spans="12:12" ht="14.5" x14ac:dyDescent="0.35">
      <c r="L3205"/>
    </row>
    <row r="3206" spans="12:12" ht="14.5" x14ac:dyDescent="0.35">
      <c r="L3206"/>
    </row>
    <row r="3207" spans="12:12" ht="14.5" x14ac:dyDescent="0.35">
      <c r="L3207"/>
    </row>
    <row r="3208" spans="12:12" ht="14.5" x14ac:dyDescent="0.35">
      <c r="L3208"/>
    </row>
    <row r="3209" spans="12:12" ht="14.5" x14ac:dyDescent="0.35">
      <c r="L3209"/>
    </row>
    <row r="3210" spans="12:12" ht="14.5" x14ac:dyDescent="0.35">
      <c r="L3210"/>
    </row>
    <row r="3211" spans="12:12" ht="14.5" x14ac:dyDescent="0.35">
      <c r="L3211"/>
    </row>
    <row r="3212" spans="12:12" ht="14.5" x14ac:dyDescent="0.35">
      <c r="L3212"/>
    </row>
    <row r="3213" spans="12:12" ht="14.5" x14ac:dyDescent="0.35">
      <c r="L3213"/>
    </row>
    <row r="3214" spans="12:12" ht="14.5" x14ac:dyDescent="0.35">
      <c r="L3214"/>
    </row>
    <row r="3215" spans="12:12" ht="14.5" x14ac:dyDescent="0.35">
      <c r="L3215"/>
    </row>
    <row r="3216" spans="12:12" ht="14.5" x14ac:dyDescent="0.35">
      <c r="L3216"/>
    </row>
    <row r="3217" spans="12:12" ht="14.5" x14ac:dyDescent="0.35">
      <c r="L3217"/>
    </row>
    <row r="3218" spans="12:12" ht="14.5" x14ac:dyDescent="0.35">
      <c r="L3218"/>
    </row>
    <row r="3219" spans="12:12" ht="14.5" x14ac:dyDescent="0.35">
      <c r="L3219"/>
    </row>
    <row r="3220" spans="12:12" ht="14.5" x14ac:dyDescent="0.35">
      <c r="L3220"/>
    </row>
    <row r="3221" spans="12:12" ht="14.5" x14ac:dyDescent="0.35">
      <c r="L3221"/>
    </row>
    <row r="3222" spans="12:12" ht="14.5" x14ac:dyDescent="0.35">
      <c r="L3222"/>
    </row>
    <row r="3223" spans="12:12" ht="14.5" x14ac:dyDescent="0.35">
      <c r="L3223"/>
    </row>
    <row r="3224" spans="12:12" ht="14.5" x14ac:dyDescent="0.35">
      <c r="L3224"/>
    </row>
    <row r="3225" spans="12:12" ht="14.5" x14ac:dyDescent="0.35">
      <c r="L3225"/>
    </row>
    <row r="3226" spans="12:12" ht="14.5" x14ac:dyDescent="0.35">
      <c r="L3226"/>
    </row>
    <row r="3227" spans="12:12" ht="14.5" x14ac:dyDescent="0.35">
      <c r="L3227"/>
    </row>
    <row r="3228" spans="12:12" ht="14.5" x14ac:dyDescent="0.35">
      <c r="L3228"/>
    </row>
    <row r="3229" spans="12:12" ht="14.5" x14ac:dyDescent="0.35">
      <c r="L3229"/>
    </row>
    <row r="3230" spans="12:12" ht="14.5" x14ac:dyDescent="0.35">
      <c r="L3230"/>
    </row>
    <row r="3231" spans="12:12" ht="14.5" x14ac:dyDescent="0.35">
      <c r="L3231"/>
    </row>
    <row r="3232" spans="12:12" ht="14.5" x14ac:dyDescent="0.35">
      <c r="L3232"/>
    </row>
    <row r="3233" spans="12:12" ht="14.5" x14ac:dyDescent="0.35">
      <c r="L3233"/>
    </row>
    <row r="3234" spans="12:12" ht="14.5" x14ac:dyDescent="0.35">
      <c r="L3234"/>
    </row>
    <row r="3235" spans="12:12" ht="14.5" x14ac:dyDescent="0.35">
      <c r="L3235"/>
    </row>
    <row r="3236" spans="12:12" ht="14.5" x14ac:dyDescent="0.35">
      <c r="L3236"/>
    </row>
    <row r="3237" spans="12:12" ht="14.5" x14ac:dyDescent="0.35">
      <c r="L3237"/>
    </row>
    <row r="3238" spans="12:12" ht="14.5" x14ac:dyDescent="0.35">
      <c r="L3238"/>
    </row>
    <row r="3239" spans="12:12" ht="14.5" x14ac:dyDescent="0.35">
      <c r="L3239"/>
    </row>
    <row r="3240" spans="12:12" ht="14.5" x14ac:dyDescent="0.35">
      <c r="L3240"/>
    </row>
    <row r="3241" spans="12:12" ht="14.5" x14ac:dyDescent="0.35">
      <c r="L3241"/>
    </row>
    <row r="3242" spans="12:12" ht="14.5" x14ac:dyDescent="0.35">
      <c r="L3242"/>
    </row>
    <row r="3243" spans="12:12" ht="14.5" x14ac:dyDescent="0.35">
      <c r="L3243"/>
    </row>
    <row r="3244" spans="12:12" ht="14.5" x14ac:dyDescent="0.35">
      <c r="L3244"/>
    </row>
    <row r="3245" spans="12:12" ht="14.5" x14ac:dyDescent="0.35">
      <c r="L3245"/>
    </row>
    <row r="3246" spans="12:12" ht="14.5" x14ac:dyDescent="0.35">
      <c r="L3246"/>
    </row>
    <row r="3247" spans="12:12" ht="14.5" x14ac:dyDescent="0.35">
      <c r="L3247"/>
    </row>
    <row r="3248" spans="12:12" ht="14.5" x14ac:dyDescent="0.35">
      <c r="L3248"/>
    </row>
    <row r="3249" spans="12:12" ht="14.5" x14ac:dyDescent="0.35">
      <c r="L3249"/>
    </row>
    <row r="3250" spans="12:12" ht="14.5" x14ac:dyDescent="0.35">
      <c r="L3250"/>
    </row>
    <row r="3251" spans="12:12" ht="14.5" x14ac:dyDescent="0.35">
      <c r="L3251"/>
    </row>
    <row r="3252" spans="12:12" ht="14.5" x14ac:dyDescent="0.35">
      <c r="L3252"/>
    </row>
    <row r="3253" spans="12:12" ht="14.5" x14ac:dyDescent="0.35">
      <c r="L3253"/>
    </row>
    <row r="3254" spans="12:12" ht="14.5" x14ac:dyDescent="0.35">
      <c r="L3254"/>
    </row>
    <row r="3255" spans="12:12" ht="14.5" x14ac:dyDescent="0.35">
      <c r="L3255"/>
    </row>
    <row r="3256" spans="12:12" ht="14.5" x14ac:dyDescent="0.35">
      <c r="L3256"/>
    </row>
    <row r="3257" spans="12:12" ht="14.5" x14ac:dyDescent="0.35">
      <c r="L3257"/>
    </row>
    <row r="3258" spans="12:12" ht="14.5" x14ac:dyDescent="0.35">
      <c r="L3258"/>
    </row>
    <row r="3259" spans="12:12" ht="14.5" x14ac:dyDescent="0.35">
      <c r="L3259"/>
    </row>
    <row r="3260" spans="12:12" ht="14.5" x14ac:dyDescent="0.35">
      <c r="L3260"/>
    </row>
    <row r="3261" spans="12:12" ht="14.5" x14ac:dyDescent="0.35">
      <c r="L3261"/>
    </row>
    <row r="3262" spans="12:12" ht="14.5" x14ac:dyDescent="0.35">
      <c r="L3262"/>
    </row>
    <row r="3263" spans="12:12" ht="14.5" x14ac:dyDescent="0.35">
      <c r="L3263"/>
    </row>
    <row r="3264" spans="12:12" ht="14.5" x14ac:dyDescent="0.35">
      <c r="L3264"/>
    </row>
    <row r="3265" spans="12:12" ht="14.5" x14ac:dyDescent="0.35">
      <c r="L3265"/>
    </row>
    <row r="3266" spans="12:12" ht="14.5" x14ac:dyDescent="0.35">
      <c r="L3266"/>
    </row>
    <row r="3267" spans="12:12" ht="14.5" x14ac:dyDescent="0.35">
      <c r="L3267"/>
    </row>
    <row r="3268" spans="12:12" ht="14.5" x14ac:dyDescent="0.35">
      <c r="L3268"/>
    </row>
    <row r="3269" spans="12:12" ht="14.5" x14ac:dyDescent="0.35">
      <c r="L3269"/>
    </row>
    <row r="3270" spans="12:12" ht="14.5" x14ac:dyDescent="0.35">
      <c r="L3270"/>
    </row>
    <row r="3271" spans="12:12" ht="14.5" x14ac:dyDescent="0.35">
      <c r="L3271"/>
    </row>
    <row r="3272" spans="12:12" ht="14.5" x14ac:dyDescent="0.35">
      <c r="L3272"/>
    </row>
    <row r="3273" spans="12:12" ht="14.5" x14ac:dyDescent="0.35">
      <c r="L3273"/>
    </row>
    <row r="3274" spans="12:12" ht="14.5" x14ac:dyDescent="0.35">
      <c r="L3274"/>
    </row>
    <row r="3275" spans="12:12" ht="14.5" x14ac:dyDescent="0.35">
      <c r="L3275"/>
    </row>
    <row r="3276" spans="12:12" ht="14.5" x14ac:dyDescent="0.35">
      <c r="L3276"/>
    </row>
    <row r="3277" spans="12:12" ht="14.5" x14ac:dyDescent="0.35">
      <c r="L3277"/>
    </row>
    <row r="3278" spans="12:12" ht="14.5" x14ac:dyDescent="0.35">
      <c r="L3278"/>
    </row>
    <row r="3279" spans="12:12" ht="14.5" x14ac:dyDescent="0.35">
      <c r="L3279"/>
    </row>
    <row r="3280" spans="12:12" ht="14.5" x14ac:dyDescent="0.35">
      <c r="L3280"/>
    </row>
    <row r="3281" spans="12:12" ht="14.5" x14ac:dyDescent="0.35">
      <c r="L3281"/>
    </row>
    <row r="3282" spans="12:12" ht="14.5" x14ac:dyDescent="0.35">
      <c r="L3282"/>
    </row>
    <row r="3283" spans="12:12" ht="14.5" x14ac:dyDescent="0.35">
      <c r="L3283"/>
    </row>
    <row r="3284" spans="12:12" ht="14.5" x14ac:dyDescent="0.35">
      <c r="L3284"/>
    </row>
    <row r="3285" spans="12:12" ht="14.5" x14ac:dyDescent="0.35">
      <c r="L3285"/>
    </row>
    <row r="3286" spans="12:12" ht="14.5" x14ac:dyDescent="0.35">
      <c r="L3286"/>
    </row>
    <row r="3287" spans="12:12" ht="14.5" x14ac:dyDescent="0.35">
      <c r="L3287"/>
    </row>
    <row r="3288" spans="12:12" ht="14.5" x14ac:dyDescent="0.35">
      <c r="L3288"/>
    </row>
    <row r="3289" spans="12:12" ht="14.5" x14ac:dyDescent="0.35">
      <c r="L3289"/>
    </row>
    <row r="3290" spans="12:12" ht="14.5" x14ac:dyDescent="0.35">
      <c r="L3290"/>
    </row>
    <row r="3291" spans="12:12" ht="14.5" x14ac:dyDescent="0.35">
      <c r="L3291"/>
    </row>
    <row r="3292" spans="12:12" ht="14.5" x14ac:dyDescent="0.35">
      <c r="L3292"/>
    </row>
    <row r="3293" spans="12:12" ht="14.5" x14ac:dyDescent="0.35">
      <c r="L3293"/>
    </row>
    <row r="3294" spans="12:12" ht="14.5" x14ac:dyDescent="0.35">
      <c r="L3294"/>
    </row>
    <row r="3295" spans="12:12" ht="14.5" x14ac:dyDescent="0.35">
      <c r="L3295"/>
    </row>
    <row r="3296" spans="12:12" ht="14.5" x14ac:dyDescent="0.35">
      <c r="L3296"/>
    </row>
    <row r="3297" spans="12:12" ht="14.5" x14ac:dyDescent="0.35">
      <c r="L3297"/>
    </row>
    <row r="3298" spans="12:12" ht="14.5" x14ac:dyDescent="0.35">
      <c r="L3298"/>
    </row>
    <row r="3299" spans="12:12" ht="14.5" x14ac:dyDescent="0.35">
      <c r="L3299"/>
    </row>
    <row r="3300" spans="12:12" ht="14.5" x14ac:dyDescent="0.35">
      <c r="L3300"/>
    </row>
    <row r="3301" spans="12:12" ht="14.5" x14ac:dyDescent="0.35">
      <c r="L3301"/>
    </row>
    <row r="3302" spans="12:12" ht="14.5" x14ac:dyDescent="0.35">
      <c r="L3302"/>
    </row>
    <row r="3303" spans="12:12" ht="14.5" x14ac:dyDescent="0.35">
      <c r="L3303"/>
    </row>
    <row r="3304" spans="12:12" ht="14.5" x14ac:dyDescent="0.35">
      <c r="L3304"/>
    </row>
    <row r="3305" spans="12:12" ht="14.5" x14ac:dyDescent="0.35">
      <c r="L3305"/>
    </row>
    <row r="3306" spans="12:12" ht="14.5" x14ac:dyDescent="0.35">
      <c r="L3306"/>
    </row>
    <row r="3307" spans="12:12" ht="14.5" x14ac:dyDescent="0.35">
      <c r="L3307"/>
    </row>
    <row r="3308" spans="12:12" ht="14.5" x14ac:dyDescent="0.35">
      <c r="L3308"/>
    </row>
    <row r="3309" spans="12:12" ht="14.5" x14ac:dyDescent="0.35">
      <c r="L3309"/>
    </row>
    <row r="3310" spans="12:12" ht="14.5" x14ac:dyDescent="0.35">
      <c r="L3310"/>
    </row>
    <row r="3311" spans="12:12" ht="14.5" x14ac:dyDescent="0.35">
      <c r="L3311"/>
    </row>
    <row r="3312" spans="12:12" ht="14.5" x14ac:dyDescent="0.35">
      <c r="L3312"/>
    </row>
    <row r="3313" spans="12:12" ht="14.5" x14ac:dyDescent="0.35">
      <c r="L3313"/>
    </row>
    <row r="3314" spans="12:12" ht="14.5" x14ac:dyDescent="0.35">
      <c r="L3314"/>
    </row>
    <row r="3315" spans="12:12" ht="14.5" x14ac:dyDescent="0.35">
      <c r="L3315"/>
    </row>
    <row r="3316" spans="12:12" ht="14.5" x14ac:dyDescent="0.35">
      <c r="L3316"/>
    </row>
    <row r="3317" spans="12:12" ht="14.5" x14ac:dyDescent="0.35">
      <c r="L3317"/>
    </row>
    <row r="3318" spans="12:12" ht="14.5" x14ac:dyDescent="0.35">
      <c r="L3318"/>
    </row>
    <row r="3319" spans="12:12" ht="14.5" x14ac:dyDescent="0.35">
      <c r="L3319"/>
    </row>
    <row r="3320" spans="12:12" ht="14.5" x14ac:dyDescent="0.35">
      <c r="L3320"/>
    </row>
    <row r="3321" spans="12:12" ht="14.5" x14ac:dyDescent="0.35">
      <c r="L3321"/>
    </row>
    <row r="3322" spans="12:12" ht="14.5" x14ac:dyDescent="0.35">
      <c r="L3322"/>
    </row>
    <row r="3323" spans="12:12" ht="14.5" x14ac:dyDescent="0.35">
      <c r="L3323"/>
    </row>
    <row r="3324" spans="12:12" ht="14.5" x14ac:dyDescent="0.35">
      <c r="L3324"/>
    </row>
    <row r="3325" spans="12:12" ht="14.5" x14ac:dyDescent="0.35">
      <c r="L3325"/>
    </row>
    <row r="3326" spans="12:12" ht="14.5" x14ac:dyDescent="0.35">
      <c r="L3326"/>
    </row>
    <row r="3327" spans="12:12" ht="14.5" x14ac:dyDescent="0.35">
      <c r="L3327"/>
    </row>
    <row r="3328" spans="12:12" ht="14.5" x14ac:dyDescent="0.35">
      <c r="L3328"/>
    </row>
    <row r="3329" spans="12:12" ht="14.5" x14ac:dyDescent="0.35">
      <c r="L3329"/>
    </row>
    <row r="3330" spans="12:12" ht="14.5" x14ac:dyDescent="0.35">
      <c r="L3330"/>
    </row>
    <row r="3331" spans="12:12" ht="14.5" x14ac:dyDescent="0.35">
      <c r="L3331"/>
    </row>
    <row r="3332" spans="12:12" ht="14.5" x14ac:dyDescent="0.35">
      <c r="L3332"/>
    </row>
    <row r="3333" spans="12:12" ht="14.5" x14ac:dyDescent="0.35">
      <c r="L3333"/>
    </row>
    <row r="3334" spans="12:12" ht="14.5" x14ac:dyDescent="0.35">
      <c r="L3334"/>
    </row>
    <row r="3335" spans="12:12" ht="14.5" x14ac:dyDescent="0.35">
      <c r="L3335"/>
    </row>
    <row r="3336" spans="12:12" ht="14.5" x14ac:dyDescent="0.35">
      <c r="L3336"/>
    </row>
    <row r="3337" spans="12:12" ht="14.5" x14ac:dyDescent="0.35">
      <c r="L3337"/>
    </row>
    <row r="3338" spans="12:12" ht="14.5" x14ac:dyDescent="0.35">
      <c r="L3338"/>
    </row>
    <row r="3339" spans="12:12" ht="14.5" x14ac:dyDescent="0.35">
      <c r="L3339"/>
    </row>
    <row r="3340" spans="12:12" ht="14.5" x14ac:dyDescent="0.35">
      <c r="L3340"/>
    </row>
    <row r="3341" spans="12:12" ht="14.5" x14ac:dyDescent="0.35">
      <c r="L3341"/>
    </row>
    <row r="3342" spans="12:12" ht="14.5" x14ac:dyDescent="0.35">
      <c r="L3342"/>
    </row>
    <row r="3343" spans="12:12" ht="14.5" x14ac:dyDescent="0.35">
      <c r="L3343"/>
    </row>
    <row r="3344" spans="12:12" ht="14.5" x14ac:dyDescent="0.35">
      <c r="L3344"/>
    </row>
    <row r="3345" spans="12:12" ht="14.5" x14ac:dyDescent="0.35">
      <c r="L3345"/>
    </row>
    <row r="3346" spans="12:12" ht="14.5" x14ac:dyDescent="0.35">
      <c r="L3346"/>
    </row>
    <row r="3347" spans="12:12" ht="14.5" x14ac:dyDescent="0.35">
      <c r="L3347"/>
    </row>
    <row r="3348" spans="12:12" ht="14.5" x14ac:dyDescent="0.35">
      <c r="L3348"/>
    </row>
    <row r="3349" spans="12:12" ht="14.5" x14ac:dyDescent="0.35">
      <c r="L3349"/>
    </row>
    <row r="3350" spans="12:12" ht="14.5" x14ac:dyDescent="0.35">
      <c r="L3350"/>
    </row>
    <row r="3351" spans="12:12" ht="14.5" x14ac:dyDescent="0.35">
      <c r="L3351"/>
    </row>
    <row r="3352" spans="12:12" ht="14.5" x14ac:dyDescent="0.35">
      <c r="L3352"/>
    </row>
    <row r="3353" spans="12:12" ht="14.5" x14ac:dyDescent="0.35">
      <c r="L3353"/>
    </row>
    <row r="3354" spans="12:12" ht="14.5" x14ac:dyDescent="0.35">
      <c r="L3354"/>
    </row>
    <row r="3355" spans="12:12" ht="14.5" x14ac:dyDescent="0.35">
      <c r="L3355"/>
    </row>
    <row r="3356" spans="12:12" ht="14.5" x14ac:dyDescent="0.35">
      <c r="L3356"/>
    </row>
    <row r="3357" spans="12:12" ht="14.5" x14ac:dyDescent="0.35">
      <c r="L3357"/>
    </row>
    <row r="3358" spans="12:12" ht="14.5" x14ac:dyDescent="0.35">
      <c r="L3358"/>
    </row>
    <row r="3359" spans="12:12" ht="14.5" x14ac:dyDescent="0.35">
      <c r="L3359"/>
    </row>
    <row r="3360" spans="12:12" ht="14.5" x14ac:dyDescent="0.35">
      <c r="L3360"/>
    </row>
    <row r="3361" spans="12:12" ht="14.5" x14ac:dyDescent="0.35">
      <c r="L3361"/>
    </row>
    <row r="3362" spans="12:12" ht="14.5" x14ac:dyDescent="0.35">
      <c r="L3362"/>
    </row>
    <row r="3363" spans="12:12" ht="14.5" x14ac:dyDescent="0.35">
      <c r="L3363"/>
    </row>
    <row r="3364" spans="12:12" ht="14.5" x14ac:dyDescent="0.35">
      <c r="L3364"/>
    </row>
    <row r="3365" spans="12:12" ht="14.5" x14ac:dyDescent="0.35">
      <c r="L3365"/>
    </row>
    <row r="3366" spans="12:12" ht="14.5" x14ac:dyDescent="0.35">
      <c r="L3366"/>
    </row>
    <row r="3367" spans="12:12" ht="14.5" x14ac:dyDescent="0.35">
      <c r="L3367"/>
    </row>
    <row r="3368" spans="12:12" ht="14.5" x14ac:dyDescent="0.35">
      <c r="L3368"/>
    </row>
    <row r="3369" spans="12:12" ht="14.5" x14ac:dyDescent="0.35">
      <c r="L3369"/>
    </row>
    <row r="3370" spans="12:12" ht="14.5" x14ac:dyDescent="0.35">
      <c r="L3370"/>
    </row>
    <row r="3371" spans="12:12" ht="14.5" x14ac:dyDescent="0.35">
      <c r="L3371"/>
    </row>
    <row r="3372" spans="12:12" ht="14.5" x14ac:dyDescent="0.35">
      <c r="L3372"/>
    </row>
    <row r="3373" spans="12:12" ht="14.5" x14ac:dyDescent="0.35">
      <c r="L3373"/>
    </row>
    <row r="3374" spans="12:12" ht="14.5" x14ac:dyDescent="0.35">
      <c r="L3374"/>
    </row>
    <row r="3375" spans="12:12" ht="14.5" x14ac:dyDescent="0.35">
      <c r="L3375"/>
    </row>
    <row r="3376" spans="12:12" ht="14.5" x14ac:dyDescent="0.35">
      <c r="L3376"/>
    </row>
    <row r="3377" spans="12:12" ht="14.5" x14ac:dyDescent="0.35">
      <c r="L3377"/>
    </row>
    <row r="3378" spans="12:12" ht="14.5" x14ac:dyDescent="0.35">
      <c r="L3378"/>
    </row>
    <row r="3379" spans="12:12" ht="14.5" x14ac:dyDescent="0.35">
      <c r="L3379"/>
    </row>
    <row r="3380" spans="12:12" ht="14.5" x14ac:dyDescent="0.35">
      <c r="L3380"/>
    </row>
    <row r="3381" spans="12:12" ht="14.5" x14ac:dyDescent="0.35">
      <c r="L3381"/>
    </row>
    <row r="3382" spans="12:12" ht="14.5" x14ac:dyDescent="0.35">
      <c r="L3382"/>
    </row>
    <row r="3383" spans="12:12" ht="14.5" x14ac:dyDescent="0.35">
      <c r="L3383"/>
    </row>
    <row r="3384" spans="12:12" ht="14.5" x14ac:dyDescent="0.35">
      <c r="L3384"/>
    </row>
    <row r="3385" spans="12:12" ht="14.5" x14ac:dyDescent="0.35">
      <c r="L3385"/>
    </row>
    <row r="3386" spans="12:12" ht="14.5" x14ac:dyDescent="0.35">
      <c r="L3386"/>
    </row>
    <row r="3387" spans="12:12" ht="14.5" x14ac:dyDescent="0.35">
      <c r="L3387"/>
    </row>
    <row r="3388" spans="12:12" ht="14.5" x14ac:dyDescent="0.35">
      <c r="L3388"/>
    </row>
    <row r="3389" spans="12:12" ht="14.5" x14ac:dyDescent="0.35">
      <c r="L3389"/>
    </row>
    <row r="3390" spans="12:12" ht="14.5" x14ac:dyDescent="0.35">
      <c r="L3390"/>
    </row>
    <row r="3391" spans="12:12" ht="14.5" x14ac:dyDescent="0.35">
      <c r="L3391"/>
    </row>
    <row r="3392" spans="12:12" ht="14.5" x14ac:dyDescent="0.35">
      <c r="L3392"/>
    </row>
    <row r="3393" spans="12:12" ht="14.5" x14ac:dyDescent="0.35">
      <c r="L3393"/>
    </row>
    <row r="3394" spans="12:12" ht="14.5" x14ac:dyDescent="0.35">
      <c r="L3394"/>
    </row>
    <row r="3395" spans="12:12" ht="14.5" x14ac:dyDescent="0.35">
      <c r="L3395"/>
    </row>
    <row r="3396" spans="12:12" ht="14.5" x14ac:dyDescent="0.35">
      <c r="L3396"/>
    </row>
    <row r="3397" spans="12:12" ht="14.5" x14ac:dyDescent="0.35">
      <c r="L3397"/>
    </row>
    <row r="3398" spans="12:12" ht="14.5" x14ac:dyDescent="0.35">
      <c r="L3398"/>
    </row>
    <row r="3399" spans="12:12" ht="14.5" x14ac:dyDescent="0.35">
      <c r="L3399"/>
    </row>
    <row r="3400" spans="12:12" ht="14.5" x14ac:dyDescent="0.35">
      <c r="L3400"/>
    </row>
    <row r="3401" spans="12:12" ht="14.5" x14ac:dyDescent="0.35">
      <c r="L3401"/>
    </row>
    <row r="3402" spans="12:12" ht="14.5" x14ac:dyDescent="0.35">
      <c r="L3402"/>
    </row>
    <row r="3403" spans="12:12" ht="14.5" x14ac:dyDescent="0.35">
      <c r="L3403"/>
    </row>
    <row r="3404" spans="12:12" ht="14.5" x14ac:dyDescent="0.35">
      <c r="L3404"/>
    </row>
    <row r="3405" spans="12:12" ht="14.5" x14ac:dyDescent="0.35">
      <c r="L3405"/>
    </row>
    <row r="3406" spans="12:12" ht="14.5" x14ac:dyDescent="0.35">
      <c r="L3406"/>
    </row>
    <row r="3407" spans="12:12" ht="14.5" x14ac:dyDescent="0.35">
      <c r="L3407"/>
    </row>
    <row r="3408" spans="12:12" ht="14.5" x14ac:dyDescent="0.35">
      <c r="L3408"/>
    </row>
    <row r="3409" spans="12:12" ht="14.5" x14ac:dyDescent="0.35">
      <c r="L3409"/>
    </row>
    <row r="3410" spans="12:12" ht="14.5" x14ac:dyDescent="0.35">
      <c r="L3410"/>
    </row>
    <row r="3411" spans="12:12" ht="14.5" x14ac:dyDescent="0.35">
      <c r="L3411"/>
    </row>
    <row r="3412" spans="12:12" ht="14.5" x14ac:dyDescent="0.35">
      <c r="L3412"/>
    </row>
    <row r="3413" spans="12:12" ht="14.5" x14ac:dyDescent="0.35">
      <c r="L3413"/>
    </row>
    <row r="3414" spans="12:12" ht="14.5" x14ac:dyDescent="0.35">
      <c r="L3414"/>
    </row>
    <row r="3415" spans="12:12" ht="14.5" x14ac:dyDescent="0.35">
      <c r="L3415"/>
    </row>
    <row r="3416" spans="12:12" ht="14.5" x14ac:dyDescent="0.35">
      <c r="L3416"/>
    </row>
    <row r="3417" spans="12:12" ht="14.5" x14ac:dyDescent="0.35">
      <c r="L3417"/>
    </row>
    <row r="3418" spans="12:12" ht="14.5" x14ac:dyDescent="0.35">
      <c r="L3418"/>
    </row>
    <row r="3419" spans="12:12" ht="14.5" x14ac:dyDescent="0.35">
      <c r="L3419"/>
    </row>
    <row r="3420" spans="12:12" ht="14.5" x14ac:dyDescent="0.35">
      <c r="L3420"/>
    </row>
    <row r="3421" spans="12:12" ht="14.5" x14ac:dyDescent="0.35">
      <c r="L3421"/>
    </row>
    <row r="3422" spans="12:12" ht="14.5" x14ac:dyDescent="0.35">
      <c r="L3422"/>
    </row>
    <row r="3423" spans="12:12" ht="14.5" x14ac:dyDescent="0.35">
      <c r="L3423"/>
    </row>
    <row r="3424" spans="12:12" ht="14.5" x14ac:dyDescent="0.35">
      <c r="L3424"/>
    </row>
    <row r="3425" spans="12:12" ht="14.5" x14ac:dyDescent="0.35">
      <c r="L3425"/>
    </row>
    <row r="3426" spans="12:12" ht="14.5" x14ac:dyDescent="0.35">
      <c r="L3426"/>
    </row>
    <row r="3427" spans="12:12" ht="14.5" x14ac:dyDescent="0.35">
      <c r="L3427"/>
    </row>
    <row r="3428" spans="12:12" ht="14.5" x14ac:dyDescent="0.35">
      <c r="L3428"/>
    </row>
    <row r="3429" spans="12:12" ht="14.5" x14ac:dyDescent="0.35">
      <c r="L3429"/>
    </row>
    <row r="3430" spans="12:12" ht="14.5" x14ac:dyDescent="0.35">
      <c r="L3430"/>
    </row>
    <row r="3431" spans="12:12" ht="14.5" x14ac:dyDescent="0.35">
      <c r="L3431"/>
    </row>
    <row r="3432" spans="12:12" ht="14.5" x14ac:dyDescent="0.35">
      <c r="L3432"/>
    </row>
    <row r="3433" spans="12:12" ht="14.5" x14ac:dyDescent="0.35">
      <c r="L3433"/>
    </row>
    <row r="3434" spans="12:12" ht="14.5" x14ac:dyDescent="0.35">
      <c r="L3434"/>
    </row>
    <row r="3435" spans="12:12" ht="14.5" x14ac:dyDescent="0.35">
      <c r="L3435"/>
    </row>
    <row r="3436" spans="12:12" ht="14.5" x14ac:dyDescent="0.35">
      <c r="L3436"/>
    </row>
    <row r="3437" spans="12:12" ht="14.5" x14ac:dyDescent="0.35">
      <c r="L3437"/>
    </row>
    <row r="3438" spans="12:12" ht="14.5" x14ac:dyDescent="0.35">
      <c r="L3438"/>
    </row>
    <row r="3439" spans="12:12" ht="14.5" x14ac:dyDescent="0.35">
      <c r="L3439"/>
    </row>
    <row r="3440" spans="12:12" ht="14.5" x14ac:dyDescent="0.35">
      <c r="L3440"/>
    </row>
    <row r="3441" spans="12:12" ht="14.5" x14ac:dyDescent="0.35">
      <c r="L3441"/>
    </row>
    <row r="3442" spans="12:12" ht="14.5" x14ac:dyDescent="0.35">
      <c r="L3442"/>
    </row>
    <row r="3443" spans="12:12" ht="14.5" x14ac:dyDescent="0.35">
      <c r="L3443"/>
    </row>
    <row r="3444" spans="12:12" ht="14.5" x14ac:dyDescent="0.35">
      <c r="L3444"/>
    </row>
    <row r="3445" spans="12:12" ht="14.5" x14ac:dyDescent="0.35">
      <c r="L3445"/>
    </row>
    <row r="3446" spans="12:12" ht="14.5" x14ac:dyDescent="0.35">
      <c r="L3446"/>
    </row>
    <row r="3447" spans="12:12" ht="14.5" x14ac:dyDescent="0.35">
      <c r="L3447"/>
    </row>
    <row r="3448" spans="12:12" ht="14.5" x14ac:dyDescent="0.35">
      <c r="L3448"/>
    </row>
    <row r="3449" spans="12:12" ht="14.5" x14ac:dyDescent="0.35">
      <c r="L3449"/>
    </row>
    <row r="3450" spans="12:12" ht="14.5" x14ac:dyDescent="0.35">
      <c r="L3450"/>
    </row>
    <row r="3451" spans="12:12" ht="14.5" x14ac:dyDescent="0.35">
      <c r="L3451"/>
    </row>
    <row r="3452" spans="12:12" ht="14.5" x14ac:dyDescent="0.35">
      <c r="L3452"/>
    </row>
    <row r="3453" spans="12:12" ht="14.5" x14ac:dyDescent="0.35">
      <c r="L3453"/>
    </row>
    <row r="3454" spans="12:12" ht="14.5" x14ac:dyDescent="0.35">
      <c r="L3454"/>
    </row>
    <row r="3455" spans="12:12" ht="14.5" x14ac:dyDescent="0.35">
      <c r="L3455"/>
    </row>
    <row r="3456" spans="12:12" ht="14.5" x14ac:dyDescent="0.35">
      <c r="L3456"/>
    </row>
    <row r="3457" spans="12:12" ht="14.5" x14ac:dyDescent="0.35">
      <c r="L3457"/>
    </row>
    <row r="3458" spans="12:12" ht="14.5" x14ac:dyDescent="0.35">
      <c r="L3458"/>
    </row>
    <row r="3459" spans="12:12" ht="14.5" x14ac:dyDescent="0.35">
      <c r="L3459"/>
    </row>
    <row r="3460" spans="12:12" ht="14.5" x14ac:dyDescent="0.35">
      <c r="L3460"/>
    </row>
    <row r="3461" spans="12:12" ht="14.5" x14ac:dyDescent="0.35">
      <c r="L3461"/>
    </row>
    <row r="3462" spans="12:12" ht="14.5" x14ac:dyDescent="0.35">
      <c r="L3462"/>
    </row>
    <row r="3463" spans="12:12" ht="14.5" x14ac:dyDescent="0.35">
      <c r="L3463"/>
    </row>
    <row r="3464" spans="12:12" ht="14.5" x14ac:dyDescent="0.35">
      <c r="L3464"/>
    </row>
    <row r="3465" spans="12:12" ht="14.5" x14ac:dyDescent="0.35">
      <c r="L3465"/>
    </row>
    <row r="3466" spans="12:12" ht="14.5" x14ac:dyDescent="0.35">
      <c r="L3466"/>
    </row>
    <row r="3467" spans="12:12" ht="14.5" x14ac:dyDescent="0.35">
      <c r="L3467"/>
    </row>
    <row r="3468" spans="12:12" ht="14.5" x14ac:dyDescent="0.35">
      <c r="L3468"/>
    </row>
    <row r="3469" spans="12:12" ht="14.5" x14ac:dyDescent="0.35">
      <c r="L3469"/>
    </row>
    <row r="3470" spans="12:12" ht="14.5" x14ac:dyDescent="0.35">
      <c r="L3470"/>
    </row>
    <row r="3471" spans="12:12" ht="14.5" x14ac:dyDescent="0.35">
      <c r="L3471"/>
    </row>
    <row r="3472" spans="12:12" ht="14.5" x14ac:dyDescent="0.35">
      <c r="L3472"/>
    </row>
    <row r="3473" spans="12:12" ht="14.5" x14ac:dyDescent="0.35">
      <c r="L3473"/>
    </row>
    <row r="3474" spans="12:12" ht="14.5" x14ac:dyDescent="0.35">
      <c r="L3474"/>
    </row>
    <row r="3475" spans="12:12" ht="14.5" x14ac:dyDescent="0.35">
      <c r="L3475"/>
    </row>
    <row r="3476" spans="12:12" ht="14.5" x14ac:dyDescent="0.35">
      <c r="L3476"/>
    </row>
    <row r="3477" spans="12:12" ht="14.5" x14ac:dyDescent="0.35">
      <c r="L3477"/>
    </row>
    <row r="3478" spans="12:12" ht="14.5" x14ac:dyDescent="0.35">
      <c r="L3478"/>
    </row>
    <row r="3479" spans="12:12" ht="14.5" x14ac:dyDescent="0.35">
      <c r="L3479"/>
    </row>
    <row r="3480" spans="12:12" ht="14.5" x14ac:dyDescent="0.35">
      <c r="L3480"/>
    </row>
    <row r="3481" spans="12:12" ht="14.5" x14ac:dyDescent="0.35">
      <c r="L3481"/>
    </row>
    <row r="3482" spans="12:12" ht="14.5" x14ac:dyDescent="0.35">
      <c r="L3482"/>
    </row>
    <row r="3483" spans="12:12" ht="14.5" x14ac:dyDescent="0.35">
      <c r="L3483"/>
    </row>
    <row r="3484" spans="12:12" ht="14.5" x14ac:dyDescent="0.35">
      <c r="L3484"/>
    </row>
    <row r="3485" spans="12:12" ht="14.5" x14ac:dyDescent="0.35">
      <c r="L3485"/>
    </row>
    <row r="3486" spans="12:12" ht="14.5" x14ac:dyDescent="0.35">
      <c r="L3486"/>
    </row>
    <row r="3487" spans="12:12" ht="14.5" x14ac:dyDescent="0.35">
      <c r="L3487"/>
    </row>
    <row r="3488" spans="12:12" ht="14.5" x14ac:dyDescent="0.35">
      <c r="L3488"/>
    </row>
    <row r="3489" spans="12:12" ht="14.5" x14ac:dyDescent="0.35">
      <c r="L3489"/>
    </row>
    <row r="3490" spans="12:12" ht="14.5" x14ac:dyDescent="0.35">
      <c r="L3490"/>
    </row>
    <row r="3491" spans="12:12" ht="14.5" x14ac:dyDescent="0.35">
      <c r="L3491"/>
    </row>
    <row r="3492" spans="12:12" ht="14.5" x14ac:dyDescent="0.35">
      <c r="L3492"/>
    </row>
    <row r="3493" spans="12:12" ht="14.5" x14ac:dyDescent="0.35">
      <c r="L3493"/>
    </row>
    <row r="3494" spans="12:12" ht="14.5" x14ac:dyDescent="0.35">
      <c r="L3494"/>
    </row>
    <row r="3495" spans="12:12" ht="14.5" x14ac:dyDescent="0.35">
      <c r="L3495"/>
    </row>
    <row r="3496" spans="12:12" ht="14.5" x14ac:dyDescent="0.35">
      <c r="L3496"/>
    </row>
    <row r="3497" spans="12:12" ht="14.5" x14ac:dyDescent="0.35">
      <c r="L3497"/>
    </row>
    <row r="3498" spans="12:12" ht="14.5" x14ac:dyDescent="0.35">
      <c r="L3498"/>
    </row>
    <row r="3499" spans="12:12" ht="14.5" x14ac:dyDescent="0.35">
      <c r="L3499"/>
    </row>
    <row r="3500" spans="12:12" ht="14.5" x14ac:dyDescent="0.35">
      <c r="L3500"/>
    </row>
    <row r="3501" spans="12:12" ht="14.5" x14ac:dyDescent="0.35">
      <c r="L3501"/>
    </row>
    <row r="3502" spans="12:12" ht="14.5" x14ac:dyDescent="0.35">
      <c r="L3502"/>
    </row>
    <row r="3503" spans="12:12" ht="14.5" x14ac:dyDescent="0.35">
      <c r="L3503"/>
    </row>
    <row r="3504" spans="12:12" ht="14.5" x14ac:dyDescent="0.35">
      <c r="L3504"/>
    </row>
    <row r="3505" spans="12:12" ht="14.5" x14ac:dyDescent="0.35">
      <c r="L3505"/>
    </row>
    <row r="3506" spans="12:12" ht="14.5" x14ac:dyDescent="0.35">
      <c r="L3506"/>
    </row>
    <row r="3507" spans="12:12" ht="14.5" x14ac:dyDescent="0.35">
      <c r="L3507"/>
    </row>
    <row r="3508" spans="12:12" ht="14.5" x14ac:dyDescent="0.35">
      <c r="L3508"/>
    </row>
    <row r="3509" spans="12:12" ht="14.5" x14ac:dyDescent="0.35">
      <c r="L3509"/>
    </row>
    <row r="3510" spans="12:12" ht="14.5" x14ac:dyDescent="0.35">
      <c r="L3510"/>
    </row>
    <row r="3511" spans="12:12" ht="14.5" x14ac:dyDescent="0.35">
      <c r="L3511"/>
    </row>
    <row r="3512" spans="12:12" ht="14.5" x14ac:dyDescent="0.35">
      <c r="L3512"/>
    </row>
    <row r="3513" spans="12:12" ht="14.5" x14ac:dyDescent="0.35">
      <c r="L3513"/>
    </row>
    <row r="3514" spans="12:12" ht="14.5" x14ac:dyDescent="0.35">
      <c r="L3514"/>
    </row>
    <row r="3515" spans="12:12" ht="14.5" x14ac:dyDescent="0.35">
      <c r="L3515"/>
    </row>
    <row r="3516" spans="12:12" ht="14.5" x14ac:dyDescent="0.35">
      <c r="L3516"/>
    </row>
    <row r="3517" spans="12:12" ht="14.5" x14ac:dyDescent="0.35">
      <c r="L3517"/>
    </row>
    <row r="3518" spans="12:12" ht="14.5" x14ac:dyDescent="0.35">
      <c r="L3518"/>
    </row>
    <row r="3519" spans="12:12" ht="14.5" x14ac:dyDescent="0.35">
      <c r="L3519"/>
    </row>
    <row r="3520" spans="12:12" ht="14.5" x14ac:dyDescent="0.35">
      <c r="L3520"/>
    </row>
    <row r="3521" spans="12:12" ht="14.5" x14ac:dyDescent="0.35">
      <c r="L3521"/>
    </row>
    <row r="3522" spans="12:12" ht="14.5" x14ac:dyDescent="0.35">
      <c r="L3522"/>
    </row>
    <row r="3523" spans="12:12" ht="14.5" x14ac:dyDescent="0.35">
      <c r="L3523"/>
    </row>
    <row r="3524" spans="12:12" ht="14.5" x14ac:dyDescent="0.35">
      <c r="L3524"/>
    </row>
    <row r="3525" spans="12:12" ht="14.5" x14ac:dyDescent="0.35">
      <c r="L3525"/>
    </row>
    <row r="3526" spans="12:12" ht="14.5" x14ac:dyDescent="0.35">
      <c r="L3526"/>
    </row>
    <row r="3527" spans="12:12" ht="14.5" x14ac:dyDescent="0.35">
      <c r="L3527"/>
    </row>
    <row r="3528" spans="12:12" ht="14.5" x14ac:dyDescent="0.35">
      <c r="L3528"/>
    </row>
    <row r="3529" spans="12:12" ht="14.5" x14ac:dyDescent="0.35">
      <c r="L3529"/>
    </row>
    <row r="3530" spans="12:12" ht="14.5" x14ac:dyDescent="0.35">
      <c r="L3530"/>
    </row>
    <row r="3531" spans="12:12" ht="14.5" x14ac:dyDescent="0.35">
      <c r="L3531"/>
    </row>
    <row r="3532" spans="12:12" ht="14.5" x14ac:dyDescent="0.35">
      <c r="L3532"/>
    </row>
    <row r="3533" spans="12:12" ht="14.5" x14ac:dyDescent="0.35">
      <c r="L3533"/>
    </row>
    <row r="3534" spans="12:12" ht="14.5" x14ac:dyDescent="0.35">
      <c r="L3534"/>
    </row>
    <row r="3535" spans="12:12" ht="14.5" x14ac:dyDescent="0.35">
      <c r="L3535"/>
    </row>
    <row r="3536" spans="12:12" ht="14.5" x14ac:dyDescent="0.35">
      <c r="L3536"/>
    </row>
    <row r="3537" spans="12:12" ht="14.5" x14ac:dyDescent="0.35">
      <c r="L3537"/>
    </row>
    <row r="3538" spans="12:12" ht="14.5" x14ac:dyDescent="0.35">
      <c r="L3538"/>
    </row>
    <row r="3539" spans="12:12" ht="14.5" x14ac:dyDescent="0.35">
      <c r="L3539"/>
    </row>
    <row r="3540" spans="12:12" ht="14.5" x14ac:dyDescent="0.35">
      <c r="L3540"/>
    </row>
    <row r="3541" spans="12:12" ht="14.5" x14ac:dyDescent="0.35">
      <c r="L3541"/>
    </row>
    <row r="3542" spans="12:12" ht="14.5" x14ac:dyDescent="0.35">
      <c r="L3542"/>
    </row>
    <row r="3543" spans="12:12" ht="14.5" x14ac:dyDescent="0.35">
      <c r="L3543"/>
    </row>
    <row r="3544" spans="12:12" ht="14.5" x14ac:dyDescent="0.35">
      <c r="L3544"/>
    </row>
    <row r="3545" spans="12:12" ht="14.5" x14ac:dyDescent="0.35">
      <c r="L3545"/>
    </row>
    <row r="3546" spans="12:12" ht="14.5" x14ac:dyDescent="0.35">
      <c r="L3546"/>
    </row>
    <row r="3547" spans="12:12" ht="14.5" x14ac:dyDescent="0.35">
      <c r="L3547"/>
    </row>
    <row r="3548" spans="12:12" ht="14.5" x14ac:dyDescent="0.35">
      <c r="L3548"/>
    </row>
    <row r="3549" spans="12:12" ht="14.5" x14ac:dyDescent="0.35">
      <c r="L3549"/>
    </row>
    <row r="3550" spans="12:12" ht="14.5" x14ac:dyDescent="0.35">
      <c r="L3550"/>
    </row>
    <row r="3551" spans="12:12" ht="14.5" x14ac:dyDescent="0.35">
      <c r="L3551"/>
    </row>
    <row r="3552" spans="12:12" ht="14.5" x14ac:dyDescent="0.35">
      <c r="L3552"/>
    </row>
    <row r="3553" spans="12:12" ht="14.5" x14ac:dyDescent="0.35">
      <c r="L3553"/>
    </row>
    <row r="3554" spans="12:12" ht="14.5" x14ac:dyDescent="0.35">
      <c r="L3554"/>
    </row>
    <row r="3555" spans="12:12" ht="14.5" x14ac:dyDescent="0.35">
      <c r="L3555"/>
    </row>
    <row r="3556" spans="12:12" ht="14.5" x14ac:dyDescent="0.35">
      <c r="L3556"/>
    </row>
    <row r="3557" spans="12:12" ht="14.5" x14ac:dyDescent="0.35">
      <c r="L3557"/>
    </row>
    <row r="3558" spans="12:12" ht="14.5" x14ac:dyDescent="0.35">
      <c r="L3558"/>
    </row>
    <row r="3559" spans="12:12" ht="14.5" x14ac:dyDescent="0.35">
      <c r="L3559"/>
    </row>
    <row r="3560" spans="12:12" ht="14.5" x14ac:dyDescent="0.35">
      <c r="L3560"/>
    </row>
    <row r="3561" spans="12:12" ht="14.5" x14ac:dyDescent="0.35">
      <c r="L3561"/>
    </row>
    <row r="3562" spans="12:12" ht="14.5" x14ac:dyDescent="0.35">
      <c r="L3562"/>
    </row>
    <row r="3563" spans="12:12" ht="14.5" x14ac:dyDescent="0.35">
      <c r="L3563"/>
    </row>
    <row r="3564" spans="12:12" ht="14.5" x14ac:dyDescent="0.35">
      <c r="L3564"/>
    </row>
    <row r="3565" spans="12:12" ht="14.5" x14ac:dyDescent="0.35">
      <c r="L3565"/>
    </row>
    <row r="3566" spans="12:12" ht="14.5" x14ac:dyDescent="0.35">
      <c r="L3566"/>
    </row>
    <row r="3567" spans="12:12" ht="14.5" x14ac:dyDescent="0.35">
      <c r="L3567"/>
    </row>
    <row r="3568" spans="12:12" ht="14.5" x14ac:dyDescent="0.35">
      <c r="L3568"/>
    </row>
    <row r="3569" spans="12:12" ht="14.5" x14ac:dyDescent="0.35">
      <c r="L3569"/>
    </row>
    <row r="3570" spans="12:12" ht="14.5" x14ac:dyDescent="0.35">
      <c r="L3570"/>
    </row>
    <row r="3571" spans="12:12" ht="14.5" x14ac:dyDescent="0.35">
      <c r="L3571"/>
    </row>
    <row r="3572" spans="12:12" ht="14.5" x14ac:dyDescent="0.35">
      <c r="L3572"/>
    </row>
    <row r="3573" spans="12:12" ht="14.5" x14ac:dyDescent="0.35">
      <c r="L3573"/>
    </row>
    <row r="3574" spans="12:12" ht="14.5" x14ac:dyDescent="0.35">
      <c r="L3574"/>
    </row>
    <row r="3575" spans="12:12" ht="14.5" x14ac:dyDescent="0.35">
      <c r="L3575"/>
    </row>
    <row r="3576" spans="12:12" ht="14.5" x14ac:dyDescent="0.35">
      <c r="L3576"/>
    </row>
    <row r="3577" spans="12:12" ht="14.5" x14ac:dyDescent="0.35">
      <c r="L3577"/>
    </row>
    <row r="3578" spans="12:12" ht="14.5" x14ac:dyDescent="0.35">
      <c r="L3578"/>
    </row>
    <row r="3579" spans="12:12" ht="14.5" x14ac:dyDescent="0.35">
      <c r="L3579"/>
    </row>
    <row r="3580" spans="12:12" ht="14.5" x14ac:dyDescent="0.35">
      <c r="L3580"/>
    </row>
    <row r="3581" spans="12:12" ht="14.5" x14ac:dyDescent="0.35">
      <c r="L3581"/>
    </row>
    <row r="3582" spans="12:12" ht="14.5" x14ac:dyDescent="0.35">
      <c r="L3582"/>
    </row>
    <row r="3583" spans="12:12" ht="14.5" x14ac:dyDescent="0.35">
      <c r="L3583"/>
    </row>
    <row r="3584" spans="12:12" ht="14.5" x14ac:dyDescent="0.35">
      <c r="L3584"/>
    </row>
    <row r="3585" spans="12:12" ht="14.5" x14ac:dyDescent="0.35">
      <c r="L3585"/>
    </row>
    <row r="3586" spans="12:12" ht="14.5" x14ac:dyDescent="0.35">
      <c r="L3586"/>
    </row>
    <row r="3587" spans="12:12" ht="14.5" x14ac:dyDescent="0.35">
      <c r="L3587"/>
    </row>
    <row r="3588" spans="12:12" ht="14.5" x14ac:dyDescent="0.35">
      <c r="L3588"/>
    </row>
    <row r="3589" spans="12:12" ht="14.5" x14ac:dyDescent="0.35">
      <c r="L3589"/>
    </row>
    <row r="3590" spans="12:12" ht="14.5" x14ac:dyDescent="0.35">
      <c r="L3590"/>
    </row>
    <row r="3591" spans="12:12" ht="14.5" x14ac:dyDescent="0.35">
      <c r="L3591"/>
    </row>
    <row r="3592" spans="12:12" ht="14.5" x14ac:dyDescent="0.35">
      <c r="L3592"/>
    </row>
    <row r="3593" spans="12:12" ht="14.5" x14ac:dyDescent="0.35">
      <c r="L3593"/>
    </row>
    <row r="3594" spans="12:12" ht="14.5" x14ac:dyDescent="0.35">
      <c r="L3594"/>
    </row>
    <row r="3595" spans="12:12" ht="14.5" x14ac:dyDescent="0.35">
      <c r="L3595"/>
    </row>
    <row r="3596" spans="12:12" ht="14.5" x14ac:dyDescent="0.35">
      <c r="L3596"/>
    </row>
    <row r="3597" spans="12:12" ht="14.5" x14ac:dyDescent="0.35">
      <c r="L3597"/>
    </row>
    <row r="3598" spans="12:12" ht="14.5" x14ac:dyDescent="0.35">
      <c r="L3598"/>
    </row>
    <row r="3599" spans="12:12" ht="14.5" x14ac:dyDescent="0.35">
      <c r="L3599"/>
    </row>
    <row r="3600" spans="12:12" ht="14.5" x14ac:dyDescent="0.35">
      <c r="L3600"/>
    </row>
    <row r="3601" spans="12:12" ht="14.5" x14ac:dyDescent="0.35">
      <c r="L3601"/>
    </row>
    <row r="3602" spans="12:12" ht="14.5" x14ac:dyDescent="0.35">
      <c r="L3602"/>
    </row>
    <row r="3603" spans="12:12" ht="14.5" x14ac:dyDescent="0.35">
      <c r="L3603"/>
    </row>
    <row r="3604" spans="12:12" ht="14.5" x14ac:dyDescent="0.35">
      <c r="L3604"/>
    </row>
    <row r="3605" spans="12:12" ht="14.5" x14ac:dyDescent="0.35">
      <c r="L3605"/>
    </row>
    <row r="3606" spans="12:12" ht="14.5" x14ac:dyDescent="0.35">
      <c r="L3606"/>
    </row>
    <row r="3607" spans="12:12" ht="14.5" x14ac:dyDescent="0.35">
      <c r="L3607"/>
    </row>
    <row r="3608" spans="12:12" ht="14.5" x14ac:dyDescent="0.35">
      <c r="L3608"/>
    </row>
    <row r="3609" spans="12:12" ht="14.5" x14ac:dyDescent="0.35">
      <c r="L3609"/>
    </row>
    <row r="3610" spans="12:12" ht="14.5" x14ac:dyDescent="0.35">
      <c r="L3610"/>
    </row>
    <row r="3611" spans="12:12" ht="14.5" x14ac:dyDescent="0.35">
      <c r="L3611"/>
    </row>
    <row r="3612" spans="12:12" ht="14.5" x14ac:dyDescent="0.35">
      <c r="L3612"/>
    </row>
    <row r="3613" spans="12:12" ht="14.5" x14ac:dyDescent="0.35">
      <c r="L3613"/>
    </row>
    <row r="3614" spans="12:12" ht="14.5" x14ac:dyDescent="0.35">
      <c r="L3614"/>
    </row>
    <row r="3615" spans="12:12" ht="14.5" x14ac:dyDescent="0.35">
      <c r="L3615"/>
    </row>
    <row r="3616" spans="12:12" ht="14.5" x14ac:dyDescent="0.35">
      <c r="L3616"/>
    </row>
    <row r="3617" spans="12:12" ht="14.5" x14ac:dyDescent="0.35">
      <c r="L3617"/>
    </row>
    <row r="3618" spans="12:12" ht="14.5" x14ac:dyDescent="0.35">
      <c r="L3618"/>
    </row>
    <row r="3619" spans="12:12" ht="14.5" x14ac:dyDescent="0.35">
      <c r="L3619"/>
    </row>
    <row r="3620" spans="12:12" ht="14.5" x14ac:dyDescent="0.35">
      <c r="L3620"/>
    </row>
    <row r="3621" spans="12:12" ht="14.5" x14ac:dyDescent="0.35">
      <c r="L3621"/>
    </row>
    <row r="3622" spans="12:12" ht="14.5" x14ac:dyDescent="0.35">
      <c r="L3622"/>
    </row>
    <row r="3623" spans="12:12" ht="14.5" x14ac:dyDescent="0.35">
      <c r="L3623"/>
    </row>
    <row r="3624" spans="12:12" ht="14.5" x14ac:dyDescent="0.35">
      <c r="L3624"/>
    </row>
    <row r="3625" spans="12:12" ht="14.5" x14ac:dyDescent="0.35">
      <c r="L3625"/>
    </row>
    <row r="3626" spans="12:12" ht="14.5" x14ac:dyDescent="0.35">
      <c r="L3626"/>
    </row>
    <row r="3627" spans="12:12" ht="14.5" x14ac:dyDescent="0.35">
      <c r="L3627"/>
    </row>
    <row r="3628" spans="12:12" ht="14.5" x14ac:dyDescent="0.35">
      <c r="L3628"/>
    </row>
    <row r="3629" spans="12:12" ht="14.5" x14ac:dyDescent="0.35">
      <c r="L3629"/>
    </row>
    <row r="3630" spans="12:12" ht="14.5" x14ac:dyDescent="0.35">
      <c r="L3630"/>
    </row>
    <row r="3631" spans="12:12" ht="14.5" x14ac:dyDescent="0.35">
      <c r="L3631"/>
    </row>
    <row r="3632" spans="12:12" ht="14.5" x14ac:dyDescent="0.35">
      <c r="L3632"/>
    </row>
    <row r="3633" spans="12:12" ht="14.5" x14ac:dyDescent="0.35">
      <c r="L3633"/>
    </row>
    <row r="3634" spans="12:12" ht="14.5" x14ac:dyDescent="0.35">
      <c r="L3634"/>
    </row>
    <row r="3635" spans="12:12" ht="14.5" x14ac:dyDescent="0.35">
      <c r="L3635"/>
    </row>
    <row r="3636" spans="12:12" ht="14.5" x14ac:dyDescent="0.35">
      <c r="L3636"/>
    </row>
    <row r="3637" spans="12:12" ht="14.5" x14ac:dyDescent="0.35">
      <c r="L3637"/>
    </row>
    <row r="3638" spans="12:12" ht="14.5" x14ac:dyDescent="0.35">
      <c r="L3638"/>
    </row>
    <row r="3639" spans="12:12" ht="14.5" x14ac:dyDescent="0.35">
      <c r="L3639"/>
    </row>
    <row r="3640" spans="12:12" ht="14.5" x14ac:dyDescent="0.35">
      <c r="L3640"/>
    </row>
    <row r="3641" spans="12:12" ht="14.5" x14ac:dyDescent="0.35">
      <c r="L3641"/>
    </row>
    <row r="3642" spans="12:12" ht="14.5" x14ac:dyDescent="0.35">
      <c r="L3642"/>
    </row>
    <row r="3643" spans="12:12" ht="14.5" x14ac:dyDescent="0.35">
      <c r="L3643"/>
    </row>
    <row r="3644" spans="12:12" ht="14.5" x14ac:dyDescent="0.35">
      <c r="L3644"/>
    </row>
    <row r="3645" spans="12:12" ht="14.5" x14ac:dyDescent="0.35">
      <c r="L3645"/>
    </row>
    <row r="3646" spans="12:12" ht="14.5" x14ac:dyDescent="0.35">
      <c r="L3646"/>
    </row>
    <row r="3647" spans="12:12" ht="14.5" x14ac:dyDescent="0.35">
      <c r="L3647"/>
    </row>
    <row r="3648" spans="12:12" ht="14.5" x14ac:dyDescent="0.35">
      <c r="L3648"/>
    </row>
    <row r="3649" spans="12:12" ht="14.5" x14ac:dyDescent="0.35">
      <c r="L3649"/>
    </row>
    <row r="3650" spans="12:12" ht="14.5" x14ac:dyDescent="0.35">
      <c r="L3650"/>
    </row>
    <row r="3651" spans="12:12" ht="14.5" x14ac:dyDescent="0.35">
      <c r="L3651"/>
    </row>
    <row r="3652" spans="12:12" ht="14.5" x14ac:dyDescent="0.35">
      <c r="L3652"/>
    </row>
    <row r="3653" spans="12:12" ht="14.5" x14ac:dyDescent="0.35">
      <c r="L3653"/>
    </row>
    <row r="3654" spans="12:12" ht="14.5" x14ac:dyDescent="0.35">
      <c r="L3654"/>
    </row>
    <row r="3655" spans="12:12" ht="14.5" x14ac:dyDescent="0.35">
      <c r="L3655"/>
    </row>
    <row r="3656" spans="12:12" ht="14.5" x14ac:dyDescent="0.35">
      <c r="L3656"/>
    </row>
    <row r="3657" spans="12:12" ht="14.5" x14ac:dyDescent="0.35">
      <c r="L3657"/>
    </row>
    <row r="3658" spans="12:12" ht="14.5" x14ac:dyDescent="0.35">
      <c r="L3658"/>
    </row>
    <row r="3659" spans="12:12" ht="14.5" x14ac:dyDescent="0.35">
      <c r="L3659"/>
    </row>
    <row r="3660" spans="12:12" ht="14.5" x14ac:dyDescent="0.35">
      <c r="L3660"/>
    </row>
    <row r="3661" spans="12:12" ht="14.5" x14ac:dyDescent="0.35">
      <c r="L3661"/>
    </row>
    <row r="3662" spans="12:12" ht="14.5" x14ac:dyDescent="0.35">
      <c r="L3662"/>
    </row>
    <row r="3663" spans="12:12" ht="14.5" x14ac:dyDescent="0.35">
      <c r="L3663"/>
    </row>
    <row r="3664" spans="12:12" ht="14.5" x14ac:dyDescent="0.35">
      <c r="L3664"/>
    </row>
    <row r="3665" spans="12:12" ht="14.5" x14ac:dyDescent="0.35">
      <c r="L3665"/>
    </row>
    <row r="3666" spans="12:12" ht="14.5" x14ac:dyDescent="0.35">
      <c r="L3666"/>
    </row>
    <row r="3667" spans="12:12" ht="14.5" x14ac:dyDescent="0.35">
      <c r="L3667"/>
    </row>
    <row r="3668" spans="12:12" ht="14.5" x14ac:dyDescent="0.35">
      <c r="L3668"/>
    </row>
    <row r="3669" spans="12:12" ht="14.5" x14ac:dyDescent="0.35">
      <c r="L3669"/>
    </row>
    <row r="3670" spans="12:12" ht="14.5" x14ac:dyDescent="0.35">
      <c r="L3670"/>
    </row>
    <row r="3671" spans="12:12" ht="14.5" x14ac:dyDescent="0.35">
      <c r="L3671"/>
    </row>
    <row r="3672" spans="12:12" ht="14.5" x14ac:dyDescent="0.35">
      <c r="L3672"/>
    </row>
    <row r="3673" spans="12:12" ht="14.5" x14ac:dyDescent="0.35">
      <c r="L3673"/>
    </row>
    <row r="3674" spans="12:12" ht="14.5" x14ac:dyDescent="0.35">
      <c r="L3674"/>
    </row>
    <row r="3675" spans="12:12" ht="14.5" x14ac:dyDescent="0.35">
      <c r="L3675"/>
    </row>
    <row r="3676" spans="12:12" ht="14.5" x14ac:dyDescent="0.35">
      <c r="L3676"/>
    </row>
    <row r="3677" spans="12:12" ht="14.5" x14ac:dyDescent="0.35">
      <c r="L3677"/>
    </row>
    <row r="3678" spans="12:12" ht="14.5" x14ac:dyDescent="0.35">
      <c r="L3678"/>
    </row>
    <row r="3679" spans="12:12" ht="14.5" x14ac:dyDescent="0.35">
      <c r="L3679"/>
    </row>
    <row r="3680" spans="12:12" ht="14.5" x14ac:dyDescent="0.35">
      <c r="L3680"/>
    </row>
    <row r="3681" spans="12:12" ht="14.5" x14ac:dyDescent="0.35">
      <c r="L3681"/>
    </row>
    <row r="3682" spans="12:12" ht="14.5" x14ac:dyDescent="0.35">
      <c r="L3682"/>
    </row>
    <row r="3683" spans="12:12" ht="14.5" x14ac:dyDescent="0.35">
      <c r="L3683"/>
    </row>
    <row r="3684" spans="12:12" ht="14.5" x14ac:dyDescent="0.35">
      <c r="L3684"/>
    </row>
    <row r="3685" spans="12:12" ht="14.5" x14ac:dyDescent="0.35">
      <c r="L3685"/>
    </row>
    <row r="3686" spans="12:12" ht="14.5" x14ac:dyDescent="0.35">
      <c r="L3686"/>
    </row>
    <row r="3687" spans="12:12" ht="14.5" x14ac:dyDescent="0.35">
      <c r="L3687"/>
    </row>
    <row r="3688" spans="12:12" ht="14.5" x14ac:dyDescent="0.35">
      <c r="L3688"/>
    </row>
    <row r="3689" spans="12:12" ht="14.5" x14ac:dyDescent="0.35">
      <c r="L3689"/>
    </row>
    <row r="3690" spans="12:12" ht="14.5" x14ac:dyDescent="0.35">
      <c r="L3690"/>
    </row>
    <row r="3691" spans="12:12" ht="14.5" x14ac:dyDescent="0.35">
      <c r="L3691"/>
    </row>
    <row r="3692" spans="12:12" ht="14.5" x14ac:dyDescent="0.35">
      <c r="L3692"/>
    </row>
    <row r="3693" spans="12:12" ht="14.5" x14ac:dyDescent="0.35">
      <c r="L3693"/>
    </row>
    <row r="3694" spans="12:12" ht="14.5" x14ac:dyDescent="0.35">
      <c r="L3694"/>
    </row>
    <row r="3695" spans="12:12" ht="14.5" x14ac:dyDescent="0.35">
      <c r="L3695"/>
    </row>
    <row r="3696" spans="12:12" ht="14.5" x14ac:dyDescent="0.35">
      <c r="L3696"/>
    </row>
    <row r="3697" spans="12:12" ht="14.5" x14ac:dyDescent="0.35">
      <c r="L3697"/>
    </row>
    <row r="3698" spans="12:12" ht="14.5" x14ac:dyDescent="0.35">
      <c r="L3698"/>
    </row>
    <row r="3699" spans="12:12" ht="14.5" x14ac:dyDescent="0.35">
      <c r="L3699"/>
    </row>
    <row r="3700" spans="12:12" ht="14.5" x14ac:dyDescent="0.35">
      <c r="L3700"/>
    </row>
    <row r="3701" spans="12:12" ht="14.5" x14ac:dyDescent="0.35">
      <c r="L3701"/>
    </row>
    <row r="3702" spans="12:12" ht="14.5" x14ac:dyDescent="0.35">
      <c r="L3702"/>
    </row>
    <row r="3703" spans="12:12" ht="14.5" x14ac:dyDescent="0.35">
      <c r="L3703"/>
    </row>
    <row r="3704" spans="12:12" ht="14.5" x14ac:dyDescent="0.35">
      <c r="L3704"/>
    </row>
    <row r="3705" spans="12:12" ht="14.5" x14ac:dyDescent="0.35">
      <c r="L3705"/>
    </row>
    <row r="3706" spans="12:12" ht="14.5" x14ac:dyDescent="0.35">
      <c r="L3706"/>
    </row>
    <row r="3707" spans="12:12" ht="14.5" x14ac:dyDescent="0.35">
      <c r="L3707"/>
    </row>
    <row r="3708" spans="12:12" ht="14.5" x14ac:dyDescent="0.35">
      <c r="L3708"/>
    </row>
    <row r="3709" spans="12:12" ht="14.5" x14ac:dyDescent="0.35">
      <c r="L3709"/>
    </row>
    <row r="3710" spans="12:12" ht="14.5" x14ac:dyDescent="0.35">
      <c r="L3710"/>
    </row>
    <row r="3711" spans="12:12" ht="14.5" x14ac:dyDescent="0.35">
      <c r="L3711"/>
    </row>
    <row r="3712" spans="12:12" ht="14.5" x14ac:dyDescent="0.35">
      <c r="L3712"/>
    </row>
    <row r="3713" spans="12:12" ht="14.5" x14ac:dyDescent="0.35">
      <c r="L3713"/>
    </row>
    <row r="3714" spans="12:12" ht="14.5" x14ac:dyDescent="0.35">
      <c r="L3714"/>
    </row>
    <row r="3715" spans="12:12" ht="14.5" x14ac:dyDescent="0.35">
      <c r="L3715"/>
    </row>
    <row r="3716" spans="12:12" ht="14.5" x14ac:dyDescent="0.35">
      <c r="L3716"/>
    </row>
    <row r="3717" spans="12:12" ht="14.5" x14ac:dyDescent="0.35">
      <c r="L3717"/>
    </row>
    <row r="3718" spans="12:12" ht="14.5" x14ac:dyDescent="0.35">
      <c r="L3718"/>
    </row>
    <row r="3719" spans="12:12" ht="14.5" x14ac:dyDescent="0.35">
      <c r="L3719"/>
    </row>
    <row r="3720" spans="12:12" ht="14.5" x14ac:dyDescent="0.35">
      <c r="L3720"/>
    </row>
    <row r="3721" spans="12:12" ht="14.5" x14ac:dyDescent="0.35">
      <c r="L3721"/>
    </row>
    <row r="3722" spans="12:12" ht="14.5" x14ac:dyDescent="0.35">
      <c r="L3722"/>
    </row>
    <row r="3723" spans="12:12" ht="14.5" x14ac:dyDescent="0.35">
      <c r="L3723"/>
    </row>
    <row r="3724" spans="12:12" ht="14.5" x14ac:dyDescent="0.35">
      <c r="L3724"/>
    </row>
    <row r="3725" spans="12:12" ht="14.5" x14ac:dyDescent="0.35">
      <c r="L3725"/>
    </row>
    <row r="3726" spans="12:12" ht="14.5" x14ac:dyDescent="0.35">
      <c r="L3726"/>
    </row>
    <row r="3727" spans="12:12" ht="14.5" x14ac:dyDescent="0.35">
      <c r="L3727"/>
    </row>
    <row r="3728" spans="12:12" ht="14.5" x14ac:dyDescent="0.35">
      <c r="L3728"/>
    </row>
    <row r="3729" spans="12:12" ht="14.5" x14ac:dyDescent="0.35">
      <c r="L3729"/>
    </row>
    <row r="3730" spans="12:12" ht="14.5" x14ac:dyDescent="0.35">
      <c r="L3730"/>
    </row>
    <row r="3731" spans="12:12" ht="14.5" x14ac:dyDescent="0.35">
      <c r="L3731"/>
    </row>
    <row r="3732" spans="12:12" ht="14.5" x14ac:dyDescent="0.35">
      <c r="L3732"/>
    </row>
    <row r="3733" spans="12:12" ht="14.5" x14ac:dyDescent="0.35">
      <c r="L3733"/>
    </row>
    <row r="3734" spans="12:12" ht="14.5" x14ac:dyDescent="0.35">
      <c r="L3734"/>
    </row>
    <row r="3735" spans="12:12" ht="14.5" x14ac:dyDescent="0.35">
      <c r="L3735"/>
    </row>
    <row r="3736" spans="12:12" ht="14.5" x14ac:dyDescent="0.35">
      <c r="L3736"/>
    </row>
    <row r="3737" spans="12:12" ht="14.5" x14ac:dyDescent="0.35">
      <c r="L3737"/>
    </row>
    <row r="3738" spans="12:12" ht="14.5" x14ac:dyDescent="0.35">
      <c r="L3738"/>
    </row>
    <row r="3739" spans="12:12" ht="14.5" x14ac:dyDescent="0.35">
      <c r="L3739"/>
    </row>
    <row r="3740" spans="12:12" ht="14.5" x14ac:dyDescent="0.35">
      <c r="L3740"/>
    </row>
    <row r="3741" spans="12:12" ht="14.5" x14ac:dyDescent="0.35">
      <c r="L3741"/>
    </row>
    <row r="3742" spans="12:12" ht="14.5" x14ac:dyDescent="0.35">
      <c r="L3742"/>
    </row>
    <row r="3743" spans="12:12" ht="14.5" x14ac:dyDescent="0.35">
      <c r="L3743"/>
    </row>
    <row r="3744" spans="12:12" ht="14.5" x14ac:dyDescent="0.35">
      <c r="L3744"/>
    </row>
    <row r="3745" spans="12:12" ht="14.5" x14ac:dyDescent="0.35">
      <c r="L3745"/>
    </row>
    <row r="3746" spans="12:12" ht="14.5" x14ac:dyDescent="0.35">
      <c r="L3746"/>
    </row>
    <row r="3747" spans="12:12" ht="14.5" x14ac:dyDescent="0.35">
      <c r="L3747"/>
    </row>
    <row r="3748" spans="12:12" ht="14.5" x14ac:dyDescent="0.35">
      <c r="L3748"/>
    </row>
    <row r="3749" spans="12:12" ht="14.5" x14ac:dyDescent="0.35">
      <c r="L3749"/>
    </row>
    <row r="3750" spans="12:12" ht="14.5" x14ac:dyDescent="0.35">
      <c r="L3750"/>
    </row>
    <row r="3751" spans="12:12" ht="14.5" x14ac:dyDescent="0.35">
      <c r="L3751"/>
    </row>
    <row r="3752" spans="12:12" ht="14.5" x14ac:dyDescent="0.35">
      <c r="L3752"/>
    </row>
    <row r="3753" spans="12:12" ht="14.5" x14ac:dyDescent="0.35">
      <c r="L3753"/>
    </row>
    <row r="3754" spans="12:12" ht="14.5" x14ac:dyDescent="0.35">
      <c r="L3754"/>
    </row>
    <row r="3755" spans="12:12" ht="14.5" x14ac:dyDescent="0.35">
      <c r="L3755"/>
    </row>
    <row r="3756" spans="12:12" ht="14.5" x14ac:dyDescent="0.35">
      <c r="L3756"/>
    </row>
    <row r="3757" spans="12:12" ht="14.5" x14ac:dyDescent="0.35">
      <c r="L3757"/>
    </row>
    <row r="3758" spans="12:12" ht="14.5" x14ac:dyDescent="0.35">
      <c r="L3758"/>
    </row>
    <row r="3759" spans="12:12" ht="14.5" x14ac:dyDescent="0.35">
      <c r="L3759"/>
    </row>
    <row r="3760" spans="12:12" ht="14.5" x14ac:dyDescent="0.35">
      <c r="L3760"/>
    </row>
    <row r="3761" spans="12:12" ht="14.5" x14ac:dyDescent="0.35">
      <c r="L3761"/>
    </row>
    <row r="3762" spans="12:12" ht="14.5" x14ac:dyDescent="0.35">
      <c r="L3762"/>
    </row>
    <row r="3763" spans="12:12" ht="14.5" x14ac:dyDescent="0.35">
      <c r="L3763"/>
    </row>
    <row r="3764" spans="12:12" ht="14.5" x14ac:dyDescent="0.35">
      <c r="L3764"/>
    </row>
    <row r="3765" spans="12:12" ht="14.5" x14ac:dyDescent="0.35">
      <c r="L3765"/>
    </row>
    <row r="3766" spans="12:12" ht="14.5" x14ac:dyDescent="0.35">
      <c r="L3766"/>
    </row>
    <row r="3767" spans="12:12" ht="14.5" x14ac:dyDescent="0.35">
      <c r="L3767"/>
    </row>
    <row r="3768" spans="12:12" ht="14.5" x14ac:dyDescent="0.35">
      <c r="L3768"/>
    </row>
    <row r="3769" spans="12:12" ht="14.5" x14ac:dyDescent="0.35">
      <c r="L3769"/>
    </row>
    <row r="3770" spans="12:12" ht="14.5" x14ac:dyDescent="0.35">
      <c r="L3770"/>
    </row>
    <row r="3771" spans="12:12" ht="14.5" x14ac:dyDescent="0.35">
      <c r="L3771"/>
    </row>
    <row r="3772" spans="12:12" ht="14.5" x14ac:dyDescent="0.35">
      <c r="L3772"/>
    </row>
    <row r="3773" spans="12:12" ht="14.5" x14ac:dyDescent="0.35">
      <c r="L3773"/>
    </row>
    <row r="3774" spans="12:12" ht="14.5" x14ac:dyDescent="0.35">
      <c r="L3774"/>
    </row>
    <row r="3775" spans="12:12" ht="14.5" x14ac:dyDescent="0.35">
      <c r="L3775"/>
    </row>
    <row r="3776" spans="12:12" ht="14.5" x14ac:dyDescent="0.35">
      <c r="L3776"/>
    </row>
    <row r="3777" spans="12:12" ht="14.5" x14ac:dyDescent="0.35">
      <c r="L3777"/>
    </row>
    <row r="3778" spans="12:12" ht="14.5" x14ac:dyDescent="0.35">
      <c r="L3778"/>
    </row>
    <row r="3779" spans="12:12" ht="14.5" x14ac:dyDescent="0.35">
      <c r="L3779"/>
    </row>
    <row r="3780" spans="12:12" ht="14.5" x14ac:dyDescent="0.35">
      <c r="L3780"/>
    </row>
    <row r="3781" spans="12:12" ht="14.5" x14ac:dyDescent="0.35">
      <c r="L3781"/>
    </row>
    <row r="3782" spans="12:12" ht="14.5" x14ac:dyDescent="0.35">
      <c r="L3782"/>
    </row>
    <row r="3783" spans="12:12" ht="14.5" x14ac:dyDescent="0.35">
      <c r="L3783"/>
    </row>
    <row r="3784" spans="12:12" ht="14.5" x14ac:dyDescent="0.35">
      <c r="L3784"/>
    </row>
    <row r="3785" spans="12:12" ht="14.5" x14ac:dyDescent="0.35">
      <c r="L3785"/>
    </row>
    <row r="3786" spans="12:12" ht="14.5" x14ac:dyDescent="0.35">
      <c r="L3786"/>
    </row>
    <row r="3787" spans="12:12" ht="14.5" x14ac:dyDescent="0.35">
      <c r="L3787"/>
    </row>
    <row r="3788" spans="12:12" ht="14.5" x14ac:dyDescent="0.35">
      <c r="L3788"/>
    </row>
    <row r="3789" spans="12:12" ht="14.5" x14ac:dyDescent="0.35">
      <c r="L3789"/>
    </row>
    <row r="3790" spans="12:12" ht="14.5" x14ac:dyDescent="0.35">
      <c r="L3790"/>
    </row>
    <row r="3791" spans="12:12" ht="14.5" x14ac:dyDescent="0.35">
      <c r="L3791"/>
    </row>
    <row r="3792" spans="12:12" ht="14.5" x14ac:dyDescent="0.35">
      <c r="L3792"/>
    </row>
    <row r="3793" spans="12:12" ht="14.5" x14ac:dyDescent="0.35">
      <c r="L3793"/>
    </row>
    <row r="3794" spans="12:12" ht="14.5" x14ac:dyDescent="0.35">
      <c r="L3794"/>
    </row>
    <row r="3795" spans="12:12" ht="14.5" x14ac:dyDescent="0.35">
      <c r="L3795"/>
    </row>
    <row r="3796" spans="12:12" ht="14.5" x14ac:dyDescent="0.35">
      <c r="L3796"/>
    </row>
    <row r="3797" spans="12:12" ht="14.5" x14ac:dyDescent="0.35">
      <c r="L3797"/>
    </row>
    <row r="3798" spans="12:12" ht="14.5" x14ac:dyDescent="0.35">
      <c r="L3798"/>
    </row>
    <row r="3799" spans="12:12" ht="14.5" x14ac:dyDescent="0.35">
      <c r="L3799"/>
    </row>
    <row r="3800" spans="12:12" ht="14.5" x14ac:dyDescent="0.35">
      <c r="L3800"/>
    </row>
    <row r="3801" spans="12:12" ht="14.5" x14ac:dyDescent="0.35">
      <c r="L3801"/>
    </row>
    <row r="3802" spans="12:12" ht="14.5" x14ac:dyDescent="0.35">
      <c r="L3802"/>
    </row>
    <row r="3803" spans="12:12" ht="14.5" x14ac:dyDescent="0.35">
      <c r="L3803"/>
    </row>
    <row r="3804" spans="12:12" ht="14.5" x14ac:dyDescent="0.35">
      <c r="L3804"/>
    </row>
    <row r="3805" spans="12:12" ht="14.5" x14ac:dyDescent="0.35">
      <c r="L3805"/>
    </row>
    <row r="3806" spans="12:12" ht="14.5" x14ac:dyDescent="0.35">
      <c r="L3806"/>
    </row>
    <row r="3807" spans="12:12" ht="14.5" x14ac:dyDescent="0.35">
      <c r="L3807"/>
    </row>
    <row r="3808" spans="12:12" ht="14.5" x14ac:dyDescent="0.35">
      <c r="L3808"/>
    </row>
    <row r="3809" spans="12:12" ht="14.5" x14ac:dyDescent="0.35">
      <c r="L3809"/>
    </row>
    <row r="3810" spans="12:12" ht="14.5" x14ac:dyDescent="0.35">
      <c r="L3810"/>
    </row>
    <row r="3811" spans="12:12" ht="14.5" x14ac:dyDescent="0.35">
      <c r="L3811"/>
    </row>
    <row r="3812" spans="12:12" ht="14.5" x14ac:dyDescent="0.35">
      <c r="L3812"/>
    </row>
    <row r="3813" spans="12:12" ht="14.5" x14ac:dyDescent="0.35">
      <c r="L3813"/>
    </row>
    <row r="3814" spans="12:12" ht="14.5" x14ac:dyDescent="0.35">
      <c r="L3814"/>
    </row>
    <row r="3815" spans="12:12" ht="14.5" x14ac:dyDescent="0.35">
      <c r="L3815"/>
    </row>
    <row r="3816" spans="12:12" ht="14.5" x14ac:dyDescent="0.35">
      <c r="L3816"/>
    </row>
    <row r="3817" spans="12:12" ht="14.5" x14ac:dyDescent="0.35">
      <c r="L3817"/>
    </row>
    <row r="3818" spans="12:12" ht="14.5" x14ac:dyDescent="0.35">
      <c r="L3818"/>
    </row>
    <row r="3819" spans="12:12" ht="14.5" x14ac:dyDescent="0.35">
      <c r="L3819"/>
    </row>
    <row r="3820" spans="12:12" ht="14.5" x14ac:dyDescent="0.35">
      <c r="L3820"/>
    </row>
    <row r="3821" spans="12:12" ht="14.5" x14ac:dyDescent="0.35">
      <c r="L3821"/>
    </row>
    <row r="3822" spans="12:12" ht="14.5" x14ac:dyDescent="0.35">
      <c r="L3822"/>
    </row>
    <row r="3823" spans="12:12" ht="14.5" x14ac:dyDescent="0.35">
      <c r="L3823"/>
    </row>
    <row r="3824" spans="12:12" ht="14.5" x14ac:dyDescent="0.35">
      <c r="L3824"/>
    </row>
    <row r="3825" spans="12:12" ht="14.5" x14ac:dyDescent="0.35">
      <c r="L3825"/>
    </row>
    <row r="3826" spans="12:12" ht="14.5" x14ac:dyDescent="0.35">
      <c r="L3826"/>
    </row>
    <row r="3827" spans="12:12" ht="14.5" x14ac:dyDescent="0.35">
      <c r="L3827"/>
    </row>
    <row r="3828" spans="12:12" ht="14.5" x14ac:dyDescent="0.35">
      <c r="L3828"/>
    </row>
    <row r="3829" spans="12:12" ht="14.5" x14ac:dyDescent="0.35">
      <c r="L3829"/>
    </row>
    <row r="3830" spans="12:12" ht="14.5" x14ac:dyDescent="0.35">
      <c r="L3830"/>
    </row>
    <row r="3831" spans="12:12" ht="14.5" x14ac:dyDescent="0.35">
      <c r="L3831"/>
    </row>
    <row r="3832" spans="12:12" ht="14.5" x14ac:dyDescent="0.35">
      <c r="L3832"/>
    </row>
    <row r="3833" spans="12:12" ht="14.5" x14ac:dyDescent="0.35">
      <c r="L3833"/>
    </row>
    <row r="3834" spans="12:12" ht="14.5" x14ac:dyDescent="0.35">
      <c r="L3834"/>
    </row>
    <row r="3835" spans="12:12" ht="14.5" x14ac:dyDescent="0.35">
      <c r="L3835"/>
    </row>
    <row r="3836" spans="12:12" ht="14.5" x14ac:dyDescent="0.35">
      <c r="L3836"/>
    </row>
    <row r="3837" spans="12:12" ht="14.5" x14ac:dyDescent="0.35">
      <c r="L3837"/>
    </row>
    <row r="3838" spans="12:12" ht="14.5" x14ac:dyDescent="0.35">
      <c r="L3838"/>
    </row>
    <row r="3839" spans="12:12" ht="14.5" x14ac:dyDescent="0.35">
      <c r="L3839"/>
    </row>
    <row r="3840" spans="12:12" ht="14.5" x14ac:dyDescent="0.35">
      <c r="L3840"/>
    </row>
    <row r="3841" spans="12:12" ht="14.5" x14ac:dyDescent="0.35">
      <c r="L3841"/>
    </row>
    <row r="3842" spans="12:12" ht="14.5" x14ac:dyDescent="0.35">
      <c r="L3842"/>
    </row>
    <row r="3843" spans="12:12" ht="14.5" x14ac:dyDescent="0.35">
      <c r="L3843"/>
    </row>
    <row r="3844" spans="12:12" ht="14.5" x14ac:dyDescent="0.35">
      <c r="L3844"/>
    </row>
    <row r="3845" spans="12:12" ht="14.5" x14ac:dyDescent="0.35">
      <c r="L3845"/>
    </row>
    <row r="3846" spans="12:12" ht="14.5" x14ac:dyDescent="0.35">
      <c r="L3846"/>
    </row>
    <row r="3847" spans="12:12" ht="14.5" x14ac:dyDescent="0.35">
      <c r="L3847"/>
    </row>
    <row r="3848" spans="12:12" ht="14.5" x14ac:dyDescent="0.35">
      <c r="L3848"/>
    </row>
    <row r="3849" spans="12:12" ht="14.5" x14ac:dyDescent="0.35">
      <c r="L3849"/>
    </row>
    <row r="3850" spans="12:12" ht="14.5" x14ac:dyDescent="0.35">
      <c r="L3850"/>
    </row>
    <row r="3851" spans="12:12" ht="14.5" x14ac:dyDescent="0.35">
      <c r="L3851"/>
    </row>
    <row r="3852" spans="12:12" ht="14.5" x14ac:dyDescent="0.35">
      <c r="L3852"/>
    </row>
    <row r="3853" spans="12:12" ht="14.5" x14ac:dyDescent="0.35">
      <c r="L3853"/>
    </row>
    <row r="3854" spans="12:12" ht="14.5" x14ac:dyDescent="0.35">
      <c r="L3854"/>
    </row>
    <row r="3855" spans="12:12" ht="14.5" x14ac:dyDescent="0.35">
      <c r="L3855"/>
    </row>
    <row r="3856" spans="12:12" ht="14.5" x14ac:dyDescent="0.35">
      <c r="L3856"/>
    </row>
    <row r="3857" spans="12:12" ht="14.5" x14ac:dyDescent="0.35">
      <c r="L3857"/>
    </row>
    <row r="3858" spans="12:12" ht="14.5" x14ac:dyDescent="0.35">
      <c r="L3858"/>
    </row>
    <row r="3859" spans="12:12" ht="14.5" x14ac:dyDescent="0.35">
      <c r="L3859"/>
    </row>
    <row r="3860" spans="12:12" ht="14.5" x14ac:dyDescent="0.35">
      <c r="L3860"/>
    </row>
    <row r="3861" spans="12:12" ht="14.5" x14ac:dyDescent="0.35">
      <c r="L3861"/>
    </row>
    <row r="3862" spans="12:12" ht="14.5" x14ac:dyDescent="0.35">
      <c r="L3862"/>
    </row>
    <row r="3863" spans="12:12" ht="14.5" x14ac:dyDescent="0.35">
      <c r="L3863"/>
    </row>
    <row r="3864" spans="12:12" ht="14.5" x14ac:dyDescent="0.35">
      <c r="L3864"/>
    </row>
    <row r="3865" spans="12:12" ht="14.5" x14ac:dyDescent="0.35">
      <c r="L3865"/>
    </row>
    <row r="3866" spans="12:12" ht="14.5" x14ac:dyDescent="0.35">
      <c r="L3866"/>
    </row>
    <row r="3867" spans="12:12" ht="14.5" x14ac:dyDescent="0.35">
      <c r="L3867"/>
    </row>
    <row r="3868" spans="12:12" ht="14.5" x14ac:dyDescent="0.35">
      <c r="L3868"/>
    </row>
    <row r="3869" spans="12:12" ht="14.5" x14ac:dyDescent="0.35">
      <c r="L3869"/>
    </row>
    <row r="3870" spans="12:12" ht="14.5" x14ac:dyDescent="0.35">
      <c r="L3870"/>
    </row>
    <row r="3871" spans="12:12" ht="14.5" x14ac:dyDescent="0.35">
      <c r="L3871"/>
    </row>
    <row r="3872" spans="12:12" ht="14.5" x14ac:dyDescent="0.35">
      <c r="L3872"/>
    </row>
    <row r="3873" spans="12:12" ht="14.5" x14ac:dyDescent="0.35">
      <c r="L3873"/>
    </row>
    <row r="3874" spans="12:12" ht="14.5" x14ac:dyDescent="0.35">
      <c r="L3874"/>
    </row>
    <row r="3875" spans="12:12" ht="14.5" x14ac:dyDescent="0.35">
      <c r="L3875"/>
    </row>
    <row r="3876" spans="12:12" ht="14.5" x14ac:dyDescent="0.35">
      <c r="L3876"/>
    </row>
    <row r="3877" spans="12:12" ht="14.5" x14ac:dyDescent="0.35">
      <c r="L3877"/>
    </row>
    <row r="3878" spans="12:12" ht="14.5" x14ac:dyDescent="0.35">
      <c r="L3878"/>
    </row>
    <row r="3879" spans="12:12" ht="14.5" x14ac:dyDescent="0.35">
      <c r="L3879"/>
    </row>
    <row r="3880" spans="12:12" ht="14.5" x14ac:dyDescent="0.35">
      <c r="L3880"/>
    </row>
    <row r="3881" spans="12:12" ht="14.5" x14ac:dyDescent="0.35">
      <c r="L3881"/>
    </row>
    <row r="3882" spans="12:12" ht="14.5" x14ac:dyDescent="0.35">
      <c r="L3882"/>
    </row>
    <row r="3883" spans="12:12" ht="14.5" x14ac:dyDescent="0.35">
      <c r="L3883"/>
    </row>
    <row r="3884" spans="12:12" ht="14.5" x14ac:dyDescent="0.35">
      <c r="L3884"/>
    </row>
    <row r="3885" spans="12:12" ht="14.5" x14ac:dyDescent="0.35">
      <c r="L3885"/>
    </row>
    <row r="3886" spans="12:12" ht="14.5" x14ac:dyDescent="0.35">
      <c r="L3886"/>
    </row>
    <row r="3887" spans="12:12" ht="14.5" x14ac:dyDescent="0.35">
      <c r="L3887"/>
    </row>
    <row r="3888" spans="12:12" ht="14.5" x14ac:dyDescent="0.35">
      <c r="L3888"/>
    </row>
    <row r="3889" spans="12:12" ht="14.5" x14ac:dyDescent="0.35">
      <c r="L3889"/>
    </row>
    <row r="3890" spans="12:12" ht="14.5" x14ac:dyDescent="0.35">
      <c r="L3890"/>
    </row>
    <row r="3891" spans="12:12" ht="14.5" x14ac:dyDescent="0.35">
      <c r="L3891"/>
    </row>
    <row r="3892" spans="12:12" ht="14.5" x14ac:dyDescent="0.35">
      <c r="L3892"/>
    </row>
    <row r="3893" spans="12:12" ht="14.5" x14ac:dyDescent="0.35">
      <c r="L3893"/>
    </row>
    <row r="3894" spans="12:12" ht="14.5" x14ac:dyDescent="0.35">
      <c r="L3894"/>
    </row>
    <row r="3895" spans="12:12" ht="14.5" x14ac:dyDescent="0.35">
      <c r="L3895"/>
    </row>
    <row r="3896" spans="12:12" ht="14.5" x14ac:dyDescent="0.35">
      <c r="L3896"/>
    </row>
    <row r="3897" spans="12:12" ht="14.5" x14ac:dyDescent="0.35">
      <c r="L3897"/>
    </row>
    <row r="3898" spans="12:12" ht="14.5" x14ac:dyDescent="0.35">
      <c r="L3898"/>
    </row>
    <row r="3899" spans="12:12" ht="14.5" x14ac:dyDescent="0.35">
      <c r="L3899"/>
    </row>
    <row r="3900" spans="12:12" ht="14.5" x14ac:dyDescent="0.35">
      <c r="L3900"/>
    </row>
    <row r="3901" spans="12:12" ht="14.5" x14ac:dyDescent="0.35">
      <c r="L3901"/>
    </row>
    <row r="3902" spans="12:12" ht="14.5" x14ac:dyDescent="0.35">
      <c r="L3902"/>
    </row>
    <row r="3903" spans="12:12" ht="14.5" x14ac:dyDescent="0.35">
      <c r="L3903"/>
    </row>
    <row r="3904" spans="12:12" ht="14.5" x14ac:dyDescent="0.35">
      <c r="L3904"/>
    </row>
    <row r="3905" spans="12:12" ht="14.5" x14ac:dyDescent="0.35">
      <c r="L3905"/>
    </row>
    <row r="3906" spans="12:12" ht="14.5" x14ac:dyDescent="0.35">
      <c r="L3906"/>
    </row>
    <row r="3907" spans="12:12" ht="14.5" x14ac:dyDescent="0.35">
      <c r="L3907"/>
    </row>
    <row r="3908" spans="12:12" ht="14.5" x14ac:dyDescent="0.35">
      <c r="L3908"/>
    </row>
    <row r="3909" spans="12:12" ht="14.5" x14ac:dyDescent="0.35">
      <c r="L3909"/>
    </row>
    <row r="3910" spans="12:12" ht="14.5" x14ac:dyDescent="0.35">
      <c r="L3910"/>
    </row>
    <row r="3911" spans="12:12" ht="14.5" x14ac:dyDescent="0.35">
      <c r="L3911"/>
    </row>
    <row r="3912" spans="12:12" ht="14.5" x14ac:dyDescent="0.35">
      <c r="L3912"/>
    </row>
    <row r="3913" spans="12:12" ht="14.5" x14ac:dyDescent="0.35">
      <c r="L3913"/>
    </row>
    <row r="3914" spans="12:12" ht="14.5" x14ac:dyDescent="0.35">
      <c r="L3914"/>
    </row>
    <row r="3915" spans="12:12" ht="14.5" x14ac:dyDescent="0.35">
      <c r="L3915"/>
    </row>
    <row r="3916" spans="12:12" ht="14.5" x14ac:dyDescent="0.35">
      <c r="L3916"/>
    </row>
    <row r="3917" spans="12:12" ht="14.5" x14ac:dyDescent="0.35">
      <c r="L3917"/>
    </row>
    <row r="3918" spans="12:12" ht="14.5" x14ac:dyDescent="0.35">
      <c r="L3918"/>
    </row>
    <row r="3919" spans="12:12" ht="14.5" x14ac:dyDescent="0.35">
      <c r="L3919"/>
    </row>
    <row r="3920" spans="12:12" ht="14.5" x14ac:dyDescent="0.35">
      <c r="L3920"/>
    </row>
    <row r="3921" spans="12:12" ht="14.5" x14ac:dyDescent="0.35">
      <c r="L3921"/>
    </row>
    <row r="3922" spans="12:12" ht="14.5" x14ac:dyDescent="0.35">
      <c r="L3922"/>
    </row>
    <row r="3923" spans="12:12" ht="14.5" x14ac:dyDescent="0.35">
      <c r="L3923"/>
    </row>
    <row r="3924" spans="12:12" ht="14.5" x14ac:dyDescent="0.35">
      <c r="L3924"/>
    </row>
    <row r="3925" spans="12:12" ht="14.5" x14ac:dyDescent="0.35">
      <c r="L3925"/>
    </row>
    <row r="3926" spans="12:12" ht="14.5" x14ac:dyDescent="0.35">
      <c r="L3926"/>
    </row>
    <row r="3927" spans="12:12" ht="14.5" x14ac:dyDescent="0.35">
      <c r="L3927"/>
    </row>
    <row r="3928" spans="12:12" ht="14.5" x14ac:dyDescent="0.35">
      <c r="L3928"/>
    </row>
    <row r="3929" spans="12:12" ht="14.5" x14ac:dyDescent="0.35">
      <c r="L3929"/>
    </row>
    <row r="3930" spans="12:12" ht="14.5" x14ac:dyDescent="0.35">
      <c r="L3930"/>
    </row>
    <row r="3931" spans="12:12" ht="14.5" x14ac:dyDescent="0.35">
      <c r="L3931"/>
    </row>
    <row r="3932" spans="12:12" ht="14.5" x14ac:dyDescent="0.35">
      <c r="L3932"/>
    </row>
    <row r="3933" spans="12:12" ht="14.5" x14ac:dyDescent="0.35">
      <c r="L3933"/>
    </row>
    <row r="3934" spans="12:12" ht="14.5" x14ac:dyDescent="0.35">
      <c r="L3934"/>
    </row>
    <row r="3935" spans="12:12" ht="14.5" x14ac:dyDescent="0.35">
      <c r="L3935"/>
    </row>
    <row r="3936" spans="12:12" ht="14.5" x14ac:dyDescent="0.35">
      <c r="L3936"/>
    </row>
    <row r="3937" spans="12:12" ht="14.5" x14ac:dyDescent="0.35">
      <c r="L3937"/>
    </row>
    <row r="3938" spans="12:12" ht="14.5" x14ac:dyDescent="0.35">
      <c r="L3938"/>
    </row>
    <row r="3939" spans="12:12" ht="14.5" x14ac:dyDescent="0.35">
      <c r="L3939"/>
    </row>
    <row r="3940" spans="12:12" ht="14.5" x14ac:dyDescent="0.35">
      <c r="L3940"/>
    </row>
    <row r="3941" spans="12:12" ht="14.5" x14ac:dyDescent="0.35">
      <c r="L3941"/>
    </row>
    <row r="3942" spans="12:12" ht="14.5" x14ac:dyDescent="0.35">
      <c r="L3942"/>
    </row>
    <row r="3943" spans="12:12" ht="14.5" x14ac:dyDescent="0.35">
      <c r="L3943"/>
    </row>
    <row r="3944" spans="12:12" ht="14.5" x14ac:dyDescent="0.35">
      <c r="L3944"/>
    </row>
    <row r="3945" spans="12:12" ht="14.5" x14ac:dyDescent="0.35">
      <c r="L3945"/>
    </row>
    <row r="3946" spans="12:12" ht="14.5" x14ac:dyDescent="0.35">
      <c r="L3946"/>
    </row>
    <row r="3947" spans="12:12" ht="14.5" x14ac:dyDescent="0.35">
      <c r="L3947"/>
    </row>
    <row r="3948" spans="12:12" ht="14.5" x14ac:dyDescent="0.35">
      <c r="L3948"/>
    </row>
    <row r="3949" spans="12:12" ht="14.5" x14ac:dyDescent="0.35">
      <c r="L3949"/>
    </row>
    <row r="3950" spans="12:12" ht="14.5" x14ac:dyDescent="0.35">
      <c r="L3950"/>
    </row>
    <row r="3951" spans="12:12" ht="14.5" x14ac:dyDescent="0.35">
      <c r="L3951"/>
    </row>
    <row r="3952" spans="12:12" ht="14.5" x14ac:dyDescent="0.35">
      <c r="L3952"/>
    </row>
    <row r="3953" spans="12:12" ht="14.5" x14ac:dyDescent="0.35">
      <c r="L3953"/>
    </row>
    <row r="3954" spans="12:12" ht="14.5" x14ac:dyDescent="0.35">
      <c r="L3954"/>
    </row>
    <row r="3955" spans="12:12" ht="14.5" x14ac:dyDescent="0.35">
      <c r="L3955"/>
    </row>
    <row r="3956" spans="12:12" ht="14.5" x14ac:dyDescent="0.35">
      <c r="L3956"/>
    </row>
    <row r="3957" spans="12:12" ht="14.5" x14ac:dyDescent="0.35">
      <c r="L3957"/>
    </row>
    <row r="3958" spans="12:12" ht="14.5" x14ac:dyDescent="0.35">
      <c r="L3958"/>
    </row>
    <row r="3959" spans="12:12" ht="14.5" x14ac:dyDescent="0.35">
      <c r="L3959"/>
    </row>
    <row r="3960" spans="12:12" ht="14.5" x14ac:dyDescent="0.35">
      <c r="L3960"/>
    </row>
    <row r="3961" spans="12:12" ht="14.5" x14ac:dyDescent="0.35">
      <c r="L3961"/>
    </row>
    <row r="3962" spans="12:12" ht="14.5" x14ac:dyDescent="0.35">
      <c r="L3962"/>
    </row>
    <row r="3963" spans="12:12" ht="14.5" x14ac:dyDescent="0.35">
      <c r="L3963"/>
    </row>
    <row r="3964" spans="12:12" ht="14.5" x14ac:dyDescent="0.35">
      <c r="L3964"/>
    </row>
    <row r="3965" spans="12:12" ht="14.5" x14ac:dyDescent="0.35">
      <c r="L3965"/>
    </row>
    <row r="3966" spans="12:12" ht="14.5" x14ac:dyDescent="0.35">
      <c r="L3966"/>
    </row>
    <row r="3967" spans="12:12" ht="14.5" x14ac:dyDescent="0.35">
      <c r="L3967"/>
    </row>
    <row r="3968" spans="12:12" ht="14.5" x14ac:dyDescent="0.35">
      <c r="L3968"/>
    </row>
    <row r="3969" spans="12:12" ht="14.5" x14ac:dyDescent="0.35">
      <c r="L3969"/>
    </row>
    <row r="3970" spans="12:12" ht="14.5" x14ac:dyDescent="0.35">
      <c r="L3970"/>
    </row>
    <row r="3971" spans="12:12" ht="14.5" x14ac:dyDescent="0.35">
      <c r="L3971"/>
    </row>
    <row r="3972" spans="12:12" ht="14.5" x14ac:dyDescent="0.35">
      <c r="L3972"/>
    </row>
    <row r="3973" spans="12:12" ht="14.5" x14ac:dyDescent="0.35">
      <c r="L3973"/>
    </row>
    <row r="3974" spans="12:12" ht="14.5" x14ac:dyDescent="0.35">
      <c r="L3974"/>
    </row>
    <row r="3975" spans="12:12" ht="14.5" x14ac:dyDescent="0.35">
      <c r="L3975"/>
    </row>
    <row r="3976" spans="12:12" ht="14.5" x14ac:dyDescent="0.35">
      <c r="L3976"/>
    </row>
    <row r="3977" spans="12:12" ht="14.5" x14ac:dyDescent="0.35">
      <c r="L3977"/>
    </row>
    <row r="3978" spans="12:12" ht="14.5" x14ac:dyDescent="0.35">
      <c r="L3978"/>
    </row>
    <row r="3979" spans="12:12" ht="14.5" x14ac:dyDescent="0.35">
      <c r="L3979"/>
    </row>
    <row r="3980" spans="12:12" ht="14.5" x14ac:dyDescent="0.35">
      <c r="L3980"/>
    </row>
    <row r="3981" spans="12:12" ht="14.5" x14ac:dyDescent="0.35">
      <c r="L3981"/>
    </row>
    <row r="3982" spans="12:12" ht="14.5" x14ac:dyDescent="0.35">
      <c r="L3982"/>
    </row>
    <row r="3983" spans="12:12" ht="14.5" x14ac:dyDescent="0.35">
      <c r="L3983"/>
    </row>
    <row r="3984" spans="12:12" ht="14.5" x14ac:dyDescent="0.35">
      <c r="L3984"/>
    </row>
    <row r="3985" spans="12:12" ht="14.5" x14ac:dyDescent="0.35">
      <c r="L3985"/>
    </row>
    <row r="3986" spans="12:12" ht="14.5" x14ac:dyDescent="0.35">
      <c r="L3986"/>
    </row>
    <row r="3987" spans="12:12" ht="14.5" x14ac:dyDescent="0.35">
      <c r="L3987"/>
    </row>
    <row r="3988" spans="12:12" ht="14.5" x14ac:dyDescent="0.35">
      <c r="L3988"/>
    </row>
    <row r="3989" spans="12:12" ht="14.5" x14ac:dyDescent="0.35">
      <c r="L3989"/>
    </row>
    <row r="3990" spans="12:12" ht="14.5" x14ac:dyDescent="0.35">
      <c r="L3990"/>
    </row>
    <row r="3991" spans="12:12" ht="14.5" x14ac:dyDescent="0.35">
      <c r="L3991"/>
    </row>
    <row r="3992" spans="12:12" ht="14.5" x14ac:dyDescent="0.35">
      <c r="L3992"/>
    </row>
    <row r="3993" spans="12:12" ht="14.5" x14ac:dyDescent="0.35">
      <c r="L3993"/>
    </row>
    <row r="3994" spans="12:12" ht="14.5" x14ac:dyDescent="0.35">
      <c r="L3994"/>
    </row>
    <row r="3995" spans="12:12" ht="14.5" x14ac:dyDescent="0.35">
      <c r="L3995"/>
    </row>
    <row r="3996" spans="12:12" ht="14.5" x14ac:dyDescent="0.35">
      <c r="L3996"/>
    </row>
    <row r="3997" spans="12:12" ht="14.5" x14ac:dyDescent="0.35">
      <c r="L3997"/>
    </row>
    <row r="3998" spans="12:12" ht="14.5" x14ac:dyDescent="0.35">
      <c r="L3998"/>
    </row>
    <row r="3999" spans="12:12" ht="14.5" x14ac:dyDescent="0.35">
      <c r="L3999"/>
    </row>
    <row r="4000" spans="12:12" ht="14.5" x14ac:dyDescent="0.35">
      <c r="L4000"/>
    </row>
    <row r="4001" spans="12:12" ht="14.5" x14ac:dyDescent="0.35">
      <c r="L4001"/>
    </row>
    <row r="4002" spans="12:12" ht="14.5" x14ac:dyDescent="0.35">
      <c r="L4002"/>
    </row>
    <row r="4003" spans="12:12" ht="14.5" x14ac:dyDescent="0.35">
      <c r="L4003"/>
    </row>
    <row r="4004" spans="12:12" ht="14.5" x14ac:dyDescent="0.35">
      <c r="L4004"/>
    </row>
    <row r="4005" spans="12:12" ht="14.5" x14ac:dyDescent="0.35">
      <c r="L4005"/>
    </row>
    <row r="4006" spans="12:12" ht="14.5" x14ac:dyDescent="0.35">
      <c r="L4006"/>
    </row>
    <row r="4007" spans="12:12" ht="14.5" x14ac:dyDescent="0.35">
      <c r="L4007"/>
    </row>
    <row r="4008" spans="12:12" ht="14.5" x14ac:dyDescent="0.35">
      <c r="L4008"/>
    </row>
    <row r="4009" spans="12:12" ht="14.5" x14ac:dyDescent="0.35">
      <c r="L4009"/>
    </row>
    <row r="4010" spans="12:12" ht="14.5" x14ac:dyDescent="0.35">
      <c r="L4010"/>
    </row>
    <row r="4011" spans="12:12" ht="14.5" x14ac:dyDescent="0.35">
      <c r="L4011"/>
    </row>
    <row r="4012" spans="12:12" ht="14.5" x14ac:dyDescent="0.35">
      <c r="L4012"/>
    </row>
    <row r="4013" spans="12:12" ht="14.5" x14ac:dyDescent="0.35">
      <c r="L4013"/>
    </row>
    <row r="4014" spans="12:12" ht="14.5" x14ac:dyDescent="0.35">
      <c r="L4014"/>
    </row>
    <row r="4015" spans="12:12" ht="14.5" x14ac:dyDescent="0.35">
      <c r="L4015"/>
    </row>
    <row r="4016" spans="12:12" ht="14.5" x14ac:dyDescent="0.35">
      <c r="L4016"/>
    </row>
    <row r="4017" spans="12:12" ht="14.5" x14ac:dyDescent="0.35">
      <c r="L4017"/>
    </row>
    <row r="4018" spans="12:12" ht="14.5" x14ac:dyDescent="0.35">
      <c r="L4018"/>
    </row>
    <row r="4019" spans="12:12" ht="14.5" x14ac:dyDescent="0.35">
      <c r="L4019"/>
    </row>
    <row r="4020" spans="12:12" ht="14.5" x14ac:dyDescent="0.35">
      <c r="L4020"/>
    </row>
    <row r="4021" spans="12:12" ht="14.5" x14ac:dyDescent="0.35">
      <c r="L4021"/>
    </row>
    <row r="4022" spans="12:12" ht="14.5" x14ac:dyDescent="0.35">
      <c r="L4022"/>
    </row>
    <row r="4023" spans="12:12" ht="14.5" x14ac:dyDescent="0.35">
      <c r="L4023"/>
    </row>
    <row r="4024" spans="12:12" ht="14.5" x14ac:dyDescent="0.35">
      <c r="L4024"/>
    </row>
    <row r="4025" spans="12:12" ht="14.5" x14ac:dyDescent="0.35">
      <c r="L4025"/>
    </row>
    <row r="4026" spans="12:12" ht="14.5" x14ac:dyDescent="0.35">
      <c r="L4026"/>
    </row>
    <row r="4027" spans="12:12" ht="14.5" x14ac:dyDescent="0.35">
      <c r="L4027"/>
    </row>
    <row r="4028" spans="12:12" ht="14.5" x14ac:dyDescent="0.35">
      <c r="L4028"/>
    </row>
    <row r="4029" spans="12:12" ht="14.5" x14ac:dyDescent="0.35">
      <c r="L4029"/>
    </row>
    <row r="4030" spans="12:12" ht="14.5" x14ac:dyDescent="0.35">
      <c r="L4030"/>
    </row>
    <row r="4031" spans="12:12" ht="14.5" x14ac:dyDescent="0.35">
      <c r="L4031"/>
    </row>
    <row r="4032" spans="12:12" ht="14.5" x14ac:dyDescent="0.35">
      <c r="L4032"/>
    </row>
    <row r="4033" spans="12:12" ht="14.5" x14ac:dyDescent="0.35">
      <c r="L4033"/>
    </row>
    <row r="4034" spans="12:12" ht="14.5" x14ac:dyDescent="0.35">
      <c r="L4034"/>
    </row>
    <row r="4035" spans="12:12" ht="14.5" x14ac:dyDescent="0.35">
      <c r="L4035"/>
    </row>
    <row r="4036" spans="12:12" ht="14.5" x14ac:dyDescent="0.35">
      <c r="L4036"/>
    </row>
    <row r="4037" spans="12:12" ht="14.5" x14ac:dyDescent="0.35">
      <c r="L4037"/>
    </row>
    <row r="4038" spans="12:12" ht="14.5" x14ac:dyDescent="0.35">
      <c r="L4038"/>
    </row>
    <row r="4039" spans="12:12" ht="14.5" x14ac:dyDescent="0.35">
      <c r="L4039"/>
    </row>
    <row r="4040" spans="12:12" ht="14.5" x14ac:dyDescent="0.35">
      <c r="L4040"/>
    </row>
    <row r="4041" spans="12:12" ht="14.5" x14ac:dyDescent="0.35">
      <c r="L4041"/>
    </row>
    <row r="4042" spans="12:12" ht="14.5" x14ac:dyDescent="0.35">
      <c r="L4042"/>
    </row>
    <row r="4043" spans="12:12" ht="14.5" x14ac:dyDescent="0.35">
      <c r="L4043"/>
    </row>
    <row r="4044" spans="12:12" ht="14.5" x14ac:dyDescent="0.35">
      <c r="L4044"/>
    </row>
    <row r="4045" spans="12:12" ht="14.5" x14ac:dyDescent="0.35">
      <c r="L4045"/>
    </row>
    <row r="4046" spans="12:12" ht="14.5" x14ac:dyDescent="0.35">
      <c r="L4046"/>
    </row>
    <row r="4047" spans="12:12" ht="14.5" x14ac:dyDescent="0.35">
      <c r="L4047"/>
    </row>
    <row r="4048" spans="12:12" ht="14.5" x14ac:dyDescent="0.35">
      <c r="L4048"/>
    </row>
    <row r="4049" spans="12:12" ht="14.5" x14ac:dyDescent="0.35">
      <c r="L4049"/>
    </row>
    <row r="4050" spans="12:12" ht="14.5" x14ac:dyDescent="0.35">
      <c r="L4050"/>
    </row>
    <row r="4051" spans="12:12" ht="14.5" x14ac:dyDescent="0.35">
      <c r="L4051"/>
    </row>
    <row r="4052" spans="12:12" ht="14.5" x14ac:dyDescent="0.35">
      <c r="L4052"/>
    </row>
    <row r="4053" spans="12:12" ht="14.5" x14ac:dyDescent="0.35">
      <c r="L4053"/>
    </row>
    <row r="4054" spans="12:12" ht="14.5" x14ac:dyDescent="0.35">
      <c r="L4054"/>
    </row>
    <row r="4055" spans="12:12" ht="14.5" x14ac:dyDescent="0.35">
      <c r="L4055"/>
    </row>
    <row r="4056" spans="12:12" ht="14.5" x14ac:dyDescent="0.35">
      <c r="L4056"/>
    </row>
    <row r="4057" spans="12:12" ht="14.5" x14ac:dyDescent="0.35">
      <c r="L4057"/>
    </row>
    <row r="4058" spans="12:12" ht="14.5" x14ac:dyDescent="0.35">
      <c r="L4058"/>
    </row>
    <row r="4059" spans="12:12" ht="14.5" x14ac:dyDescent="0.35">
      <c r="L4059"/>
    </row>
    <row r="4060" spans="12:12" ht="14.5" x14ac:dyDescent="0.35">
      <c r="L4060"/>
    </row>
    <row r="4061" spans="12:12" ht="14.5" x14ac:dyDescent="0.35">
      <c r="L4061"/>
    </row>
    <row r="4062" spans="12:12" ht="14.5" x14ac:dyDescent="0.35">
      <c r="L4062"/>
    </row>
    <row r="4063" spans="12:12" ht="14.5" x14ac:dyDescent="0.35">
      <c r="L4063"/>
    </row>
    <row r="4064" spans="12:12" ht="14.5" x14ac:dyDescent="0.35">
      <c r="L4064"/>
    </row>
    <row r="4065" spans="12:12" ht="14.5" x14ac:dyDescent="0.35">
      <c r="L4065"/>
    </row>
    <row r="4066" spans="12:12" ht="14.5" x14ac:dyDescent="0.35">
      <c r="L4066"/>
    </row>
    <row r="4067" spans="12:12" ht="14.5" x14ac:dyDescent="0.35">
      <c r="L4067"/>
    </row>
    <row r="4068" spans="12:12" ht="14.5" x14ac:dyDescent="0.35">
      <c r="L4068"/>
    </row>
    <row r="4069" spans="12:12" ht="14.5" x14ac:dyDescent="0.35">
      <c r="L4069"/>
    </row>
    <row r="4070" spans="12:12" ht="14.5" x14ac:dyDescent="0.35">
      <c r="L4070"/>
    </row>
    <row r="4071" spans="12:12" ht="14.5" x14ac:dyDescent="0.35">
      <c r="L4071"/>
    </row>
    <row r="4072" spans="12:12" ht="14.5" x14ac:dyDescent="0.35">
      <c r="L4072"/>
    </row>
    <row r="4073" spans="12:12" ht="14.5" x14ac:dyDescent="0.35">
      <c r="L4073"/>
    </row>
    <row r="4074" spans="12:12" ht="14.5" x14ac:dyDescent="0.35">
      <c r="L4074"/>
    </row>
    <row r="4075" spans="12:12" ht="14.5" x14ac:dyDescent="0.35">
      <c r="L4075"/>
    </row>
    <row r="4076" spans="12:12" ht="14.5" x14ac:dyDescent="0.35">
      <c r="L4076"/>
    </row>
    <row r="4077" spans="12:12" ht="14.5" x14ac:dyDescent="0.35">
      <c r="L4077"/>
    </row>
    <row r="4078" spans="12:12" ht="14.5" x14ac:dyDescent="0.35">
      <c r="L4078"/>
    </row>
    <row r="4079" spans="12:12" ht="14.5" x14ac:dyDescent="0.35">
      <c r="L4079"/>
    </row>
    <row r="4080" spans="12:12" ht="14.5" x14ac:dyDescent="0.35">
      <c r="L4080"/>
    </row>
    <row r="4081" spans="12:12" ht="14.5" x14ac:dyDescent="0.35">
      <c r="L4081"/>
    </row>
    <row r="4082" spans="12:12" ht="14.5" x14ac:dyDescent="0.35">
      <c r="L4082"/>
    </row>
    <row r="4083" spans="12:12" ht="14.5" x14ac:dyDescent="0.35">
      <c r="L4083"/>
    </row>
    <row r="4084" spans="12:12" ht="14.5" x14ac:dyDescent="0.35">
      <c r="L4084"/>
    </row>
    <row r="4085" spans="12:12" ht="14.5" x14ac:dyDescent="0.35">
      <c r="L4085"/>
    </row>
    <row r="4086" spans="12:12" ht="14.5" x14ac:dyDescent="0.35">
      <c r="L4086"/>
    </row>
    <row r="4087" spans="12:12" ht="14.5" x14ac:dyDescent="0.35">
      <c r="L4087"/>
    </row>
    <row r="4088" spans="12:12" ht="14.5" x14ac:dyDescent="0.35">
      <c r="L4088"/>
    </row>
    <row r="4089" spans="12:12" ht="14.5" x14ac:dyDescent="0.35">
      <c r="L4089"/>
    </row>
    <row r="4090" spans="12:12" ht="14.5" x14ac:dyDescent="0.35">
      <c r="L4090"/>
    </row>
    <row r="4091" spans="12:12" ht="14.5" x14ac:dyDescent="0.35">
      <c r="L4091"/>
    </row>
    <row r="4092" spans="12:12" ht="14.5" x14ac:dyDescent="0.35">
      <c r="L4092"/>
    </row>
    <row r="4093" spans="12:12" ht="14.5" x14ac:dyDescent="0.35">
      <c r="L4093"/>
    </row>
    <row r="4094" spans="12:12" ht="14.5" x14ac:dyDescent="0.35">
      <c r="L4094"/>
    </row>
    <row r="4095" spans="12:12" ht="14.5" x14ac:dyDescent="0.35">
      <c r="L4095"/>
    </row>
    <row r="4096" spans="12:12" ht="14.5" x14ac:dyDescent="0.35">
      <c r="L4096"/>
    </row>
    <row r="4097" spans="12:12" ht="14.5" x14ac:dyDescent="0.35">
      <c r="L4097"/>
    </row>
    <row r="4098" spans="12:12" ht="14.5" x14ac:dyDescent="0.35">
      <c r="L4098"/>
    </row>
    <row r="4099" spans="12:12" ht="14.5" x14ac:dyDescent="0.35">
      <c r="L4099"/>
    </row>
    <row r="4100" spans="12:12" ht="14.5" x14ac:dyDescent="0.35">
      <c r="L4100"/>
    </row>
    <row r="4101" spans="12:12" ht="14.5" x14ac:dyDescent="0.35">
      <c r="L4101"/>
    </row>
    <row r="4102" spans="12:12" ht="14.5" x14ac:dyDescent="0.35">
      <c r="L4102"/>
    </row>
    <row r="4103" spans="12:12" ht="14.5" x14ac:dyDescent="0.35">
      <c r="L4103"/>
    </row>
    <row r="4104" spans="12:12" ht="14.5" x14ac:dyDescent="0.35">
      <c r="L4104"/>
    </row>
    <row r="4105" spans="12:12" ht="14.5" x14ac:dyDescent="0.35">
      <c r="L4105"/>
    </row>
    <row r="4106" spans="12:12" ht="14.5" x14ac:dyDescent="0.35">
      <c r="L4106"/>
    </row>
    <row r="4107" spans="12:12" ht="14.5" x14ac:dyDescent="0.35">
      <c r="L4107"/>
    </row>
    <row r="4108" spans="12:12" ht="14.5" x14ac:dyDescent="0.35">
      <c r="L4108"/>
    </row>
    <row r="4109" spans="12:12" ht="14.5" x14ac:dyDescent="0.35">
      <c r="L4109"/>
    </row>
    <row r="4110" spans="12:12" ht="14.5" x14ac:dyDescent="0.35">
      <c r="L4110"/>
    </row>
    <row r="4111" spans="12:12" ht="14.5" x14ac:dyDescent="0.35">
      <c r="L4111"/>
    </row>
    <row r="4112" spans="12:12" ht="14.5" x14ac:dyDescent="0.35">
      <c r="L4112"/>
    </row>
    <row r="4113" spans="12:12" ht="14.5" x14ac:dyDescent="0.35">
      <c r="L4113"/>
    </row>
    <row r="4114" spans="12:12" ht="14.5" x14ac:dyDescent="0.35">
      <c r="L4114"/>
    </row>
    <row r="4115" spans="12:12" ht="14.5" x14ac:dyDescent="0.35">
      <c r="L4115"/>
    </row>
    <row r="4116" spans="12:12" ht="14.5" x14ac:dyDescent="0.35">
      <c r="L4116"/>
    </row>
    <row r="4117" spans="12:12" ht="14.5" x14ac:dyDescent="0.35">
      <c r="L4117"/>
    </row>
    <row r="4118" spans="12:12" ht="14.5" x14ac:dyDescent="0.35">
      <c r="L4118"/>
    </row>
    <row r="4119" spans="12:12" ht="14.5" x14ac:dyDescent="0.35">
      <c r="L4119"/>
    </row>
    <row r="4120" spans="12:12" ht="14.5" x14ac:dyDescent="0.35">
      <c r="L4120"/>
    </row>
    <row r="4121" spans="12:12" ht="14.5" x14ac:dyDescent="0.35">
      <c r="L4121"/>
    </row>
    <row r="4122" spans="12:12" ht="14.5" x14ac:dyDescent="0.35">
      <c r="L4122"/>
    </row>
  </sheetData>
  <conditionalFormatting sqref="C51:H65">
    <cfRule type="colorScale" priority="2">
      <colorScale>
        <cfvo type="min"/>
        <cfvo type="num" val="50"/>
        <cfvo type="max"/>
        <color rgb="FFF8696B"/>
        <color rgb="FFFFEB84"/>
        <color rgb="FF63BE7B"/>
      </colorScale>
    </cfRule>
  </conditionalFormatting>
  <conditionalFormatting sqref="C68:H94">
    <cfRule type="colorScale" priority="1">
      <colorScale>
        <cfvo type="min"/>
        <cfvo type="num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headerFooter>
    <oddFooter>&amp;LINTERNAL</oddFooter>
    <evenFooter>&amp;LINTERNAL</evenFooter>
    <firstFooter>&amp;LINTERNAL</first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BBG_BDHv2_DATA_UPDATE">
                <anchor moveWithCells="1" sizeWithCells="1">
                  <from>
                    <xdr:col>2</xdr:col>
                    <xdr:colOff>44450</xdr:colOff>
                    <xdr:row>4</xdr:row>
                    <xdr:rowOff>38100</xdr:rowOff>
                  </from>
                  <to>
                    <xdr:col>4</xdr:col>
                    <xdr:colOff>273050</xdr:colOff>
                    <xdr:row>5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5">
    <tabColor theme="1"/>
  </sheetPr>
  <dimension ref="A1:F10000"/>
  <sheetViews>
    <sheetView zoomScale="80" zoomScaleNormal="80" workbookViewId="0">
      <selection activeCell="D36" sqref="D36"/>
    </sheetView>
  </sheetViews>
  <sheetFormatPr defaultColWidth="9.08984375" defaultRowHeight="13" x14ac:dyDescent="0.3"/>
  <cols>
    <col min="1" max="1" width="18.36328125" style="5" customWidth="1"/>
    <col min="2" max="2" width="9.08984375" style="18"/>
    <col min="3" max="3" width="33.6328125" style="6" customWidth="1"/>
    <col min="4" max="4" width="28.54296875" style="8" customWidth="1"/>
    <col min="5" max="5" width="7.6328125" style="5" customWidth="1"/>
    <col min="6" max="6" width="8.08984375" style="5" customWidth="1"/>
    <col min="7" max="16384" width="9.08984375" style="6"/>
  </cols>
  <sheetData>
    <row r="1" spans="1:6" x14ac:dyDescent="0.3">
      <c r="A1" s="4" t="s">
        <v>1239</v>
      </c>
    </row>
    <row r="2" spans="1:6" ht="26" x14ac:dyDescent="0.3">
      <c r="A2" s="19" t="s">
        <v>204</v>
      </c>
      <c r="B2" s="20" t="s">
        <v>205</v>
      </c>
      <c r="C2" s="21" t="s">
        <v>206</v>
      </c>
      <c r="D2" s="4" t="s">
        <v>207</v>
      </c>
      <c r="E2" s="4"/>
      <c r="F2" s="2"/>
    </row>
    <row r="3" spans="1:6" s="22" customFormat="1" x14ac:dyDescent="0.3">
      <c r="B3" s="23"/>
      <c r="C3" s="22" t="s">
        <v>202</v>
      </c>
      <c r="D3" s="25" t="s">
        <v>208</v>
      </c>
      <c r="E3" s="25"/>
      <c r="F3" s="24"/>
    </row>
    <row r="4" spans="1:6" x14ac:dyDescent="0.3">
      <c r="A4" s="6" t="s">
        <v>216</v>
      </c>
      <c r="B4" s="18">
        <v>7.4342430000000004</v>
      </c>
      <c r="C4" s="6" t="s">
        <v>293</v>
      </c>
      <c r="D4" s="8" t="s">
        <v>291</v>
      </c>
    </row>
    <row r="5" spans="1:6" x14ac:dyDescent="0.3">
      <c r="A5" s="6" t="s">
        <v>214</v>
      </c>
      <c r="B5" s="18">
        <v>5.2475550000000002</v>
      </c>
      <c r="C5" s="6" t="s">
        <v>290</v>
      </c>
      <c r="D5" s="8" t="s">
        <v>291</v>
      </c>
    </row>
    <row r="6" spans="1:6" x14ac:dyDescent="0.3">
      <c r="A6" s="6" t="s">
        <v>209</v>
      </c>
      <c r="B6" s="18">
        <v>4.8755309999999996</v>
      </c>
      <c r="C6" s="6" t="s">
        <v>283</v>
      </c>
      <c r="D6" s="8" t="s">
        <v>284</v>
      </c>
    </row>
    <row r="7" spans="1:6" x14ac:dyDescent="0.3">
      <c r="A7" s="6" t="s">
        <v>212</v>
      </c>
      <c r="B7" s="18">
        <v>4.7144060000000003</v>
      </c>
      <c r="C7" s="6" t="s">
        <v>288</v>
      </c>
      <c r="D7" s="8" t="s">
        <v>289</v>
      </c>
    </row>
    <row r="8" spans="1:6" x14ac:dyDescent="0.3">
      <c r="A8" s="6" t="s">
        <v>217</v>
      </c>
      <c r="B8" s="18">
        <v>4.2317900000000002</v>
      </c>
      <c r="C8" s="6" t="s">
        <v>294</v>
      </c>
      <c r="D8" s="8" t="s">
        <v>289</v>
      </c>
    </row>
    <row r="9" spans="1:6" x14ac:dyDescent="0.3">
      <c r="A9" s="6" t="s">
        <v>210</v>
      </c>
      <c r="B9" s="18">
        <v>3.9445429999999999</v>
      </c>
      <c r="C9" s="6" t="s">
        <v>285</v>
      </c>
      <c r="D9" s="8" t="s">
        <v>286</v>
      </c>
    </row>
    <row r="10" spans="1:6" x14ac:dyDescent="0.3">
      <c r="A10" s="6" t="s">
        <v>211</v>
      </c>
      <c r="B10" s="18">
        <v>3.4551560000000001</v>
      </c>
      <c r="C10" s="6" t="s">
        <v>287</v>
      </c>
      <c r="D10" s="8" t="s">
        <v>286</v>
      </c>
    </row>
    <row r="11" spans="1:6" x14ac:dyDescent="0.3">
      <c r="A11" s="6" t="s">
        <v>224</v>
      </c>
      <c r="B11" s="18">
        <v>3.079777</v>
      </c>
      <c r="C11" s="6" t="s">
        <v>302</v>
      </c>
      <c r="D11" s="8" t="s">
        <v>303</v>
      </c>
    </row>
    <row r="12" spans="1:6" x14ac:dyDescent="0.3">
      <c r="A12" s="6" t="s">
        <v>213</v>
      </c>
      <c r="B12" s="18">
        <v>3.0178880000000001</v>
      </c>
      <c r="C12" s="6" t="s">
        <v>287</v>
      </c>
      <c r="D12" s="8" t="s">
        <v>286</v>
      </c>
    </row>
    <row r="13" spans="1:6" x14ac:dyDescent="0.3">
      <c r="A13" s="6" t="s">
        <v>219</v>
      </c>
      <c r="B13" s="18">
        <v>2.9880140000000002</v>
      </c>
      <c r="C13" s="6" t="s">
        <v>296</v>
      </c>
      <c r="D13" s="8" t="s">
        <v>289</v>
      </c>
    </row>
    <row r="14" spans="1:6" x14ac:dyDescent="0.3">
      <c r="A14" s="6" t="s">
        <v>218</v>
      </c>
      <c r="B14" s="18">
        <v>2.8545159999999998</v>
      </c>
      <c r="C14" s="6" t="s">
        <v>295</v>
      </c>
      <c r="D14" s="8" t="s">
        <v>289</v>
      </c>
    </row>
    <row r="15" spans="1:6" x14ac:dyDescent="0.3">
      <c r="A15" s="6" t="s">
        <v>215</v>
      </c>
      <c r="B15" s="18">
        <v>2.330095</v>
      </c>
      <c r="C15" s="6" t="s">
        <v>292</v>
      </c>
      <c r="D15" s="8" t="s">
        <v>1216</v>
      </c>
    </row>
    <row r="16" spans="1:6" x14ac:dyDescent="0.3">
      <c r="A16" s="6" t="s">
        <v>234</v>
      </c>
      <c r="B16" s="18">
        <v>2.2968999999999999</v>
      </c>
      <c r="C16" s="6" t="s">
        <v>316</v>
      </c>
      <c r="D16" s="8" t="s">
        <v>315</v>
      </c>
    </row>
    <row r="17" spans="1:4" x14ac:dyDescent="0.3">
      <c r="A17" s="6" t="s">
        <v>1218</v>
      </c>
      <c r="B17" s="18">
        <v>2.1312639999999998</v>
      </c>
      <c r="C17" s="6" t="s">
        <v>1219</v>
      </c>
      <c r="D17" s="8" t="s">
        <v>303</v>
      </c>
    </row>
    <row r="18" spans="1:4" x14ac:dyDescent="0.3">
      <c r="A18" s="6" t="s">
        <v>220</v>
      </c>
      <c r="B18" s="18">
        <v>2.0805699999999998</v>
      </c>
      <c r="C18" s="6" t="s">
        <v>297</v>
      </c>
      <c r="D18" s="8" t="s">
        <v>298</v>
      </c>
    </row>
    <row r="19" spans="1:4" x14ac:dyDescent="0.3">
      <c r="A19" s="6" t="s">
        <v>223</v>
      </c>
      <c r="B19" s="18">
        <v>1.7627999999999999</v>
      </c>
      <c r="C19" s="6" t="s">
        <v>301</v>
      </c>
      <c r="D19" s="8" t="s">
        <v>284</v>
      </c>
    </row>
    <row r="20" spans="1:4" x14ac:dyDescent="0.3">
      <c r="A20" s="6" t="s">
        <v>237</v>
      </c>
      <c r="B20" s="18">
        <v>1.644293</v>
      </c>
      <c r="C20" s="6" t="s">
        <v>318</v>
      </c>
      <c r="D20" s="8" t="s">
        <v>315</v>
      </c>
    </row>
    <row r="21" spans="1:4" x14ac:dyDescent="0.3">
      <c r="A21" s="6" t="s">
        <v>242</v>
      </c>
      <c r="B21" s="18">
        <v>1.6374949999999999</v>
      </c>
      <c r="C21" s="6" t="s">
        <v>324</v>
      </c>
      <c r="D21" s="8" t="s">
        <v>284</v>
      </c>
    </row>
    <row r="22" spans="1:4" x14ac:dyDescent="0.3">
      <c r="A22" s="6" t="s">
        <v>232</v>
      </c>
      <c r="B22" s="18">
        <v>1.4344140000000001</v>
      </c>
      <c r="C22" s="6" t="s">
        <v>313</v>
      </c>
      <c r="D22" s="8" t="s">
        <v>289</v>
      </c>
    </row>
    <row r="23" spans="1:4" x14ac:dyDescent="0.3">
      <c r="A23" s="6" t="s">
        <v>228</v>
      </c>
      <c r="B23" s="18">
        <v>1.4002490000000001</v>
      </c>
      <c r="C23" s="6" t="s">
        <v>307</v>
      </c>
      <c r="D23" s="8" t="s">
        <v>308</v>
      </c>
    </row>
    <row r="24" spans="1:4" x14ac:dyDescent="0.3">
      <c r="A24" s="6" t="s">
        <v>222</v>
      </c>
      <c r="B24" s="18">
        <v>1.38449</v>
      </c>
      <c r="C24" s="6" t="s">
        <v>300</v>
      </c>
      <c r="D24" s="8" t="s">
        <v>284</v>
      </c>
    </row>
    <row r="25" spans="1:4" x14ac:dyDescent="0.3">
      <c r="A25" s="6" t="s">
        <v>1244</v>
      </c>
      <c r="B25" s="18">
        <v>1.351658</v>
      </c>
      <c r="C25" s="6" t="s">
        <v>310</v>
      </c>
      <c r="D25" s="8" t="s">
        <v>303</v>
      </c>
    </row>
    <row r="26" spans="1:4" x14ac:dyDescent="0.3">
      <c r="A26" s="6" t="s">
        <v>236</v>
      </c>
      <c r="B26" s="18">
        <v>1.3478829999999999</v>
      </c>
      <c r="C26" s="6" t="s">
        <v>319</v>
      </c>
      <c r="D26" s="8" t="s">
        <v>303</v>
      </c>
    </row>
    <row r="27" spans="1:4" x14ac:dyDescent="0.3">
      <c r="A27" s="6" t="s">
        <v>225</v>
      </c>
      <c r="B27" s="18">
        <v>1.3403849999999999</v>
      </c>
      <c r="C27" s="6" t="s">
        <v>304</v>
      </c>
      <c r="D27" s="8" t="s">
        <v>284</v>
      </c>
    </row>
    <row r="28" spans="1:4" x14ac:dyDescent="0.3">
      <c r="A28" s="6" t="s">
        <v>227</v>
      </c>
      <c r="B28" s="18">
        <v>1.0748420000000001</v>
      </c>
      <c r="C28" s="6" t="s">
        <v>306</v>
      </c>
      <c r="D28" s="8" t="s">
        <v>303</v>
      </c>
    </row>
    <row r="29" spans="1:4" x14ac:dyDescent="0.3">
      <c r="A29" s="6" t="s">
        <v>233</v>
      </c>
      <c r="B29" s="18">
        <v>1.0425739999999999</v>
      </c>
      <c r="C29" s="6" t="s">
        <v>314</v>
      </c>
      <c r="D29" s="8" t="s">
        <v>315</v>
      </c>
    </row>
    <row r="30" spans="1:4" x14ac:dyDescent="0.3">
      <c r="A30" s="6" t="s">
        <v>241</v>
      </c>
      <c r="B30" s="18">
        <v>0.936921</v>
      </c>
      <c r="C30" s="6" t="s">
        <v>323</v>
      </c>
      <c r="D30" s="8" t="s">
        <v>291</v>
      </c>
    </row>
    <row r="31" spans="1:4" x14ac:dyDescent="0.3">
      <c r="A31" s="6" t="s">
        <v>648</v>
      </c>
      <c r="B31" s="18">
        <v>0.92183999999999999</v>
      </c>
      <c r="C31" s="6" t="s">
        <v>650</v>
      </c>
      <c r="D31" s="8" t="s">
        <v>315</v>
      </c>
    </row>
    <row r="32" spans="1:4" x14ac:dyDescent="0.3">
      <c r="A32" s="6" t="s">
        <v>221</v>
      </c>
      <c r="B32" s="18">
        <v>0.90673400000000004</v>
      </c>
      <c r="C32" s="6" t="s">
        <v>299</v>
      </c>
      <c r="D32" s="8" t="s">
        <v>289</v>
      </c>
    </row>
    <row r="33" spans="1:4" x14ac:dyDescent="0.3">
      <c r="A33" s="6" t="s">
        <v>235</v>
      </c>
      <c r="B33" s="18">
        <v>0.82362899999999994</v>
      </c>
      <c r="C33" s="6" t="s">
        <v>317</v>
      </c>
      <c r="D33" s="8" t="s">
        <v>298</v>
      </c>
    </row>
    <row r="34" spans="1:4" x14ac:dyDescent="0.3">
      <c r="A34" s="6" t="s">
        <v>239</v>
      </c>
      <c r="B34" s="18">
        <v>0.77678700000000001</v>
      </c>
      <c r="C34" s="6" t="s">
        <v>320</v>
      </c>
      <c r="D34" s="8" t="s">
        <v>284</v>
      </c>
    </row>
    <row r="35" spans="1:4" x14ac:dyDescent="0.3">
      <c r="A35" s="6" t="s">
        <v>1245</v>
      </c>
      <c r="B35" s="18">
        <v>0.76888500000000004</v>
      </c>
      <c r="C35" s="6" t="s">
        <v>1230</v>
      </c>
      <c r="D35" s="8" t="s">
        <v>308</v>
      </c>
    </row>
    <row r="36" spans="1:4" x14ac:dyDescent="0.3">
      <c r="A36" s="6" t="s">
        <v>255</v>
      </c>
      <c r="B36" s="18">
        <v>0.71011999999999997</v>
      </c>
      <c r="C36" s="6" t="s">
        <v>339</v>
      </c>
      <c r="D36" s="8" t="s">
        <v>315</v>
      </c>
    </row>
    <row r="37" spans="1:4" x14ac:dyDescent="0.3">
      <c r="A37" s="6" t="s">
        <v>1246</v>
      </c>
      <c r="B37" s="18">
        <v>0.68723900000000004</v>
      </c>
      <c r="C37" s="6" t="s">
        <v>1258</v>
      </c>
    </row>
    <row r="38" spans="1:4" x14ac:dyDescent="0.3">
      <c r="A38" s="6" t="s">
        <v>226</v>
      </c>
      <c r="B38" s="18">
        <v>0.66745100000000002</v>
      </c>
      <c r="C38" s="6" t="s">
        <v>305</v>
      </c>
      <c r="D38" s="8" t="s">
        <v>1216</v>
      </c>
    </row>
    <row r="39" spans="1:4" x14ac:dyDescent="0.3">
      <c r="A39" s="6" t="s">
        <v>229</v>
      </c>
      <c r="B39" s="18">
        <v>0.65027900000000005</v>
      </c>
      <c r="C39" s="6" t="s">
        <v>311</v>
      </c>
      <c r="D39" s="8" t="s">
        <v>284</v>
      </c>
    </row>
    <row r="40" spans="1:4" x14ac:dyDescent="0.3">
      <c r="A40" s="6" t="s">
        <v>231</v>
      </c>
      <c r="B40" s="18">
        <v>0.64871400000000001</v>
      </c>
      <c r="C40" s="6" t="s">
        <v>312</v>
      </c>
      <c r="D40" s="8" t="s">
        <v>284</v>
      </c>
    </row>
    <row r="41" spans="1:4" x14ac:dyDescent="0.3">
      <c r="A41" s="6" t="s">
        <v>1247</v>
      </c>
      <c r="B41" s="18">
        <v>0.63915299999999997</v>
      </c>
      <c r="C41" s="6" t="s">
        <v>1259</v>
      </c>
      <c r="D41" s="8" t="s">
        <v>308</v>
      </c>
    </row>
    <row r="42" spans="1:4" x14ac:dyDescent="0.3">
      <c r="A42" s="6" t="s">
        <v>1224</v>
      </c>
      <c r="B42" s="18">
        <v>0.60963100000000003</v>
      </c>
      <c r="C42" s="6" t="s">
        <v>1229</v>
      </c>
      <c r="D42" s="8" t="s">
        <v>308</v>
      </c>
    </row>
    <row r="43" spans="1:4" x14ac:dyDescent="0.3">
      <c r="A43" s="6" t="s">
        <v>276</v>
      </c>
      <c r="B43" s="18">
        <v>0.593642</v>
      </c>
      <c r="C43" s="6" t="s">
        <v>364</v>
      </c>
      <c r="D43" s="8" t="s">
        <v>327</v>
      </c>
    </row>
    <row r="44" spans="1:4" x14ac:dyDescent="0.3">
      <c r="A44" s="6" t="s">
        <v>1222</v>
      </c>
      <c r="B44" s="18">
        <v>0.58005799999999996</v>
      </c>
      <c r="C44" s="6" t="s">
        <v>1227</v>
      </c>
      <c r="D44" s="8" t="s">
        <v>315</v>
      </c>
    </row>
    <row r="45" spans="1:4" x14ac:dyDescent="0.3">
      <c r="A45" s="6" t="s">
        <v>264</v>
      </c>
      <c r="B45" s="18">
        <v>0.57933500000000004</v>
      </c>
      <c r="C45" s="6" t="s">
        <v>348</v>
      </c>
      <c r="D45" s="8" t="s">
        <v>315</v>
      </c>
    </row>
    <row r="46" spans="1:4" x14ac:dyDescent="0.3">
      <c r="A46" s="6" t="s">
        <v>1221</v>
      </c>
      <c r="B46" s="18">
        <v>0.56707099999999999</v>
      </c>
      <c r="C46" s="6" t="s">
        <v>1226</v>
      </c>
      <c r="D46" s="8" t="s">
        <v>329</v>
      </c>
    </row>
    <row r="47" spans="1:4" x14ac:dyDescent="0.3">
      <c r="A47" s="6" t="s">
        <v>253</v>
      </c>
      <c r="B47" s="18">
        <v>0.50128799999999996</v>
      </c>
      <c r="C47" s="6" t="s">
        <v>338</v>
      </c>
      <c r="D47" s="8" t="s">
        <v>284</v>
      </c>
    </row>
    <row r="48" spans="1:4" x14ac:dyDescent="0.3">
      <c r="A48" s="6" t="s">
        <v>230</v>
      </c>
      <c r="B48" s="18">
        <v>0.48448099999999999</v>
      </c>
      <c r="C48" s="6" t="s">
        <v>309</v>
      </c>
      <c r="D48" s="8" t="s">
        <v>1216</v>
      </c>
    </row>
    <row r="49" spans="1:4" x14ac:dyDescent="0.3">
      <c r="A49" s="6" t="s">
        <v>245</v>
      </c>
      <c r="B49" s="18">
        <v>0.47991200000000001</v>
      </c>
      <c r="C49" s="6" t="s">
        <v>328</v>
      </c>
      <c r="D49" s="8" t="s">
        <v>329</v>
      </c>
    </row>
    <row r="50" spans="1:4" x14ac:dyDescent="0.3">
      <c r="A50" s="6" t="s">
        <v>266</v>
      </c>
      <c r="B50" s="18">
        <v>0.47074100000000002</v>
      </c>
      <c r="C50" s="6" t="s">
        <v>350</v>
      </c>
      <c r="D50" s="8" t="s">
        <v>308</v>
      </c>
    </row>
    <row r="51" spans="1:4" x14ac:dyDescent="0.3">
      <c r="A51" s="6" t="s">
        <v>259</v>
      </c>
      <c r="B51" s="18">
        <v>0.46725100000000003</v>
      </c>
      <c r="C51" s="6" t="s">
        <v>344</v>
      </c>
      <c r="D51" s="8" t="s">
        <v>303</v>
      </c>
    </row>
    <row r="52" spans="1:4" x14ac:dyDescent="0.3">
      <c r="A52" s="6" t="s">
        <v>258</v>
      </c>
      <c r="B52" s="18">
        <v>0.46357599999999999</v>
      </c>
      <c r="C52" s="6" t="s">
        <v>342</v>
      </c>
      <c r="D52" s="8" t="s">
        <v>308</v>
      </c>
    </row>
    <row r="53" spans="1:4" x14ac:dyDescent="0.3">
      <c r="A53" s="6" t="s">
        <v>1223</v>
      </c>
      <c r="B53" s="18">
        <v>0.45899400000000001</v>
      </c>
      <c r="C53" s="6" t="s">
        <v>1228</v>
      </c>
      <c r="D53" s="8" t="s">
        <v>315</v>
      </c>
    </row>
    <row r="54" spans="1:4" x14ac:dyDescent="0.3">
      <c r="A54" s="6" t="s">
        <v>1215</v>
      </c>
      <c r="B54" s="18">
        <v>0.449488</v>
      </c>
      <c r="C54" s="6" t="s">
        <v>1217</v>
      </c>
      <c r="D54" s="8" t="s">
        <v>1216</v>
      </c>
    </row>
    <row r="55" spans="1:4" x14ac:dyDescent="0.3">
      <c r="A55" s="6" t="s">
        <v>260</v>
      </c>
      <c r="B55" s="18">
        <v>0.42428300000000002</v>
      </c>
      <c r="C55" s="6" t="s">
        <v>345</v>
      </c>
      <c r="D55" s="8" t="s">
        <v>315</v>
      </c>
    </row>
    <row r="56" spans="1:4" x14ac:dyDescent="0.3">
      <c r="A56" s="6" t="s">
        <v>243</v>
      </c>
      <c r="B56" s="18">
        <v>0.41476499999999999</v>
      </c>
      <c r="C56" s="6" t="s">
        <v>325</v>
      </c>
      <c r="D56" s="8" t="s">
        <v>289</v>
      </c>
    </row>
    <row r="57" spans="1:4" x14ac:dyDescent="0.3">
      <c r="A57" s="6" t="s">
        <v>270</v>
      </c>
      <c r="B57" s="18">
        <v>0.41112199999999999</v>
      </c>
      <c r="C57" s="6" t="s">
        <v>354</v>
      </c>
      <c r="D57" s="8" t="s">
        <v>303</v>
      </c>
    </row>
    <row r="58" spans="1:4" x14ac:dyDescent="0.3">
      <c r="A58" s="6" t="s">
        <v>246</v>
      </c>
      <c r="B58" s="18">
        <v>0.40954600000000002</v>
      </c>
      <c r="C58" s="6" t="s">
        <v>330</v>
      </c>
      <c r="D58" s="8" t="s">
        <v>315</v>
      </c>
    </row>
    <row r="59" spans="1:4" x14ac:dyDescent="0.3">
      <c r="A59" s="6" t="s">
        <v>248</v>
      </c>
      <c r="B59" s="18">
        <v>0.403229</v>
      </c>
      <c r="C59" s="6" t="s">
        <v>332</v>
      </c>
      <c r="D59" s="8" t="s">
        <v>308</v>
      </c>
    </row>
    <row r="60" spans="1:4" x14ac:dyDescent="0.3">
      <c r="A60" s="6" t="s">
        <v>254</v>
      </c>
      <c r="B60" s="18">
        <v>0.40246500000000002</v>
      </c>
      <c r="C60" s="6" t="s">
        <v>337</v>
      </c>
      <c r="D60" s="8" t="s">
        <v>298</v>
      </c>
    </row>
    <row r="61" spans="1:4" x14ac:dyDescent="0.3">
      <c r="A61" s="6" t="s">
        <v>1248</v>
      </c>
      <c r="B61" s="18">
        <v>0.396567</v>
      </c>
      <c r="C61" s="6" t="s">
        <v>1209</v>
      </c>
      <c r="D61" s="8" t="s">
        <v>303</v>
      </c>
    </row>
    <row r="62" spans="1:4" x14ac:dyDescent="0.3">
      <c r="A62" s="6" t="s">
        <v>252</v>
      </c>
      <c r="B62" s="18">
        <v>0.396092</v>
      </c>
      <c r="C62" s="6" t="s">
        <v>335</v>
      </c>
      <c r="D62" s="8" t="s">
        <v>308</v>
      </c>
    </row>
    <row r="63" spans="1:4" x14ac:dyDescent="0.3">
      <c r="A63" s="6" t="s">
        <v>647</v>
      </c>
      <c r="B63" s="18">
        <v>0.38888899999999998</v>
      </c>
      <c r="C63" s="6" t="s">
        <v>649</v>
      </c>
      <c r="D63" s="8" t="s">
        <v>284</v>
      </c>
    </row>
    <row r="64" spans="1:4" x14ac:dyDescent="0.3">
      <c r="A64" s="6" t="s">
        <v>265</v>
      </c>
      <c r="B64" s="18">
        <v>0.37557800000000002</v>
      </c>
      <c r="C64" s="6" t="s">
        <v>349</v>
      </c>
      <c r="D64" s="8" t="s">
        <v>298</v>
      </c>
    </row>
    <row r="65" spans="1:4" x14ac:dyDescent="0.3">
      <c r="A65" s="6" t="s">
        <v>1180</v>
      </c>
      <c r="B65" s="18">
        <v>0.37259799999999998</v>
      </c>
      <c r="C65" s="6" t="s">
        <v>1181</v>
      </c>
      <c r="D65" s="8" t="s">
        <v>315</v>
      </c>
    </row>
    <row r="66" spans="1:4" x14ac:dyDescent="0.3">
      <c r="A66" s="6" t="s">
        <v>280</v>
      </c>
      <c r="B66" s="18">
        <v>0.361848</v>
      </c>
      <c r="C66" s="6" t="s">
        <v>360</v>
      </c>
      <c r="D66" s="8" t="s">
        <v>284</v>
      </c>
    </row>
    <row r="67" spans="1:4" x14ac:dyDescent="0.3">
      <c r="A67" s="6" t="s">
        <v>1249</v>
      </c>
      <c r="B67" s="18">
        <v>0.35205700000000001</v>
      </c>
      <c r="C67" s="6" t="s">
        <v>1220</v>
      </c>
      <c r="D67" s="8" t="s">
        <v>303</v>
      </c>
    </row>
    <row r="68" spans="1:4" x14ac:dyDescent="0.3">
      <c r="A68" s="6" t="s">
        <v>271</v>
      </c>
      <c r="B68" s="18">
        <v>0.33841700000000002</v>
      </c>
      <c r="C68" s="6" t="s">
        <v>355</v>
      </c>
      <c r="D68" s="8" t="s">
        <v>308</v>
      </c>
    </row>
    <row r="69" spans="1:4" x14ac:dyDescent="0.3">
      <c r="A69" s="6" t="s">
        <v>249</v>
      </c>
      <c r="B69" s="18">
        <v>0.33705400000000002</v>
      </c>
      <c r="C69" s="6" t="s">
        <v>340</v>
      </c>
      <c r="D69" s="8" t="s">
        <v>284</v>
      </c>
    </row>
    <row r="70" spans="1:4" x14ac:dyDescent="0.3">
      <c r="A70" s="6" t="s">
        <v>262</v>
      </c>
      <c r="B70" s="18">
        <v>0.334339</v>
      </c>
      <c r="C70" s="6" t="s">
        <v>346</v>
      </c>
      <c r="D70" s="8" t="s">
        <v>315</v>
      </c>
    </row>
    <row r="71" spans="1:4" x14ac:dyDescent="0.3">
      <c r="A71" s="6" t="s">
        <v>1250</v>
      </c>
      <c r="B71" s="18">
        <v>0.32619599999999999</v>
      </c>
      <c r="C71" s="6" t="s">
        <v>1260</v>
      </c>
      <c r="D71" s="8" t="s">
        <v>1216</v>
      </c>
    </row>
    <row r="72" spans="1:4" x14ac:dyDescent="0.3">
      <c r="A72" s="6" t="s">
        <v>238</v>
      </c>
      <c r="B72" s="18">
        <v>0.32395000000000002</v>
      </c>
      <c r="C72" s="6" t="s">
        <v>321</v>
      </c>
      <c r="D72" s="8" t="s">
        <v>315</v>
      </c>
    </row>
    <row r="73" spans="1:4" x14ac:dyDescent="0.3">
      <c r="A73" s="6" t="s">
        <v>250</v>
      </c>
      <c r="B73" s="18">
        <v>0.322853</v>
      </c>
      <c r="C73" s="6" t="s">
        <v>333</v>
      </c>
      <c r="D73" s="8" t="s">
        <v>308</v>
      </c>
    </row>
    <row r="74" spans="1:4" x14ac:dyDescent="0.3">
      <c r="A74" s="6" t="s">
        <v>275</v>
      </c>
      <c r="B74" s="18">
        <v>0.32201800000000003</v>
      </c>
      <c r="C74" s="6" t="s">
        <v>363</v>
      </c>
      <c r="D74" s="8" t="s">
        <v>1216</v>
      </c>
    </row>
    <row r="75" spans="1:4" x14ac:dyDescent="0.3">
      <c r="A75" s="6" t="s">
        <v>267</v>
      </c>
      <c r="B75" s="18">
        <v>0.31784299999999999</v>
      </c>
      <c r="C75" s="6" t="s">
        <v>351</v>
      </c>
      <c r="D75" s="8" t="s">
        <v>284</v>
      </c>
    </row>
    <row r="76" spans="1:4" x14ac:dyDescent="0.3">
      <c r="A76" s="6" t="s">
        <v>269</v>
      </c>
      <c r="B76" s="18">
        <v>0.31505499999999997</v>
      </c>
      <c r="C76" s="6" t="s">
        <v>353</v>
      </c>
      <c r="D76" s="8" t="s">
        <v>308</v>
      </c>
    </row>
    <row r="77" spans="1:4" x14ac:dyDescent="0.3">
      <c r="A77" s="6" t="s">
        <v>279</v>
      </c>
      <c r="B77" s="18">
        <v>0.31498900000000002</v>
      </c>
      <c r="C77" s="6" t="s">
        <v>366</v>
      </c>
      <c r="D77" s="8" t="s">
        <v>308</v>
      </c>
    </row>
    <row r="78" spans="1:4" x14ac:dyDescent="0.3">
      <c r="A78" s="6" t="s">
        <v>1251</v>
      </c>
      <c r="B78" s="18">
        <v>0.30812099999999998</v>
      </c>
      <c r="C78" s="6" t="s">
        <v>1261</v>
      </c>
      <c r="D78" s="8" t="s">
        <v>298</v>
      </c>
    </row>
    <row r="79" spans="1:4" x14ac:dyDescent="0.3">
      <c r="A79" s="6" t="s">
        <v>273</v>
      </c>
      <c r="B79" s="18">
        <v>0.30654999999999999</v>
      </c>
      <c r="C79" s="6" t="s">
        <v>357</v>
      </c>
      <c r="D79" s="8" t="s">
        <v>284</v>
      </c>
    </row>
    <row r="80" spans="1:4" x14ac:dyDescent="0.3">
      <c r="A80" s="6" t="s">
        <v>1252</v>
      </c>
      <c r="B80" s="18">
        <v>0.27875499999999998</v>
      </c>
      <c r="C80" s="6" t="s">
        <v>1262</v>
      </c>
      <c r="D80" s="8" t="s">
        <v>303</v>
      </c>
    </row>
    <row r="81" spans="1:4" x14ac:dyDescent="0.3">
      <c r="A81" s="6" t="s">
        <v>244</v>
      </c>
      <c r="B81" s="18">
        <v>0.27321899999999999</v>
      </c>
      <c r="C81" s="6" t="s">
        <v>326</v>
      </c>
      <c r="D81" s="8" t="s">
        <v>327</v>
      </c>
    </row>
    <row r="82" spans="1:4" x14ac:dyDescent="0.3">
      <c r="A82" s="6" t="s">
        <v>268</v>
      </c>
      <c r="B82" s="18">
        <v>0.26319999999999999</v>
      </c>
      <c r="C82" s="6" t="s">
        <v>352</v>
      </c>
      <c r="D82" s="8" t="s">
        <v>289</v>
      </c>
    </row>
    <row r="83" spans="1:4" x14ac:dyDescent="0.3">
      <c r="A83" s="6" t="s">
        <v>263</v>
      </c>
      <c r="B83" s="18">
        <v>0.26253700000000002</v>
      </c>
      <c r="C83" s="6" t="s">
        <v>347</v>
      </c>
      <c r="D83" s="8" t="s">
        <v>284</v>
      </c>
    </row>
    <row r="84" spans="1:4" x14ac:dyDescent="0.3">
      <c r="A84" s="6" t="s">
        <v>251</v>
      </c>
      <c r="B84" s="18">
        <v>0.25919199999999998</v>
      </c>
      <c r="C84" s="6" t="s">
        <v>334</v>
      </c>
      <c r="D84" s="8" t="s">
        <v>303</v>
      </c>
    </row>
    <row r="85" spans="1:4" x14ac:dyDescent="0.3">
      <c r="A85" s="6" t="s">
        <v>278</v>
      </c>
      <c r="B85" s="18">
        <v>0.25531599999999999</v>
      </c>
      <c r="C85" s="6" t="s">
        <v>358</v>
      </c>
      <c r="D85" s="8" t="s">
        <v>289</v>
      </c>
    </row>
    <row r="86" spans="1:4" x14ac:dyDescent="0.3">
      <c r="A86" s="6" t="s">
        <v>1232</v>
      </c>
      <c r="B86" s="18">
        <v>0.24674199999999999</v>
      </c>
      <c r="C86" s="6" t="s">
        <v>1235</v>
      </c>
      <c r="D86" s="8" t="s">
        <v>284</v>
      </c>
    </row>
    <row r="87" spans="1:4" x14ac:dyDescent="0.3">
      <c r="A87" s="6" t="s">
        <v>261</v>
      </c>
      <c r="B87" s="18">
        <v>0.243754</v>
      </c>
      <c r="C87" s="6" t="s">
        <v>343</v>
      </c>
      <c r="D87" s="8" t="s">
        <v>327</v>
      </c>
    </row>
    <row r="88" spans="1:4" x14ac:dyDescent="0.3">
      <c r="A88" s="6" t="s">
        <v>1253</v>
      </c>
      <c r="B88" s="18">
        <v>0.24334900000000001</v>
      </c>
      <c r="C88" s="6" t="s">
        <v>1263</v>
      </c>
      <c r="D88" s="8" t="s">
        <v>315</v>
      </c>
    </row>
    <row r="89" spans="1:4" x14ac:dyDescent="0.3">
      <c r="A89" s="6" t="s">
        <v>1254</v>
      </c>
      <c r="B89" s="18">
        <v>0.23061599999999999</v>
      </c>
      <c r="C89" s="6" t="s">
        <v>1264</v>
      </c>
      <c r="D89" s="8" t="s">
        <v>291</v>
      </c>
    </row>
    <row r="90" spans="1:4" x14ac:dyDescent="0.3">
      <c r="A90" s="6" t="s">
        <v>1255</v>
      </c>
      <c r="B90" s="18">
        <v>0.228214</v>
      </c>
      <c r="C90" s="6" t="s">
        <v>1265</v>
      </c>
      <c r="D90" s="8" t="s">
        <v>284</v>
      </c>
    </row>
    <row r="91" spans="1:4" x14ac:dyDescent="0.3">
      <c r="A91" s="6" t="s">
        <v>256</v>
      </c>
      <c r="B91" s="18">
        <v>0.22603899999999999</v>
      </c>
      <c r="C91" s="6" t="s">
        <v>341</v>
      </c>
      <c r="D91" s="8" t="s">
        <v>1216</v>
      </c>
    </row>
    <row r="92" spans="1:4" x14ac:dyDescent="0.3">
      <c r="A92" s="6" t="s">
        <v>274</v>
      </c>
      <c r="B92" s="18">
        <v>0.21343400000000001</v>
      </c>
      <c r="C92" s="6" t="s">
        <v>359</v>
      </c>
      <c r="D92" s="8" t="s">
        <v>284</v>
      </c>
    </row>
    <row r="93" spans="1:4" x14ac:dyDescent="0.3">
      <c r="A93" s="6" t="s">
        <v>1256</v>
      </c>
      <c r="B93" s="18">
        <v>0.21207200000000001</v>
      </c>
      <c r="C93" s="6" t="s">
        <v>1266</v>
      </c>
      <c r="D93" s="8" t="s">
        <v>284</v>
      </c>
    </row>
    <row r="94" spans="1:4" x14ac:dyDescent="0.3">
      <c r="A94" s="6" t="s">
        <v>272</v>
      </c>
      <c r="B94" s="18">
        <v>0.199878</v>
      </c>
      <c r="C94" s="6" t="s">
        <v>356</v>
      </c>
      <c r="D94" s="8" t="s">
        <v>289</v>
      </c>
    </row>
    <row r="95" spans="1:4" x14ac:dyDescent="0.3">
      <c r="A95" s="6" t="s">
        <v>257</v>
      </c>
      <c r="B95" s="18">
        <v>0.196827</v>
      </c>
      <c r="C95" s="6" t="s">
        <v>336</v>
      </c>
      <c r="D95" s="8" t="s">
        <v>1216</v>
      </c>
    </row>
    <row r="96" spans="1:4" x14ac:dyDescent="0.3">
      <c r="A96" s="6" t="s">
        <v>281</v>
      </c>
      <c r="B96" s="18">
        <v>0.19599900000000001</v>
      </c>
      <c r="C96" s="6" t="s">
        <v>362</v>
      </c>
      <c r="D96" s="8" t="s">
        <v>303</v>
      </c>
    </row>
    <row r="97" spans="1:4" x14ac:dyDescent="0.3">
      <c r="A97" s="6" t="s">
        <v>1233</v>
      </c>
      <c r="B97" s="18">
        <v>0.17977399999999999</v>
      </c>
      <c r="C97" s="6" t="s">
        <v>1236</v>
      </c>
      <c r="D97" s="8" t="s">
        <v>308</v>
      </c>
    </row>
    <row r="98" spans="1:4" x14ac:dyDescent="0.3">
      <c r="A98" s="6" t="s">
        <v>1234</v>
      </c>
      <c r="B98" s="18">
        <v>0.16324900000000001</v>
      </c>
      <c r="C98" s="6" t="s">
        <v>1237</v>
      </c>
      <c r="D98" s="8" t="s">
        <v>329</v>
      </c>
    </row>
    <row r="99" spans="1:4" x14ac:dyDescent="0.3">
      <c r="A99" s="6" t="s">
        <v>277</v>
      </c>
      <c r="B99" s="18">
        <v>0.14429900000000001</v>
      </c>
      <c r="C99" s="6" t="s">
        <v>365</v>
      </c>
      <c r="D99" s="8" t="s">
        <v>315</v>
      </c>
    </row>
    <row r="100" spans="1:4" x14ac:dyDescent="0.3">
      <c r="A100" s="6" t="s">
        <v>240</v>
      </c>
      <c r="B100" s="18">
        <v>0.142097</v>
      </c>
      <c r="C100" s="6" t="s">
        <v>322</v>
      </c>
      <c r="D100" s="8" t="s">
        <v>298</v>
      </c>
    </row>
    <row r="101" spans="1:4" x14ac:dyDescent="0.3">
      <c r="A101" s="6" t="s">
        <v>282</v>
      </c>
      <c r="B101" s="18">
        <v>0.113871</v>
      </c>
      <c r="C101" s="6" t="s">
        <v>361</v>
      </c>
      <c r="D101" s="8" t="s">
        <v>315</v>
      </c>
    </row>
    <row r="102" spans="1:4" x14ac:dyDescent="0.3">
      <c r="A102" s="6" t="s">
        <v>247</v>
      </c>
      <c r="B102" s="18">
        <v>0.111419</v>
      </c>
      <c r="C102" s="6" t="s">
        <v>331</v>
      </c>
      <c r="D102" s="8" t="s">
        <v>308</v>
      </c>
    </row>
    <row r="103" spans="1:4" x14ac:dyDescent="0.3">
      <c r="A103" s="6" t="s">
        <v>1225</v>
      </c>
      <c r="B103" s="18">
        <v>0.101643</v>
      </c>
      <c r="C103" s="6" t="s">
        <v>1231</v>
      </c>
      <c r="D103" s="8" t="s">
        <v>303</v>
      </c>
    </row>
    <row r="104" spans="1:4" x14ac:dyDescent="0.3">
      <c r="A104" s="6" t="s">
        <v>1257</v>
      </c>
      <c r="B104" s="18">
        <v>9.1527999999999998E-2</v>
      </c>
      <c r="C104" s="6" t="s">
        <v>1267</v>
      </c>
      <c r="D104" s="8" t="s">
        <v>303</v>
      </c>
    </row>
    <row r="105" spans="1:4" x14ac:dyDescent="0.3">
      <c r="A105" s="6"/>
    </row>
    <row r="106" spans="1:4" x14ac:dyDescent="0.3">
      <c r="A106" s="6"/>
    </row>
    <row r="107" spans="1:4" x14ac:dyDescent="0.3">
      <c r="A107" s="6"/>
    </row>
    <row r="108" spans="1:4" x14ac:dyDescent="0.3">
      <c r="A108" s="6"/>
    </row>
    <row r="109" spans="1:4" x14ac:dyDescent="0.3">
      <c r="A109" s="6"/>
    </row>
    <row r="110" spans="1:4" x14ac:dyDescent="0.3">
      <c r="A110" s="6"/>
    </row>
    <row r="111" spans="1:4" x14ac:dyDescent="0.3">
      <c r="A111" s="6"/>
    </row>
    <row r="112" spans="1:4" x14ac:dyDescent="0.3">
      <c r="A112" s="6"/>
    </row>
    <row r="113" spans="1:1" x14ac:dyDescent="0.3">
      <c r="A113" s="6"/>
    </row>
    <row r="114" spans="1:1" x14ac:dyDescent="0.3">
      <c r="A114" s="6"/>
    </row>
    <row r="115" spans="1:1" x14ac:dyDescent="0.3">
      <c r="A115" s="6"/>
    </row>
    <row r="116" spans="1:1" x14ac:dyDescent="0.3">
      <c r="A116" s="6"/>
    </row>
    <row r="117" spans="1:1" x14ac:dyDescent="0.3">
      <c r="A117" s="6"/>
    </row>
    <row r="118" spans="1:1" x14ac:dyDescent="0.3">
      <c r="A118" s="6"/>
    </row>
    <row r="119" spans="1:1" x14ac:dyDescent="0.3">
      <c r="A119" s="6"/>
    </row>
    <row r="120" spans="1:1" x14ac:dyDescent="0.3">
      <c r="A120" s="6"/>
    </row>
    <row r="121" spans="1:1" x14ac:dyDescent="0.3">
      <c r="A121" s="6"/>
    </row>
    <row r="122" spans="1:1" x14ac:dyDescent="0.3">
      <c r="A122" s="6"/>
    </row>
    <row r="123" spans="1:1" x14ac:dyDescent="0.3">
      <c r="A123" s="6"/>
    </row>
    <row r="124" spans="1:1" x14ac:dyDescent="0.3">
      <c r="A124" s="6"/>
    </row>
    <row r="125" spans="1:1" x14ac:dyDescent="0.3">
      <c r="A125" s="6"/>
    </row>
    <row r="126" spans="1:1" x14ac:dyDescent="0.3">
      <c r="A126" s="6"/>
    </row>
    <row r="127" spans="1:1" x14ac:dyDescent="0.3">
      <c r="A127" s="6"/>
    </row>
    <row r="128" spans="1:1" x14ac:dyDescent="0.3">
      <c r="A128" s="6"/>
    </row>
    <row r="129" spans="1:1" x14ac:dyDescent="0.3">
      <c r="A129" s="6"/>
    </row>
    <row r="130" spans="1:1" x14ac:dyDescent="0.3">
      <c r="A130" s="6"/>
    </row>
    <row r="131" spans="1:1" x14ac:dyDescent="0.3">
      <c r="A131" s="6"/>
    </row>
    <row r="132" spans="1:1" x14ac:dyDescent="0.3">
      <c r="A132" s="6"/>
    </row>
    <row r="133" spans="1:1" x14ac:dyDescent="0.3">
      <c r="A133" s="6"/>
    </row>
    <row r="134" spans="1:1" x14ac:dyDescent="0.3">
      <c r="A134" s="6"/>
    </row>
    <row r="135" spans="1:1" x14ac:dyDescent="0.3">
      <c r="A135" s="6"/>
    </row>
    <row r="136" spans="1:1" x14ac:dyDescent="0.3">
      <c r="A136" s="6"/>
    </row>
    <row r="137" spans="1:1" x14ac:dyDescent="0.3">
      <c r="A137" s="6"/>
    </row>
    <row r="138" spans="1:1" x14ac:dyDescent="0.3">
      <c r="A138" s="6"/>
    </row>
    <row r="139" spans="1:1" x14ac:dyDescent="0.3">
      <c r="A139" s="6"/>
    </row>
    <row r="140" spans="1:1" x14ac:dyDescent="0.3">
      <c r="A140" s="6"/>
    </row>
    <row r="141" spans="1:1" x14ac:dyDescent="0.3">
      <c r="A141" s="6"/>
    </row>
    <row r="142" spans="1:1" x14ac:dyDescent="0.3">
      <c r="A142" s="6"/>
    </row>
    <row r="143" spans="1:1" x14ac:dyDescent="0.3">
      <c r="A143" s="6"/>
    </row>
    <row r="144" spans="1:1" x14ac:dyDescent="0.3">
      <c r="A144" s="6"/>
    </row>
    <row r="145" spans="1:1" x14ac:dyDescent="0.3">
      <c r="A145" s="6"/>
    </row>
    <row r="146" spans="1:1" x14ac:dyDescent="0.3">
      <c r="A146" s="6"/>
    </row>
    <row r="147" spans="1:1" x14ac:dyDescent="0.3">
      <c r="A147" s="6"/>
    </row>
    <row r="148" spans="1:1" x14ac:dyDescent="0.3">
      <c r="A148" s="6"/>
    </row>
    <row r="149" spans="1:1" x14ac:dyDescent="0.3">
      <c r="A149" s="6"/>
    </row>
    <row r="150" spans="1:1" x14ac:dyDescent="0.3">
      <c r="A150" s="6"/>
    </row>
    <row r="151" spans="1:1" x14ac:dyDescent="0.3">
      <c r="A151" s="6"/>
    </row>
    <row r="152" spans="1:1" x14ac:dyDescent="0.3">
      <c r="A152" s="6"/>
    </row>
    <row r="153" spans="1:1" x14ac:dyDescent="0.3">
      <c r="A153" s="6"/>
    </row>
    <row r="154" spans="1:1" x14ac:dyDescent="0.3">
      <c r="A154" s="6"/>
    </row>
    <row r="155" spans="1:1" x14ac:dyDescent="0.3">
      <c r="A155" s="6"/>
    </row>
    <row r="156" spans="1:1" x14ac:dyDescent="0.3">
      <c r="A156" s="6"/>
    </row>
    <row r="157" spans="1:1" x14ac:dyDescent="0.3">
      <c r="A157" s="6"/>
    </row>
    <row r="158" spans="1:1" x14ac:dyDescent="0.3">
      <c r="A158" s="6"/>
    </row>
    <row r="159" spans="1:1" x14ac:dyDescent="0.3">
      <c r="A159" s="6"/>
    </row>
    <row r="160" spans="1:1" x14ac:dyDescent="0.3">
      <c r="A160" s="6"/>
    </row>
    <row r="161" spans="1:1" x14ac:dyDescent="0.3">
      <c r="A161" s="6"/>
    </row>
    <row r="162" spans="1:1" x14ac:dyDescent="0.3">
      <c r="A162" s="6"/>
    </row>
    <row r="163" spans="1:1" x14ac:dyDescent="0.3">
      <c r="A163" s="6"/>
    </row>
    <row r="164" spans="1:1" x14ac:dyDescent="0.3">
      <c r="A164" s="6"/>
    </row>
    <row r="165" spans="1:1" x14ac:dyDescent="0.3">
      <c r="A165" s="6"/>
    </row>
    <row r="166" spans="1:1" x14ac:dyDescent="0.3">
      <c r="A166" s="6"/>
    </row>
    <row r="167" spans="1:1" x14ac:dyDescent="0.3">
      <c r="A167" s="6"/>
    </row>
    <row r="168" spans="1:1" x14ac:dyDescent="0.3">
      <c r="A168" s="6"/>
    </row>
    <row r="169" spans="1:1" x14ac:dyDescent="0.3">
      <c r="A169" s="6"/>
    </row>
    <row r="170" spans="1:1" x14ac:dyDescent="0.3">
      <c r="A170" s="6"/>
    </row>
    <row r="171" spans="1:1" x14ac:dyDescent="0.3">
      <c r="A171" s="6"/>
    </row>
    <row r="172" spans="1:1" x14ac:dyDescent="0.3">
      <c r="A172" s="6"/>
    </row>
    <row r="173" spans="1:1" x14ac:dyDescent="0.3">
      <c r="A173" s="6"/>
    </row>
    <row r="174" spans="1:1" x14ac:dyDescent="0.3">
      <c r="A174" s="6"/>
    </row>
    <row r="175" spans="1:1" x14ac:dyDescent="0.3">
      <c r="A175" s="6"/>
    </row>
    <row r="176" spans="1:1" x14ac:dyDescent="0.3">
      <c r="A176" s="6"/>
    </row>
    <row r="177" spans="1:1" x14ac:dyDescent="0.3">
      <c r="A177" s="6"/>
    </row>
    <row r="178" spans="1:1" x14ac:dyDescent="0.3">
      <c r="A178" s="6"/>
    </row>
    <row r="179" spans="1:1" x14ac:dyDescent="0.3">
      <c r="A179" s="6"/>
    </row>
    <row r="180" spans="1:1" x14ac:dyDescent="0.3">
      <c r="A180" s="6"/>
    </row>
    <row r="181" spans="1:1" x14ac:dyDescent="0.3">
      <c r="A181" s="6"/>
    </row>
    <row r="182" spans="1:1" x14ac:dyDescent="0.3">
      <c r="A182" s="6"/>
    </row>
    <row r="183" spans="1:1" x14ac:dyDescent="0.3">
      <c r="A183" s="6"/>
    </row>
    <row r="184" spans="1:1" x14ac:dyDescent="0.3">
      <c r="A184" s="6"/>
    </row>
    <row r="185" spans="1:1" x14ac:dyDescent="0.3">
      <c r="A185" s="6"/>
    </row>
    <row r="186" spans="1:1" x14ac:dyDescent="0.3">
      <c r="A186" s="6"/>
    </row>
    <row r="187" spans="1:1" x14ac:dyDescent="0.3">
      <c r="A187" s="6"/>
    </row>
    <row r="188" spans="1:1" x14ac:dyDescent="0.3">
      <c r="A188" s="6"/>
    </row>
    <row r="189" spans="1:1" x14ac:dyDescent="0.3">
      <c r="A189" s="6"/>
    </row>
    <row r="190" spans="1:1" x14ac:dyDescent="0.3">
      <c r="A190" s="6"/>
    </row>
    <row r="191" spans="1:1" x14ac:dyDescent="0.3">
      <c r="A191" s="6"/>
    </row>
    <row r="192" spans="1:1" x14ac:dyDescent="0.3">
      <c r="A192" s="6"/>
    </row>
    <row r="193" spans="1:1" x14ac:dyDescent="0.3">
      <c r="A193" s="6"/>
    </row>
    <row r="194" spans="1:1" x14ac:dyDescent="0.3">
      <c r="A194" s="6"/>
    </row>
    <row r="195" spans="1:1" x14ac:dyDescent="0.3">
      <c r="A195" s="6"/>
    </row>
    <row r="196" spans="1:1" x14ac:dyDescent="0.3">
      <c r="A196" s="6"/>
    </row>
    <row r="197" spans="1:1" x14ac:dyDescent="0.3">
      <c r="A197" s="6"/>
    </row>
    <row r="198" spans="1:1" x14ac:dyDescent="0.3">
      <c r="A198" s="6"/>
    </row>
    <row r="199" spans="1:1" x14ac:dyDescent="0.3">
      <c r="A199" s="6"/>
    </row>
    <row r="200" spans="1:1" x14ac:dyDescent="0.3">
      <c r="A200" s="6"/>
    </row>
    <row r="201" spans="1:1" x14ac:dyDescent="0.3">
      <c r="A201" s="6"/>
    </row>
    <row r="202" spans="1:1" x14ac:dyDescent="0.3">
      <c r="A202" s="6"/>
    </row>
    <row r="203" spans="1:1" x14ac:dyDescent="0.3">
      <c r="A203" s="6"/>
    </row>
    <row r="204" spans="1:1" x14ac:dyDescent="0.3">
      <c r="A204" s="6"/>
    </row>
    <row r="205" spans="1:1" x14ac:dyDescent="0.3">
      <c r="A205" s="6"/>
    </row>
    <row r="206" spans="1:1" x14ac:dyDescent="0.3">
      <c r="A206" s="6"/>
    </row>
    <row r="207" spans="1:1" x14ac:dyDescent="0.3">
      <c r="A207" s="6"/>
    </row>
    <row r="208" spans="1:1" x14ac:dyDescent="0.3">
      <c r="A208" s="6"/>
    </row>
    <row r="209" spans="1:1" x14ac:dyDescent="0.3">
      <c r="A209" s="6"/>
    </row>
    <row r="210" spans="1:1" x14ac:dyDescent="0.3">
      <c r="A210" s="6"/>
    </row>
    <row r="211" spans="1:1" x14ac:dyDescent="0.3">
      <c r="A211" s="6"/>
    </row>
    <row r="212" spans="1:1" x14ac:dyDescent="0.3">
      <c r="A212" s="6"/>
    </row>
    <row r="213" spans="1:1" x14ac:dyDescent="0.3">
      <c r="A213" s="6"/>
    </row>
    <row r="214" spans="1:1" x14ac:dyDescent="0.3">
      <c r="A214" s="6"/>
    </row>
    <row r="215" spans="1:1" x14ac:dyDescent="0.3">
      <c r="A215" s="6"/>
    </row>
    <row r="216" spans="1:1" x14ac:dyDescent="0.3">
      <c r="A216" s="6"/>
    </row>
    <row r="217" spans="1:1" x14ac:dyDescent="0.3">
      <c r="A217" s="6"/>
    </row>
    <row r="218" spans="1:1" x14ac:dyDescent="0.3">
      <c r="A218" s="6"/>
    </row>
    <row r="219" spans="1:1" x14ac:dyDescent="0.3">
      <c r="A219" s="6"/>
    </row>
    <row r="220" spans="1:1" x14ac:dyDescent="0.3">
      <c r="A220" s="6"/>
    </row>
    <row r="221" spans="1:1" x14ac:dyDescent="0.3">
      <c r="A221" s="6"/>
    </row>
    <row r="222" spans="1:1" x14ac:dyDescent="0.3">
      <c r="A222" s="6"/>
    </row>
    <row r="223" spans="1:1" x14ac:dyDescent="0.3">
      <c r="A223" s="6"/>
    </row>
    <row r="224" spans="1:1" x14ac:dyDescent="0.3">
      <c r="A224" s="6"/>
    </row>
    <row r="225" spans="1:1" x14ac:dyDescent="0.3">
      <c r="A225" s="6"/>
    </row>
    <row r="226" spans="1:1" x14ac:dyDescent="0.3">
      <c r="A226" s="6"/>
    </row>
    <row r="227" spans="1:1" x14ac:dyDescent="0.3">
      <c r="A227" s="6"/>
    </row>
    <row r="228" spans="1:1" x14ac:dyDescent="0.3">
      <c r="A228" s="6"/>
    </row>
    <row r="229" spans="1:1" x14ac:dyDescent="0.3">
      <c r="A229" s="6"/>
    </row>
    <row r="230" spans="1:1" x14ac:dyDescent="0.3">
      <c r="A230" s="6"/>
    </row>
    <row r="231" spans="1:1" x14ac:dyDescent="0.3">
      <c r="A231" s="6"/>
    </row>
    <row r="232" spans="1:1" x14ac:dyDescent="0.3">
      <c r="A232" s="6"/>
    </row>
    <row r="233" spans="1:1" x14ac:dyDescent="0.3">
      <c r="A233" s="6"/>
    </row>
    <row r="234" spans="1:1" x14ac:dyDescent="0.3">
      <c r="A234" s="6"/>
    </row>
    <row r="235" spans="1:1" x14ac:dyDescent="0.3">
      <c r="A235" s="6"/>
    </row>
    <row r="236" spans="1:1" x14ac:dyDescent="0.3">
      <c r="A236" s="6"/>
    </row>
    <row r="237" spans="1:1" x14ac:dyDescent="0.3">
      <c r="A237" s="6"/>
    </row>
    <row r="238" spans="1:1" x14ac:dyDescent="0.3">
      <c r="A238" s="6"/>
    </row>
    <row r="239" spans="1:1" x14ac:dyDescent="0.3">
      <c r="A239" s="6"/>
    </row>
    <row r="240" spans="1:1" x14ac:dyDescent="0.3">
      <c r="A240" s="6"/>
    </row>
    <row r="241" spans="1:1" x14ac:dyDescent="0.3">
      <c r="A241" s="6"/>
    </row>
    <row r="242" spans="1:1" x14ac:dyDescent="0.3">
      <c r="A242" s="6"/>
    </row>
    <row r="243" spans="1:1" x14ac:dyDescent="0.3">
      <c r="A243" s="6"/>
    </row>
    <row r="244" spans="1:1" x14ac:dyDescent="0.3">
      <c r="A244" s="6"/>
    </row>
    <row r="245" spans="1:1" x14ac:dyDescent="0.3">
      <c r="A245" s="6"/>
    </row>
    <row r="246" spans="1:1" x14ac:dyDescent="0.3">
      <c r="A246" s="6"/>
    </row>
    <row r="247" spans="1:1" x14ac:dyDescent="0.3">
      <c r="A247" s="6"/>
    </row>
    <row r="248" spans="1:1" x14ac:dyDescent="0.3">
      <c r="A248" s="6"/>
    </row>
    <row r="249" spans="1:1" x14ac:dyDescent="0.3">
      <c r="A249" s="6"/>
    </row>
    <row r="250" spans="1:1" x14ac:dyDescent="0.3">
      <c r="A250" s="6"/>
    </row>
    <row r="251" spans="1:1" x14ac:dyDescent="0.3">
      <c r="A251" s="6"/>
    </row>
    <row r="252" spans="1:1" x14ac:dyDescent="0.3">
      <c r="A252" s="6"/>
    </row>
    <row r="253" spans="1:1" x14ac:dyDescent="0.3">
      <c r="A253" s="6"/>
    </row>
    <row r="254" spans="1:1" x14ac:dyDescent="0.3">
      <c r="A254" s="6"/>
    </row>
    <row r="255" spans="1:1" x14ac:dyDescent="0.3">
      <c r="A255" s="6"/>
    </row>
    <row r="256" spans="1:1" x14ac:dyDescent="0.3">
      <c r="A256" s="6"/>
    </row>
    <row r="257" spans="1:1" x14ac:dyDescent="0.3">
      <c r="A257" s="6"/>
    </row>
    <row r="258" spans="1:1" x14ac:dyDescent="0.3">
      <c r="A258" s="6"/>
    </row>
    <row r="259" spans="1:1" x14ac:dyDescent="0.3">
      <c r="A259" s="6"/>
    </row>
    <row r="260" spans="1:1" x14ac:dyDescent="0.3">
      <c r="A260" s="6"/>
    </row>
    <row r="261" spans="1:1" x14ac:dyDescent="0.3">
      <c r="A261" s="6"/>
    </row>
    <row r="262" spans="1:1" x14ac:dyDescent="0.3">
      <c r="A262" s="6"/>
    </row>
    <row r="263" spans="1:1" x14ac:dyDescent="0.3">
      <c r="A263" s="6"/>
    </row>
    <row r="264" spans="1:1" x14ac:dyDescent="0.3">
      <c r="A264" s="6"/>
    </row>
    <row r="265" spans="1:1" x14ac:dyDescent="0.3">
      <c r="A265" s="6"/>
    </row>
    <row r="266" spans="1:1" x14ac:dyDescent="0.3">
      <c r="A266" s="6"/>
    </row>
    <row r="267" spans="1:1" x14ac:dyDescent="0.3">
      <c r="A267" s="6"/>
    </row>
    <row r="268" spans="1:1" x14ac:dyDescent="0.3">
      <c r="A268" s="6"/>
    </row>
    <row r="269" spans="1:1" x14ac:dyDescent="0.3">
      <c r="A269" s="6"/>
    </row>
    <row r="270" spans="1:1" x14ac:dyDescent="0.3">
      <c r="A270" s="6"/>
    </row>
    <row r="271" spans="1:1" x14ac:dyDescent="0.3">
      <c r="A271" s="6"/>
    </row>
    <row r="272" spans="1:1" x14ac:dyDescent="0.3">
      <c r="A272" s="6"/>
    </row>
    <row r="273" spans="1:1" x14ac:dyDescent="0.3">
      <c r="A273" s="6"/>
    </row>
    <row r="274" spans="1:1" x14ac:dyDescent="0.3">
      <c r="A274" s="6"/>
    </row>
    <row r="275" spans="1:1" x14ac:dyDescent="0.3">
      <c r="A275" s="6"/>
    </row>
    <row r="276" spans="1:1" x14ac:dyDescent="0.3">
      <c r="A276" s="6"/>
    </row>
    <row r="277" spans="1:1" x14ac:dyDescent="0.3">
      <c r="A277" s="6"/>
    </row>
    <row r="278" spans="1:1" x14ac:dyDescent="0.3">
      <c r="A278" s="6"/>
    </row>
    <row r="279" spans="1:1" x14ac:dyDescent="0.3">
      <c r="A279" s="6"/>
    </row>
    <row r="280" spans="1:1" x14ac:dyDescent="0.3">
      <c r="A280" s="6"/>
    </row>
    <row r="281" spans="1:1" x14ac:dyDescent="0.3">
      <c r="A281" s="6"/>
    </row>
    <row r="282" spans="1:1" x14ac:dyDescent="0.3">
      <c r="A282" s="6"/>
    </row>
    <row r="283" spans="1:1" x14ac:dyDescent="0.3">
      <c r="A283" s="6"/>
    </row>
    <row r="284" spans="1:1" x14ac:dyDescent="0.3">
      <c r="A284" s="6"/>
    </row>
    <row r="285" spans="1:1" x14ac:dyDescent="0.3">
      <c r="A285" s="6"/>
    </row>
    <row r="286" spans="1:1" x14ac:dyDescent="0.3">
      <c r="A286" s="6"/>
    </row>
    <row r="287" spans="1:1" x14ac:dyDescent="0.3">
      <c r="A287" s="6"/>
    </row>
    <row r="288" spans="1:1" x14ac:dyDescent="0.3">
      <c r="A288" s="6"/>
    </row>
    <row r="289" spans="1:1" x14ac:dyDescent="0.3">
      <c r="A289" s="6"/>
    </row>
    <row r="290" spans="1:1" x14ac:dyDescent="0.3">
      <c r="A290" s="6"/>
    </row>
    <row r="291" spans="1:1" x14ac:dyDescent="0.3">
      <c r="A291" s="6"/>
    </row>
    <row r="292" spans="1:1" x14ac:dyDescent="0.3">
      <c r="A292" s="6"/>
    </row>
    <row r="293" spans="1:1" x14ac:dyDescent="0.3">
      <c r="A293" s="6"/>
    </row>
    <row r="294" spans="1:1" x14ac:dyDescent="0.3">
      <c r="A294" s="6"/>
    </row>
    <row r="295" spans="1:1" x14ac:dyDescent="0.3">
      <c r="A295" s="6"/>
    </row>
    <row r="296" spans="1:1" x14ac:dyDescent="0.3">
      <c r="A296" s="6"/>
    </row>
    <row r="297" spans="1:1" x14ac:dyDescent="0.3">
      <c r="A297" s="6"/>
    </row>
    <row r="298" spans="1:1" x14ac:dyDescent="0.3">
      <c r="A298" s="6"/>
    </row>
    <row r="299" spans="1:1" x14ac:dyDescent="0.3">
      <c r="A299" s="6"/>
    </row>
    <row r="300" spans="1:1" x14ac:dyDescent="0.3">
      <c r="A300" s="6"/>
    </row>
    <row r="301" spans="1:1" x14ac:dyDescent="0.3">
      <c r="A301" s="6"/>
    </row>
    <row r="302" spans="1:1" x14ac:dyDescent="0.3">
      <c r="A302" s="6"/>
    </row>
    <row r="303" spans="1:1" x14ac:dyDescent="0.3">
      <c r="A303" s="6"/>
    </row>
    <row r="304" spans="1:1" x14ac:dyDescent="0.3">
      <c r="A304" s="6"/>
    </row>
    <row r="305" spans="1:1" x14ac:dyDescent="0.3">
      <c r="A305" s="6"/>
    </row>
    <row r="306" spans="1:1" x14ac:dyDescent="0.3">
      <c r="A306" s="6"/>
    </row>
    <row r="307" spans="1:1" x14ac:dyDescent="0.3">
      <c r="A307" s="6"/>
    </row>
    <row r="308" spans="1:1" x14ac:dyDescent="0.3">
      <c r="A308" s="6"/>
    </row>
    <row r="309" spans="1:1" x14ac:dyDescent="0.3">
      <c r="A309" s="6"/>
    </row>
    <row r="310" spans="1:1" x14ac:dyDescent="0.3">
      <c r="A310" s="6"/>
    </row>
    <row r="311" spans="1:1" x14ac:dyDescent="0.3">
      <c r="A311" s="6"/>
    </row>
    <row r="312" spans="1:1" x14ac:dyDescent="0.3">
      <c r="A312" s="6"/>
    </row>
    <row r="313" spans="1:1" x14ac:dyDescent="0.3">
      <c r="A313" s="6"/>
    </row>
    <row r="314" spans="1:1" x14ac:dyDescent="0.3">
      <c r="A314" s="6"/>
    </row>
    <row r="315" spans="1:1" x14ac:dyDescent="0.3">
      <c r="A315" s="6"/>
    </row>
    <row r="316" spans="1:1" x14ac:dyDescent="0.3">
      <c r="A316" s="6"/>
    </row>
    <row r="317" spans="1:1" x14ac:dyDescent="0.3">
      <c r="A317" s="6"/>
    </row>
    <row r="318" spans="1:1" x14ac:dyDescent="0.3">
      <c r="A318" s="6"/>
    </row>
    <row r="319" spans="1:1" x14ac:dyDescent="0.3">
      <c r="A319" s="6"/>
    </row>
    <row r="320" spans="1:1" x14ac:dyDescent="0.3">
      <c r="A320" s="6"/>
    </row>
    <row r="321" spans="1:1" x14ac:dyDescent="0.3">
      <c r="A321" s="6"/>
    </row>
    <row r="322" spans="1:1" x14ac:dyDescent="0.3">
      <c r="A322" s="6"/>
    </row>
    <row r="323" spans="1:1" x14ac:dyDescent="0.3">
      <c r="A323" s="6"/>
    </row>
    <row r="324" spans="1:1" x14ac:dyDescent="0.3">
      <c r="A324" s="6"/>
    </row>
    <row r="325" spans="1:1" x14ac:dyDescent="0.3">
      <c r="A325" s="6"/>
    </row>
    <row r="326" spans="1:1" x14ac:dyDescent="0.3">
      <c r="A326" s="6"/>
    </row>
    <row r="327" spans="1:1" x14ac:dyDescent="0.3">
      <c r="A327" s="6"/>
    </row>
    <row r="328" spans="1:1" x14ac:dyDescent="0.3">
      <c r="A328" s="6"/>
    </row>
    <row r="329" spans="1:1" x14ac:dyDescent="0.3">
      <c r="A329" s="6"/>
    </row>
    <row r="330" spans="1:1" x14ac:dyDescent="0.3">
      <c r="A330" s="6"/>
    </row>
    <row r="331" spans="1:1" x14ac:dyDescent="0.3">
      <c r="A331" s="6"/>
    </row>
    <row r="332" spans="1:1" x14ac:dyDescent="0.3">
      <c r="A332" s="6"/>
    </row>
    <row r="333" spans="1:1" x14ac:dyDescent="0.3">
      <c r="A333" s="6"/>
    </row>
    <row r="334" spans="1:1" x14ac:dyDescent="0.3">
      <c r="A334" s="6"/>
    </row>
    <row r="335" spans="1:1" x14ac:dyDescent="0.3">
      <c r="A335" s="6"/>
    </row>
    <row r="336" spans="1:1" x14ac:dyDescent="0.3">
      <c r="A336" s="6"/>
    </row>
    <row r="337" spans="1:1" x14ac:dyDescent="0.3">
      <c r="A337" s="6"/>
    </row>
    <row r="338" spans="1:1" x14ac:dyDescent="0.3">
      <c r="A338" s="6"/>
    </row>
    <row r="339" spans="1:1" x14ac:dyDescent="0.3">
      <c r="A339" s="6"/>
    </row>
    <row r="340" spans="1:1" x14ac:dyDescent="0.3">
      <c r="A340" s="6"/>
    </row>
    <row r="341" spans="1:1" x14ac:dyDescent="0.3">
      <c r="A341" s="6"/>
    </row>
    <row r="342" spans="1:1" x14ac:dyDescent="0.3">
      <c r="A342" s="6"/>
    </row>
    <row r="343" spans="1:1" x14ac:dyDescent="0.3">
      <c r="A343" s="6"/>
    </row>
    <row r="344" spans="1:1" x14ac:dyDescent="0.3">
      <c r="A344" s="6"/>
    </row>
    <row r="345" spans="1:1" x14ac:dyDescent="0.3">
      <c r="A345" s="6"/>
    </row>
    <row r="346" spans="1:1" x14ac:dyDescent="0.3">
      <c r="A346" s="6"/>
    </row>
    <row r="347" spans="1:1" x14ac:dyDescent="0.3">
      <c r="A347" s="6"/>
    </row>
    <row r="348" spans="1:1" x14ac:dyDescent="0.3">
      <c r="A348" s="6"/>
    </row>
    <row r="349" spans="1:1" x14ac:dyDescent="0.3">
      <c r="A349" s="6"/>
    </row>
    <row r="350" spans="1:1" x14ac:dyDescent="0.3">
      <c r="A350" s="6"/>
    </row>
    <row r="351" spans="1:1" x14ac:dyDescent="0.3">
      <c r="A351" s="6"/>
    </row>
    <row r="352" spans="1:1" x14ac:dyDescent="0.3">
      <c r="A352" s="6"/>
    </row>
    <row r="353" spans="1:1" x14ac:dyDescent="0.3">
      <c r="A353" s="6"/>
    </row>
    <row r="354" spans="1:1" x14ac:dyDescent="0.3">
      <c r="A354" s="6"/>
    </row>
    <row r="355" spans="1:1" x14ac:dyDescent="0.3">
      <c r="A355" s="6"/>
    </row>
    <row r="356" spans="1:1" x14ac:dyDescent="0.3">
      <c r="A356" s="6"/>
    </row>
    <row r="357" spans="1:1" x14ac:dyDescent="0.3">
      <c r="A357" s="6"/>
    </row>
    <row r="358" spans="1:1" x14ac:dyDescent="0.3">
      <c r="A358" s="6"/>
    </row>
    <row r="359" spans="1:1" x14ac:dyDescent="0.3">
      <c r="A359" s="6"/>
    </row>
    <row r="360" spans="1:1" x14ac:dyDescent="0.3">
      <c r="A360" s="6"/>
    </row>
    <row r="361" spans="1:1" x14ac:dyDescent="0.3">
      <c r="A361" s="6"/>
    </row>
    <row r="362" spans="1:1" x14ac:dyDescent="0.3">
      <c r="A362" s="6"/>
    </row>
    <row r="363" spans="1:1" x14ac:dyDescent="0.3">
      <c r="A363" s="6"/>
    </row>
    <row r="364" spans="1:1" x14ac:dyDescent="0.3">
      <c r="A364" s="6"/>
    </row>
    <row r="365" spans="1:1" x14ac:dyDescent="0.3">
      <c r="A365" s="6"/>
    </row>
    <row r="366" spans="1:1" x14ac:dyDescent="0.3">
      <c r="A366" s="6"/>
    </row>
    <row r="367" spans="1:1" x14ac:dyDescent="0.3">
      <c r="A367" s="6"/>
    </row>
    <row r="368" spans="1:1" x14ac:dyDescent="0.3">
      <c r="A368" s="6"/>
    </row>
    <row r="369" spans="1:1" x14ac:dyDescent="0.3">
      <c r="A369" s="6"/>
    </row>
    <row r="370" spans="1:1" x14ac:dyDescent="0.3">
      <c r="A370" s="6"/>
    </row>
    <row r="371" spans="1:1" x14ac:dyDescent="0.3">
      <c r="A371" s="6"/>
    </row>
    <row r="372" spans="1:1" x14ac:dyDescent="0.3">
      <c r="A372" s="6"/>
    </row>
    <row r="373" spans="1:1" x14ac:dyDescent="0.3">
      <c r="A373" s="6"/>
    </row>
    <row r="374" spans="1:1" x14ac:dyDescent="0.3">
      <c r="A374" s="6"/>
    </row>
    <row r="375" spans="1:1" x14ac:dyDescent="0.3">
      <c r="A375" s="6"/>
    </row>
    <row r="376" spans="1:1" x14ac:dyDescent="0.3">
      <c r="A376" s="6"/>
    </row>
    <row r="377" spans="1:1" x14ac:dyDescent="0.3">
      <c r="A377" s="6"/>
    </row>
    <row r="378" spans="1:1" x14ac:dyDescent="0.3">
      <c r="A378" s="6"/>
    </row>
    <row r="379" spans="1:1" x14ac:dyDescent="0.3">
      <c r="A379" s="6"/>
    </row>
    <row r="380" spans="1:1" x14ac:dyDescent="0.3">
      <c r="A380" s="6"/>
    </row>
    <row r="381" spans="1:1" x14ac:dyDescent="0.3">
      <c r="A381" s="6"/>
    </row>
    <row r="382" spans="1:1" x14ac:dyDescent="0.3">
      <c r="A382" s="6"/>
    </row>
    <row r="383" spans="1:1" x14ac:dyDescent="0.3">
      <c r="A383" s="6"/>
    </row>
    <row r="384" spans="1:1" x14ac:dyDescent="0.3">
      <c r="A384" s="6"/>
    </row>
    <row r="385" spans="1:1" x14ac:dyDescent="0.3">
      <c r="A385" s="6"/>
    </row>
    <row r="386" spans="1:1" x14ac:dyDescent="0.3">
      <c r="A386" s="6"/>
    </row>
    <row r="387" spans="1:1" x14ac:dyDescent="0.3">
      <c r="A387" s="6"/>
    </row>
    <row r="388" spans="1:1" x14ac:dyDescent="0.3">
      <c r="A388" s="6"/>
    </row>
    <row r="389" spans="1:1" x14ac:dyDescent="0.3">
      <c r="A389" s="6"/>
    </row>
    <row r="390" spans="1:1" x14ac:dyDescent="0.3">
      <c r="A390" s="6"/>
    </row>
    <row r="391" spans="1:1" x14ac:dyDescent="0.3">
      <c r="A391" s="6"/>
    </row>
    <row r="392" spans="1:1" x14ac:dyDescent="0.3">
      <c r="A392" s="6"/>
    </row>
    <row r="393" spans="1:1" x14ac:dyDescent="0.3">
      <c r="A393" s="6"/>
    </row>
    <row r="394" spans="1:1" x14ac:dyDescent="0.3">
      <c r="A394" s="6"/>
    </row>
    <row r="395" spans="1:1" x14ac:dyDescent="0.3">
      <c r="A395" s="6"/>
    </row>
    <row r="396" spans="1:1" x14ac:dyDescent="0.3">
      <c r="A396" s="6"/>
    </row>
    <row r="397" spans="1:1" x14ac:dyDescent="0.3">
      <c r="A397" s="6"/>
    </row>
    <row r="398" spans="1:1" x14ac:dyDescent="0.3">
      <c r="A398" s="6"/>
    </row>
    <row r="399" spans="1:1" x14ac:dyDescent="0.3">
      <c r="A399" s="6"/>
    </row>
    <row r="400" spans="1:1" x14ac:dyDescent="0.3">
      <c r="A400" s="6"/>
    </row>
    <row r="401" spans="1:1" x14ac:dyDescent="0.3">
      <c r="A401" s="6"/>
    </row>
    <row r="402" spans="1:1" x14ac:dyDescent="0.3">
      <c r="A402" s="6"/>
    </row>
    <row r="403" spans="1:1" x14ac:dyDescent="0.3">
      <c r="A403" s="6"/>
    </row>
    <row r="404" spans="1:1" x14ac:dyDescent="0.3">
      <c r="A404" s="6"/>
    </row>
    <row r="405" spans="1:1" x14ac:dyDescent="0.3">
      <c r="A405" s="6"/>
    </row>
    <row r="406" spans="1:1" x14ac:dyDescent="0.3">
      <c r="A406" s="6"/>
    </row>
    <row r="407" spans="1:1" x14ac:dyDescent="0.3">
      <c r="A407" s="6"/>
    </row>
    <row r="408" spans="1:1" x14ac:dyDescent="0.3">
      <c r="A408" s="6"/>
    </row>
    <row r="409" spans="1:1" x14ac:dyDescent="0.3">
      <c r="A409" s="6"/>
    </row>
    <row r="410" spans="1:1" x14ac:dyDescent="0.3">
      <c r="A410" s="6"/>
    </row>
    <row r="411" spans="1:1" x14ac:dyDescent="0.3">
      <c r="A411" s="6"/>
    </row>
    <row r="412" spans="1:1" x14ac:dyDescent="0.3">
      <c r="A412" s="6"/>
    </row>
    <row r="413" spans="1:1" x14ac:dyDescent="0.3">
      <c r="A413" s="6"/>
    </row>
    <row r="414" spans="1:1" x14ac:dyDescent="0.3">
      <c r="A414" s="6"/>
    </row>
    <row r="415" spans="1:1" x14ac:dyDescent="0.3">
      <c r="A415" s="6"/>
    </row>
    <row r="416" spans="1:1" x14ac:dyDescent="0.3">
      <c r="A416" s="6"/>
    </row>
    <row r="417" spans="1:1" x14ac:dyDescent="0.3">
      <c r="A417" s="6"/>
    </row>
    <row r="418" spans="1:1" x14ac:dyDescent="0.3">
      <c r="A418" s="6"/>
    </row>
    <row r="419" spans="1:1" x14ac:dyDescent="0.3">
      <c r="A419" s="6"/>
    </row>
    <row r="420" spans="1:1" x14ac:dyDescent="0.3">
      <c r="A420" s="6"/>
    </row>
    <row r="421" spans="1:1" x14ac:dyDescent="0.3">
      <c r="A421" s="6"/>
    </row>
    <row r="422" spans="1:1" x14ac:dyDescent="0.3">
      <c r="A422" s="6"/>
    </row>
    <row r="423" spans="1:1" x14ac:dyDescent="0.3">
      <c r="A423" s="6"/>
    </row>
    <row r="424" spans="1:1" x14ac:dyDescent="0.3">
      <c r="A424" s="6"/>
    </row>
    <row r="425" spans="1:1" x14ac:dyDescent="0.3">
      <c r="A425" s="6"/>
    </row>
    <row r="426" spans="1:1" x14ac:dyDescent="0.3">
      <c r="A426" s="6"/>
    </row>
    <row r="427" spans="1:1" x14ac:dyDescent="0.3">
      <c r="A427" s="6"/>
    </row>
    <row r="428" spans="1:1" x14ac:dyDescent="0.3">
      <c r="A428" s="6"/>
    </row>
    <row r="429" spans="1:1" x14ac:dyDescent="0.3">
      <c r="A429" s="6"/>
    </row>
    <row r="430" spans="1:1" x14ac:dyDescent="0.3">
      <c r="A430" s="6"/>
    </row>
    <row r="431" spans="1:1" x14ac:dyDescent="0.3">
      <c r="A431" s="6"/>
    </row>
    <row r="432" spans="1:1" x14ac:dyDescent="0.3">
      <c r="A432" s="6"/>
    </row>
    <row r="433" spans="1:1" x14ac:dyDescent="0.3">
      <c r="A433" s="6"/>
    </row>
    <row r="434" spans="1:1" x14ac:dyDescent="0.3">
      <c r="A434" s="6"/>
    </row>
    <row r="435" spans="1:1" x14ac:dyDescent="0.3">
      <c r="A435" s="6"/>
    </row>
    <row r="436" spans="1:1" x14ac:dyDescent="0.3">
      <c r="A436" s="6"/>
    </row>
    <row r="437" spans="1:1" x14ac:dyDescent="0.3">
      <c r="A437" s="6"/>
    </row>
    <row r="438" spans="1:1" x14ac:dyDescent="0.3">
      <c r="A438" s="6"/>
    </row>
    <row r="439" spans="1:1" x14ac:dyDescent="0.3">
      <c r="A439" s="6"/>
    </row>
    <row r="440" spans="1:1" x14ac:dyDescent="0.3">
      <c r="A440" s="6"/>
    </row>
    <row r="441" spans="1:1" x14ac:dyDescent="0.3">
      <c r="A441" s="6"/>
    </row>
    <row r="442" spans="1:1" x14ac:dyDescent="0.3">
      <c r="A442" s="6"/>
    </row>
    <row r="443" spans="1:1" x14ac:dyDescent="0.3">
      <c r="A443" s="6"/>
    </row>
    <row r="444" spans="1:1" x14ac:dyDescent="0.3">
      <c r="A444" s="6"/>
    </row>
    <row r="445" spans="1:1" x14ac:dyDescent="0.3">
      <c r="A445" s="6"/>
    </row>
    <row r="446" spans="1:1" x14ac:dyDescent="0.3">
      <c r="A446" s="6"/>
    </row>
    <row r="447" spans="1:1" x14ac:dyDescent="0.3">
      <c r="A447" s="6"/>
    </row>
    <row r="448" spans="1:1" x14ac:dyDescent="0.3">
      <c r="A448" s="6"/>
    </row>
    <row r="449" spans="1:1" x14ac:dyDescent="0.3">
      <c r="A449" s="6"/>
    </row>
    <row r="450" spans="1:1" x14ac:dyDescent="0.3">
      <c r="A450" s="6"/>
    </row>
    <row r="451" spans="1:1" x14ac:dyDescent="0.3">
      <c r="A451" s="6"/>
    </row>
    <row r="452" spans="1:1" x14ac:dyDescent="0.3">
      <c r="A452" s="6"/>
    </row>
    <row r="453" spans="1:1" x14ac:dyDescent="0.3">
      <c r="A453" s="6"/>
    </row>
    <row r="454" spans="1:1" x14ac:dyDescent="0.3">
      <c r="A454" s="6"/>
    </row>
    <row r="455" spans="1:1" x14ac:dyDescent="0.3">
      <c r="A455" s="6"/>
    </row>
    <row r="456" spans="1:1" x14ac:dyDescent="0.3">
      <c r="A456" s="6"/>
    </row>
    <row r="457" spans="1:1" x14ac:dyDescent="0.3">
      <c r="A457" s="6"/>
    </row>
    <row r="458" spans="1:1" x14ac:dyDescent="0.3">
      <c r="A458" s="6"/>
    </row>
    <row r="459" spans="1:1" x14ac:dyDescent="0.3">
      <c r="A459" s="6"/>
    </row>
    <row r="460" spans="1:1" x14ac:dyDescent="0.3">
      <c r="A460" s="6"/>
    </row>
    <row r="461" spans="1:1" x14ac:dyDescent="0.3">
      <c r="A461" s="6"/>
    </row>
    <row r="462" spans="1:1" x14ac:dyDescent="0.3">
      <c r="A462" s="6"/>
    </row>
    <row r="463" spans="1:1" x14ac:dyDescent="0.3">
      <c r="A463" s="6"/>
    </row>
    <row r="464" spans="1:1" x14ac:dyDescent="0.3">
      <c r="A464" s="6"/>
    </row>
    <row r="465" spans="1:1" x14ac:dyDescent="0.3">
      <c r="A465" s="6"/>
    </row>
    <row r="466" spans="1:1" x14ac:dyDescent="0.3">
      <c r="A466" s="6"/>
    </row>
    <row r="467" spans="1:1" x14ac:dyDescent="0.3">
      <c r="A467" s="6"/>
    </row>
    <row r="468" spans="1:1" x14ac:dyDescent="0.3">
      <c r="A468" s="6"/>
    </row>
    <row r="469" spans="1:1" x14ac:dyDescent="0.3">
      <c r="A469" s="6"/>
    </row>
    <row r="470" spans="1:1" x14ac:dyDescent="0.3">
      <c r="A470" s="6"/>
    </row>
    <row r="471" spans="1:1" x14ac:dyDescent="0.3">
      <c r="A471" s="6"/>
    </row>
    <row r="472" spans="1:1" x14ac:dyDescent="0.3">
      <c r="A472" s="6"/>
    </row>
    <row r="473" spans="1:1" x14ac:dyDescent="0.3">
      <c r="A473" s="6"/>
    </row>
    <row r="474" spans="1:1" x14ac:dyDescent="0.3">
      <c r="A474" s="6"/>
    </row>
    <row r="475" spans="1:1" x14ac:dyDescent="0.3">
      <c r="A475" s="6"/>
    </row>
    <row r="476" spans="1:1" x14ac:dyDescent="0.3">
      <c r="A476" s="6"/>
    </row>
    <row r="477" spans="1:1" x14ac:dyDescent="0.3">
      <c r="A477" s="6"/>
    </row>
    <row r="478" spans="1:1" x14ac:dyDescent="0.3">
      <c r="A478" s="6"/>
    </row>
    <row r="479" spans="1:1" x14ac:dyDescent="0.3">
      <c r="A479" s="6"/>
    </row>
    <row r="480" spans="1:1" x14ac:dyDescent="0.3">
      <c r="A480" s="6"/>
    </row>
    <row r="481" spans="1:1" x14ac:dyDescent="0.3">
      <c r="A481" s="6"/>
    </row>
    <row r="482" spans="1:1" x14ac:dyDescent="0.3">
      <c r="A482" s="6"/>
    </row>
    <row r="483" spans="1:1" x14ac:dyDescent="0.3">
      <c r="A483" s="6"/>
    </row>
    <row r="484" spans="1:1" x14ac:dyDescent="0.3">
      <c r="A484" s="6"/>
    </row>
    <row r="485" spans="1:1" x14ac:dyDescent="0.3">
      <c r="A485" s="6"/>
    </row>
    <row r="486" spans="1:1" x14ac:dyDescent="0.3">
      <c r="A486" s="6"/>
    </row>
    <row r="487" spans="1:1" x14ac:dyDescent="0.3">
      <c r="A487" s="6"/>
    </row>
    <row r="488" spans="1:1" x14ac:dyDescent="0.3">
      <c r="A488" s="6"/>
    </row>
    <row r="489" spans="1:1" x14ac:dyDescent="0.3">
      <c r="A489" s="6"/>
    </row>
    <row r="490" spans="1:1" x14ac:dyDescent="0.3">
      <c r="A490" s="6"/>
    </row>
    <row r="491" spans="1:1" x14ac:dyDescent="0.3">
      <c r="A491" s="6"/>
    </row>
    <row r="492" spans="1:1" x14ac:dyDescent="0.3">
      <c r="A492" s="6"/>
    </row>
    <row r="493" spans="1:1" x14ac:dyDescent="0.3">
      <c r="A493" s="6"/>
    </row>
    <row r="494" spans="1:1" x14ac:dyDescent="0.3">
      <c r="A494" s="6"/>
    </row>
    <row r="495" spans="1:1" x14ac:dyDescent="0.3">
      <c r="A495" s="6"/>
    </row>
    <row r="496" spans="1:1" x14ac:dyDescent="0.3">
      <c r="A496" s="6"/>
    </row>
    <row r="497" spans="1:1" x14ac:dyDescent="0.3">
      <c r="A497" s="6"/>
    </row>
    <row r="498" spans="1:1" x14ac:dyDescent="0.3">
      <c r="A498" s="6"/>
    </row>
    <row r="499" spans="1:1" x14ac:dyDescent="0.3">
      <c r="A499" s="6"/>
    </row>
    <row r="500" spans="1:1" x14ac:dyDescent="0.3">
      <c r="A500" s="6"/>
    </row>
    <row r="501" spans="1:1" x14ac:dyDescent="0.3">
      <c r="A501" s="6"/>
    </row>
    <row r="502" spans="1:1" x14ac:dyDescent="0.3">
      <c r="A502" s="6"/>
    </row>
    <row r="503" spans="1:1" x14ac:dyDescent="0.3">
      <c r="A503" s="6"/>
    </row>
    <row r="504" spans="1:1" x14ac:dyDescent="0.3">
      <c r="A504" s="6"/>
    </row>
    <row r="505" spans="1:1" x14ac:dyDescent="0.3">
      <c r="A505" s="6"/>
    </row>
    <row r="506" spans="1:1" x14ac:dyDescent="0.3">
      <c r="A506" s="6"/>
    </row>
    <row r="507" spans="1:1" x14ac:dyDescent="0.3">
      <c r="A507" s="6"/>
    </row>
    <row r="508" spans="1:1" x14ac:dyDescent="0.3">
      <c r="A508" s="6"/>
    </row>
    <row r="509" spans="1:1" x14ac:dyDescent="0.3">
      <c r="A509" s="6"/>
    </row>
    <row r="510" spans="1:1" x14ac:dyDescent="0.3">
      <c r="A510" s="6"/>
    </row>
    <row r="511" spans="1:1" x14ac:dyDescent="0.3">
      <c r="A511" s="6"/>
    </row>
    <row r="512" spans="1:1" x14ac:dyDescent="0.3">
      <c r="A512" s="6"/>
    </row>
    <row r="513" spans="1:1" x14ac:dyDescent="0.3">
      <c r="A513" s="6"/>
    </row>
    <row r="514" spans="1:1" x14ac:dyDescent="0.3">
      <c r="A514" s="6"/>
    </row>
    <row r="515" spans="1:1" x14ac:dyDescent="0.3">
      <c r="A515" s="6"/>
    </row>
    <row r="516" spans="1:1" x14ac:dyDescent="0.3">
      <c r="A516" s="6"/>
    </row>
    <row r="517" spans="1:1" x14ac:dyDescent="0.3">
      <c r="A517" s="6"/>
    </row>
    <row r="518" spans="1:1" x14ac:dyDescent="0.3">
      <c r="A518" s="6"/>
    </row>
    <row r="519" spans="1:1" x14ac:dyDescent="0.3">
      <c r="A519" s="6"/>
    </row>
    <row r="520" spans="1:1" x14ac:dyDescent="0.3">
      <c r="A520" s="6"/>
    </row>
    <row r="521" spans="1:1" x14ac:dyDescent="0.3">
      <c r="A521" s="6"/>
    </row>
    <row r="522" spans="1:1" x14ac:dyDescent="0.3">
      <c r="A522" s="6"/>
    </row>
    <row r="523" spans="1:1" x14ac:dyDescent="0.3">
      <c r="A523" s="6"/>
    </row>
    <row r="524" spans="1:1" x14ac:dyDescent="0.3">
      <c r="A524" s="6"/>
    </row>
    <row r="525" spans="1:1" x14ac:dyDescent="0.3">
      <c r="A525" s="6"/>
    </row>
    <row r="526" spans="1:1" x14ac:dyDescent="0.3">
      <c r="A526" s="6"/>
    </row>
    <row r="527" spans="1:1" x14ac:dyDescent="0.3">
      <c r="A527" s="6"/>
    </row>
    <row r="528" spans="1:1" x14ac:dyDescent="0.3">
      <c r="A528" s="6"/>
    </row>
    <row r="529" spans="1:1" x14ac:dyDescent="0.3">
      <c r="A529" s="6"/>
    </row>
    <row r="530" spans="1:1" x14ac:dyDescent="0.3">
      <c r="A530" s="6"/>
    </row>
    <row r="531" spans="1:1" x14ac:dyDescent="0.3">
      <c r="A531" s="6"/>
    </row>
    <row r="532" spans="1:1" x14ac:dyDescent="0.3">
      <c r="A532" s="6"/>
    </row>
    <row r="533" spans="1:1" x14ac:dyDescent="0.3">
      <c r="A533" s="6"/>
    </row>
    <row r="534" spans="1:1" x14ac:dyDescent="0.3">
      <c r="A534" s="6"/>
    </row>
    <row r="535" spans="1:1" x14ac:dyDescent="0.3">
      <c r="A535" s="6"/>
    </row>
    <row r="536" spans="1:1" x14ac:dyDescent="0.3">
      <c r="A536" s="6"/>
    </row>
    <row r="537" spans="1:1" x14ac:dyDescent="0.3">
      <c r="A537" s="6"/>
    </row>
    <row r="538" spans="1:1" x14ac:dyDescent="0.3">
      <c r="A538" s="6"/>
    </row>
    <row r="539" spans="1:1" x14ac:dyDescent="0.3">
      <c r="A539" s="6"/>
    </row>
    <row r="540" spans="1:1" x14ac:dyDescent="0.3">
      <c r="A540" s="6"/>
    </row>
    <row r="541" spans="1:1" x14ac:dyDescent="0.3">
      <c r="A541" s="6"/>
    </row>
    <row r="542" spans="1:1" x14ac:dyDescent="0.3">
      <c r="A542" s="6"/>
    </row>
    <row r="543" spans="1:1" x14ac:dyDescent="0.3">
      <c r="A543" s="6"/>
    </row>
    <row r="544" spans="1:1" x14ac:dyDescent="0.3">
      <c r="A544" s="6"/>
    </row>
    <row r="545" spans="1:1" x14ac:dyDescent="0.3">
      <c r="A545" s="6"/>
    </row>
    <row r="546" spans="1:1" x14ac:dyDescent="0.3">
      <c r="A546" s="6"/>
    </row>
    <row r="547" spans="1:1" x14ac:dyDescent="0.3">
      <c r="A547" s="6"/>
    </row>
    <row r="548" spans="1:1" x14ac:dyDescent="0.3">
      <c r="A548" s="6"/>
    </row>
    <row r="549" spans="1:1" x14ac:dyDescent="0.3">
      <c r="A549" s="6"/>
    </row>
    <row r="550" spans="1:1" x14ac:dyDescent="0.3">
      <c r="A550" s="6"/>
    </row>
    <row r="551" spans="1:1" x14ac:dyDescent="0.3">
      <c r="A551" s="6"/>
    </row>
    <row r="552" spans="1:1" x14ac:dyDescent="0.3">
      <c r="A552" s="6"/>
    </row>
    <row r="553" spans="1:1" x14ac:dyDescent="0.3">
      <c r="A553" s="6"/>
    </row>
    <row r="554" spans="1:1" x14ac:dyDescent="0.3">
      <c r="A554" s="6"/>
    </row>
    <row r="555" spans="1:1" x14ac:dyDescent="0.3">
      <c r="A555" s="6"/>
    </row>
    <row r="556" spans="1:1" x14ac:dyDescent="0.3">
      <c r="A556" s="6"/>
    </row>
    <row r="557" spans="1:1" x14ac:dyDescent="0.3">
      <c r="A557" s="6"/>
    </row>
    <row r="558" spans="1:1" x14ac:dyDescent="0.3">
      <c r="A558" s="6"/>
    </row>
    <row r="559" spans="1:1" x14ac:dyDescent="0.3">
      <c r="A559" s="6"/>
    </row>
    <row r="560" spans="1:1" x14ac:dyDescent="0.3">
      <c r="A560" s="6"/>
    </row>
    <row r="561" spans="1:1" x14ac:dyDescent="0.3">
      <c r="A561" s="6"/>
    </row>
    <row r="562" spans="1:1" x14ac:dyDescent="0.3">
      <c r="A562" s="6"/>
    </row>
    <row r="563" spans="1:1" x14ac:dyDescent="0.3">
      <c r="A563" s="6"/>
    </row>
    <row r="564" spans="1:1" x14ac:dyDescent="0.3">
      <c r="A564" s="6"/>
    </row>
    <row r="565" spans="1:1" x14ac:dyDescent="0.3">
      <c r="A565" s="6"/>
    </row>
    <row r="566" spans="1:1" x14ac:dyDescent="0.3">
      <c r="A566" s="6"/>
    </row>
    <row r="567" spans="1:1" x14ac:dyDescent="0.3">
      <c r="A567" s="6"/>
    </row>
    <row r="568" spans="1:1" x14ac:dyDescent="0.3">
      <c r="A568" s="6"/>
    </row>
    <row r="569" spans="1:1" x14ac:dyDescent="0.3">
      <c r="A569" s="6"/>
    </row>
    <row r="570" spans="1:1" x14ac:dyDescent="0.3">
      <c r="A570" s="6"/>
    </row>
    <row r="571" spans="1:1" x14ac:dyDescent="0.3">
      <c r="A571" s="6"/>
    </row>
    <row r="572" spans="1:1" x14ac:dyDescent="0.3">
      <c r="A572" s="6"/>
    </row>
    <row r="573" spans="1:1" x14ac:dyDescent="0.3">
      <c r="A573" s="6"/>
    </row>
    <row r="574" spans="1:1" x14ac:dyDescent="0.3">
      <c r="A574" s="6"/>
    </row>
    <row r="575" spans="1:1" x14ac:dyDescent="0.3">
      <c r="A575" s="6"/>
    </row>
    <row r="576" spans="1:1" x14ac:dyDescent="0.3">
      <c r="A576" s="6"/>
    </row>
    <row r="577" spans="1:1" x14ac:dyDescent="0.3">
      <c r="A577" s="6"/>
    </row>
    <row r="578" spans="1:1" x14ac:dyDescent="0.3">
      <c r="A578" s="6"/>
    </row>
    <row r="579" spans="1:1" x14ac:dyDescent="0.3">
      <c r="A579" s="6"/>
    </row>
    <row r="580" spans="1:1" x14ac:dyDescent="0.3">
      <c r="A580" s="6"/>
    </row>
    <row r="581" spans="1:1" x14ac:dyDescent="0.3">
      <c r="A581" s="6"/>
    </row>
    <row r="582" spans="1:1" x14ac:dyDescent="0.3">
      <c r="A582" s="6"/>
    </row>
    <row r="583" spans="1:1" x14ac:dyDescent="0.3">
      <c r="A583" s="6"/>
    </row>
    <row r="584" spans="1:1" x14ac:dyDescent="0.3">
      <c r="A584" s="6"/>
    </row>
    <row r="585" spans="1:1" x14ac:dyDescent="0.3">
      <c r="A585" s="6"/>
    </row>
    <row r="586" spans="1:1" x14ac:dyDescent="0.3">
      <c r="A586" s="6"/>
    </row>
    <row r="587" spans="1:1" x14ac:dyDescent="0.3">
      <c r="A587" s="6"/>
    </row>
    <row r="588" spans="1:1" x14ac:dyDescent="0.3">
      <c r="A588" s="6"/>
    </row>
    <row r="589" spans="1:1" x14ac:dyDescent="0.3">
      <c r="A589" s="6"/>
    </row>
    <row r="590" spans="1:1" x14ac:dyDescent="0.3">
      <c r="A590" s="6"/>
    </row>
    <row r="591" spans="1:1" x14ac:dyDescent="0.3">
      <c r="A591" s="6"/>
    </row>
    <row r="592" spans="1:1" x14ac:dyDescent="0.3">
      <c r="A592" s="6"/>
    </row>
    <row r="593" spans="1:1" x14ac:dyDescent="0.3">
      <c r="A593" s="6"/>
    </row>
    <row r="594" spans="1:1" x14ac:dyDescent="0.3">
      <c r="A594" s="6"/>
    </row>
    <row r="595" spans="1:1" x14ac:dyDescent="0.3">
      <c r="A595" s="6"/>
    </row>
    <row r="596" spans="1:1" x14ac:dyDescent="0.3">
      <c r="A596" s="6"/>
    </row>
    <row r="597" spans="1:1" x14ac:dyDescent="0.3">
      <c r="A597" s="6"/>
    </row>
    <row r="598" spans="1:1" x14ac:dyDescent="0.3">
      <c r="A598" s="6"/>
    </row>
    <row r="599" spans="1:1" x14ac:dyDescent="0.3">
      <c r="A599" s="6"/>
    </row>
    <row r="600" spans="1:1" x14ac:dyDescent="0.3">
      <c r="A600" s="6"/>
    </row>
    <row r="601" spans="1:1" x14ac:dyDescent="0.3">
      <c r="A601" s="6"/>
    </row>
    <row r="602" spans="1:1" x14ac:dyDescent="0.3">
      <c r="A602" s="6"/>
    </row>
    <row r="603" spans="1:1" x14ac:dyDescent="0.3">
      <c r="A603" s="6"/>
    </row>
    <row r="604" spans="1:1" x14ac:dyDescent="0.3">
      <c r="A604" s="6"/>
    </row>
    <row r="605" spans="1:1" x14ac:dyDescent="0.3">
      <c r="A605" s="6"/>
    </row>
    <row r="606" spans="1:1" x14ac:dyDescent="0.3">
      <c r="A606" s="6"/>
    </row>
    <row r="607" spans="1:1" x14ac:dyDescent="0.3">
      <c r="A607" s="6"/>
    </row>
    <row r="608" spans="1:1" x14ac:dyDescent="0.3">
      <c r="A608" s="6"/>
    </row>
    <row r="609" spans="1:1" x14ac:dyDescent="0.3">
      <c r="A609" s="6"/>
    </row>
    <row r="610" spans="1:1" x14ac:dyDescent="0.3">
      <c r="A610" s="6"/>
    </row>
    <row r="611" spans="1:1" x14ac:dyDescent="0.3">
      <c r="A611" s="6"/>
    </row>
    <row r="612" spans="1:1" x14ac:dyDescent="0.3">
      <c r="A612" s="6"/>
    </row>
    <row r="613" spans="1:1" x14ac:dyDescent="0.3">
      <c r="A613" s="6"/>
    </row>
    <row r="614" spans="1:1" x14ac:dyDescent="0.3">
      <c r="A614" s="6"/>
    </row>
    <row r="615" spans="1:1" x14ac:dyDescent="0.3">
      <c r="A615" s="6"/>
    </row>
    <row r="616" spans="1:1" x14ac:dyDescent="0.3">
      <c r="A616" s="6"/>
    </row>
    <row r="617" spans="1:1" x14ac:dyDescent="0.3">
      <c r="A617" s="6"/>
    </row>
    <row r="618" spans="1:1" x14ac:dyDescent="0.3">
      <c r="A618" s="6"/>
    </row>
    <row r="619" spans="1:1" x14ac:dyDescent="0.3">
      <c r="A619" s="6"/>
    </row>
    <row r="620" spans="1:1" x14ac:dyDescent="0.3">
      <c r="A620" s="6"/>
    </row>
    <row r="621" spans="1:1" x14ac:dyDescent="0.3">
      <c r="A621" s="6"/>
    </row>
    <row r="622" spans="1:1" x14ac:dyDescent="0.3">
      <c r="A622" s="6"/>
    </row>
    <row r="623" spans="1:1" x14ac:dyDescent="0.3">
      <c r="A623" s="6"/>
    </row>
    <row r="624" spans="1:1" x14ac:dyDescent="0.3">
      <c r="A624" s="6"/>
    </row>
    <row r="625" spans="1:1" x14ac:dyDescent="0.3">
      <c r="A625" s="6"/>
    </row>
    <row r="626" spans="1:1" x14ac:dyDescent="0.3">
      <c r="A626" s="6"/>
    </row>
    <row r="627" spans="1:1" x14ac:dyDescent="0.3">
      <c r="A627" s="6"/>
    </row>
    <row r="628" spans="1:1" x14ac:dyDescent="0.3">
      <c r="A628" s="6"/>
    </row>
    <row r="629" spans="1:1" x14ac:dyDescent="0.3">
      <c r="A629" s="6"/>
    </row>
    <row r="630" spans="1:1" x14ac:dyDescent="0.3">
      <c r="A630" s="6"/>
    </row>
    <row r="631" spans="1:1" x14ac:dyDescent="0.3">
      <c r="A631" s="6"/>
    </row>
    <row r="632" spans="1:1" x14ac:dyDescent="0.3">
      <c r="A632" s="6"/>
    </row>
    <row r="633" spans="1:1" x14ac:dyDescent="0.3">
      <c r="A633" s="6"/>
    </row>
    <row r="634" spans="1:1" x14ac:dyDescent="0.3">
      <c r="A634" s="6"/>
    </row>
    <row r="635" spans="1:1" x14ac:dyDescent="0.3">
      <c r="A635" s="6"/>
    </row>
    <row r="636" spans="1:1" x14ac:dyDescent="0.3">
      <c r="A636" s="6"/>
    </row>
    <row r="637" spans="1:1" x14ac:dyDescent="0.3">
      <c r="A637" s="6"/>
    </row>
    <row r="638" spans="1:1" x14ac:dyDescent="0.3">
      <c r="A638" s="6"/>
    </row>
    <row r="639" spans="1:1" x14ac:dyDescent="0.3">
      <c r="A639" s="6"/>
    </row>
    <row r="640" spans="1:1" x14ac:dyDescent="0.3">
      <c r="A640" s="6"/>
    </row>
    <row r="641" spans="1:1" x14ac:dyDescent="0.3">
      <c r="A641" s="6"/>
    </row>
    <row r="642" spans="1:1" x14ac:dyDescent="0.3">
      <c r="A642" s="6"/>
    </row>
    <row r="643" spans="1:1" x14ac:dyDescent="0.3">
      <c r="A643" s="6"/>
    </row>
    <row r="644" spans="1:1" x14ac:dyDescent="0.3">
      <c r="A644" s="6"/>
    </row>
    <row r="645" spans="1:1" x14ac:dyDescent="0.3">
      <c r="A645" s="6"/>
    </row>
    <row r="646" spans="1:1" x14ac:dyDescent="0.3">
      <c r="A646" s="6"/>
    </row>
    <row r="647" spans="1:1" x14ac:dyDescent="0.3">
      <c r="A647" s="6"/>
    </row>
    <row r="648" spans="1:1" x14ac:dyDescent="0.3">
      <c r="A648" s="6"/>
    </row>
    <row r="649" spans="1:1" x14ac:dyDescent="0.3">
      <c r="A649" s="6"/>
    </row>
    <row r="650" spans="1:1" x14ac:dyDescent="0.3">
      <c r="A650" s="6"/>
    </row>
    <row r="651" spans="1:1" x14ac:dyDescent="0.3">
      <c r="A651" s="6"/>
    </row>
    <row r="652" spans="1:1" x14ac:dyDescent="0.3">
      <c r="A652" s="6"/>
    </row>
    <row r="653" spans="1:1" x14ac:dyDescent="0.3">
      <c r="A653" s="6"/>
    </row>
    <row r="654" spans="1:1" x14ac:dyDescent="0.3">
      <c r="A654" s="6"/>
    </row>
    <row r="655" spans="1:1" x14ac:dyDescent="0.3">
      <c r="A655" s="6"/>
    </row>
    <row r="656" spans="1:1" x14ac:dyDescent="0.3">
      <c r="A656" s="6"/>
    </row>
    <row r="657" spans="1:1" x14ac:dyDescent="0.3">
      <c r="A657" s="6"/>
    </row>
    <row r="658" spans="1:1" x14ac:dyDescent="0.3">
      <c r="A658" s="6"/>
    </row>
    <row r="659" spans="1:1" x14ac:dyDescent="0.3">
      <c r="A659" s="6"/>
    </row>
    <row r="660" spans="1:1" x14ac:dyDescent="0.3">
      <c r="A660" s="6"/>
    </row>
    <row r="661" spans="1:1" x14ac:dyDescent="0.3">
      <c r="A661" s="6"/>
    </row>
    <row r="662" spans="1:1" x14ac:dyDescent="0.3">
      <c r="A662" s="6"/>
    </row>
    <row r="663" spans="1:1" x14ac:dyDescent="0.3">
      <c r="A663" s="6"/>
    </row>
    <row r="664" spans="1:1" x14ac:dyDescent="0.3">
      <c r="A664" s="6"/>
    </row>
    <row r="665" spans="1:1" x14ac:dyDescent="0.3">
      <c r="A665" s="6"/>
    </row>
    <row r="666" spans="1:1" x14ac:dyDescent="0.3">
      <c r="A666" s="6"/>
    </row>
    <row r="667" spans="1:1" x14ac:dyDescent="0.3">
      <c r="A667" s="6"/>
    </row>
    <row r="668" spans="1:1" x14ac:dyDescent="0.3">
      <c r="A668" s="6"/>
    </row>
    <row r="669" spans="1:1" x14ac:dyDescent="0.3">
      <c r="A669" s="6"/>
    </row>
    <row r="670" spans="1:1" x14ac:dyDescent="0.3">
      <c r="A670" s="6"/>
    </row>
    <row r="671" spans="1:1" x14ac:dyDescent="0.3">
      <c r="A671" s="6"/>
    </row>
    <row r="672" spans="1:1" x14ac:dyDescent="0.3">
      <c r="A672" s="6"/>
    </row>
    <row r="673" spans="1:1" x14ac:dyDescent="0.3">
      <c r="A673" s="6"/>
    </row>
    <row r="674" spans="1:1" x14ac:dyDescent="0.3">
      <c r="A674" s="6"/>
    </row>
    <row r="675" spans="1:1" x14ac:dyDescent="0.3">
      <c r="A675" s="6"/>
    </row>
    <row r="676" spans="1:1" x14ac:dyDescent="0.3">
      <c r="A676" s="6"/>
    </row>
    <row r="677" spans="1:1" x14ac:dyDescent="0.3">
      <c r="A677" s="6"/>
    </row>
    <row r="678" spans="1:1" x14ac:dyDescent="0.3">
      <c r="A678" s="6"/>
    </row>
    <row r="679" spans="1:1" x14ac:dyDescent="0.3">
      <c r="A679" s="6"/>
    </row>
    <row r="680" spans="1:1" x14ac:dyDescent="0.3">
      <c r="A680" s="6"/>
    </row>
    <row r="681" spans="1:1" x14ac:dyDescent="0.3">
      <c r="A681" s="6"/>
    </row>
    <row r="682" spans="1:1" x14ac:dyDescent="0.3">
      <c r="A682" s="6"/>
    </row>
    <row r="683" spans="1:1" x14ac:dyDescent="0.3">
      <c r="A683" s="6"/>
    </row>
    <row r="684" spans="1:1" x14ac:dyDescent="0.3">
      <c r="A684" s="6"/>
    </row>
    <row r="685" spans="1:1" x14ac:dyDescent="0.3">
      <c r="A685" s="6"/>
    </row>
    <row r="686" spans="1:1" x14ac:dyDescent="0.3">
      <c r="A686" s="6"/>
    </row>
    <row r="687" spans="1:1" x14ac:dyDescent="0.3">
      <c r="A687" s="6"/>
    </row>
    <row r="688" spans="1:1" x14ac:dyDescent="0.3">
      <c r="A688" s="6"/>
    </row>
    <row r="689" spans="1:1" x14ac:dyDescent="0.3">
      <c r="A689" s="6"/>
    </row>
    <row r="690" spans="1:1" x14ac:dyDescent="0.3">
      <c r="A690" s="6"/>
    </row>
    <row r="691" spans="1:1" x14ac:dyDescent="0.3">
      <c r="A691" s="6"/>
    </row>
    <row r="692" spans="1:1" x14ac:dyDescent="0.3">
      <c r="A692" s="6"/>
    </row>
    <row r="693" spans="1:1" x14ac:dyDescent="0.3">
      <c r="A693" s="6"/>
    </row>
    <row r="694" spans="1:1" x14ac:dyDescent="0.3">
      <c r="A694" s="6"/>
    </row>
    <row r="695" spans="1:1" x14ac:dyDescent="0.3">
      <c r="A695" s="6"/>
    </row>
    <row r="696" spans="1:1" x14ac:dyDescent="0.3">
      <c r="A696" s="6"/>
    </row>
    <row r="697" spans="1:1" x14ac:dyDescent="0.3">
      <c r="A697" s="6"/>
    </row>
    <row r="698" spans="1:1" x14ac:dyDescent="0.3">
      <c r="A698" s="6"/>
    </row>
    <row r="699" spans="1:1" x14ac:dyDescent="0.3">
      <c r="A699" s="6"/>
    </row>
    <row r="700" spans="1:1" x14ac:dyDescent="0.3">
      <c r="A700" s="6"/>
    </row>
    <row r="701" spans="1:1" x14ac:dyDescent="0.3">
      <c r="A701" s="6"/>
    </row>
    <row r="702" spans="1:1" x14ac:dyDescent="0.3">
      <c r="A702" s="6"/>
    </row>
    <row r="703" spans="1:1" x14ac:dyDescent="0.3">
      <c r="A703" s="6"/>
    </row>
    <row r="704" spans="1:1" x14ac:dyDescent="0.3">
      <c r="A704" s="6"/>
    </row>
    <row r="705" spans="1:1" x14ac:dyDescent="0.3">
      <c r="A705" s="6"/>
    </row>
    <row r="706" spans="1:1" x14ac:dyDescent="0.3">
      <c r="A706" s="6"/>
    </row>
    <row r="707" spans="1:1" x14ac:dyDescent="0.3">
      <c r="A707" s="6"/>
    </row>
    <row r="708" spans="1:1" x14ac:dyDescent="0.3">
      <c r="A708" s="6"/>
    </row>
    <row r="709" spans="1:1" x14ac:dyDescent="0.3">
      <c r="A709" s="6"/>
    </row>
    <row r="710" spans="1:1" x14ac:dyDescent="0.3">
      <c r="A710" s="6"/>
    </row>
    <row r="711" spans="1:1" x14ac:dyDescent="0.3">
      <c r="A711" s="6"/>
    </row>
    <row r="712" spans="1:1" x14ac:dyDescent="0.3">
      <c r="A712" s="6"/>
    </row>
    <row r="713" spans="1:1" x14ac:dyDescent="0.3">
      <c r="A713" s="6"/>
    </row>
    <row r="714" spans="1:1" x14ac:dyDescent="0.3">
      <c r="A714" s="6"/>
    </row>
    <row r="715" spans="1:1" x14ac:dyDescent="0.3">
      <c r="A715" s="6"/>
    </row>
    <row r="716" spans="1:1" x14ac:dyDescent="0.3">
      <c r="A716" s="6"/>
    </row>
    <row r="717" spans="1:1" x14ac:dyDescent="0.3">
      <c r="A717" s="6"/>
    </row>
    <row r="718" spans="1:1" x14ac:dyDescent="0.3">
      <c r="A718" s="6"/>
    </row>
    <row r="719" spans="1:1" x14ac:dyDescent="0.3">
      <c r="A719" s="6"/>
    </row>
    <row r="720" spans="1:1" x14ac:dyDescent="0.3">
      <c r="A720" s="6"/>
    </row>
    <row r="721" spans="1:1" x14ac:dyDescent="0.3">
      <c r="A721" s="6"/>
    </row>
    <row r="722" spans="1:1" x14ac:dyDescent="0.3">
      <c r="A722" s="6"/>
    </row>
    <row r="723" spans="1:1" x14ac:dyDescent="0.3">
      <c r="A723" s="6"/>
    </row>
    <row r="724" spans="1:1" x14ac:dyDescent="0.3">
      <c r="A724" s="6"/>
    </row>
    <row r="725" spans="1:1" x14ac:dyDescent="0.3">
      <c r="A725" s="6"/>
    </row>
    <row r="726" spans="1:1" x14ac:dyDescent="0.3">
      <c r="A726" s="6"/>
    </row>
    <row r="727" spans="1:1" x14ac:dyDescent="0.3">
      <c r="A727" s="6"/>
    </row>
    <row r="728" spans="1:1" x14ac:dyDescent="0.3">
      <c r="A728" s="6"/>
    </row>
    <row r="729" spans="1:1" x14ac:dyDescent="0.3">
      <c r="A729" s="6"/>
    </row>
    <row r="730" spans="1:1" x14ac:dyDescent="0.3">
      <c r="A730" s="6"/>
    </row>
    <row r="731" spans="1:1" x14ac:dyDescent="0.3">
      <c r="A731" s="6"/>
    </row>
    <row r="732" spans="1:1" x14ac:dyDescent="0.3">
      <c r="A732" s="6"/>
    </row>
    <row r="733" spans="1:1" x14ac:dyDescent="0.3">
      <c r="A733" s="6"/>
    </row>
    <row r="734" spans="1:1" x14ac:dyDescent="0.3">
      <c r="A734" s="6"/>
    </row>
    <row r="735" spans="1:1" x14ac:dyDescent="0.3">
      <c r="A735" s="6"/>
    </row>
    <row r="736" spans="1:1" x14ac:dyDescent="0.3">
      <c r="A736" s="6"/>
    </row>
    <row r="737" spans="1:1" x14ac:dyDescent="0.3">
      <c r="A737" s="6"/>
    </row>
    <row r="738" spans="1:1" x14ac:dyDescent="0.3">
      <c r="A738" s="6"/>
    </row>
    <row r="739" spans="1:1" x14ac:dyDescent="0.3">
      <c r="A739" s="6"/>
    </row>
    <row r="740" spans="1:1" x14ac:dyDescent="0.3">
      <c r="A740" s="6"/>
    </row>
    <row r="741" spans="1:1" x14ac:dyDescent="0.3">
      <c r="A741" s="6"/>
    </row>
    <row r="742" spans="1:1" x14ac:dyDescent="0.3">
      <c r="A742" s="6"/>
    </row>
    <row r="743" spans="1:1" x14ac:dyDescent="0.3">
      <c r="A743" s="6"/>
    </row>
    <row r="744" spans="1:1" x14ac:dyDescent="0.3">
      <c r="A744" s="6"/>
    </row>
    <row r="745" spans="1:1" x14ac:dyDescent="0.3">
      <c r="A745" s="6"/>
    </row>
    <row r="746" spans="1:1" x14ac:dyDescent="0.3">
      <c r="A746" s="6"/>
    </row>
    <row r="747" spans="1:1" x14ac:dyDescent="0.3">
      <c r="A747" s="6"/>
    </row>
    <row r="748" spans="1:1" x14ac:dyDescent="0.3">
      <c r="A748" s="6"/>
    </row>
    <row r="749" spans="1:1" x14ac:dyDescent="0.3">
      <c r="A749" s="6"/>
    </row>
    <row r="750" spans="1:1" x14ac:dyDescent="0.3">
      <c r="A750" s="6"/>
    </row>
    <row r="751" spans="1:1" x14ac:dyDescent="0.3">
      <c r="A751" s="6"/>
    </row>
    <row r="752" spans="1:1" x14ac:dyDescent="0.3">
      <c r="A752" s="6"/>
    </row>
    <row r="753" spans="1:1" x14ac:dyDescent="0.3">
      <c r="A753" s="6"/>
    </row>
    <row r="754" spans="1:1" x14ac:dyDescent="0.3">
      <c r="A754" s="6"/>
    </row>
    <row r="755" spans="1:1" x14ac:dyDescent="0.3">
      <c r="A755" s="6"/>
    </row>
    <row r="756" spans="1:1" x14ac:dyDescent="0.3">
      <c r="A756" s="6"/>
    </row>
    <row r="757" spans="1:1" x14ac:dyDescent="0.3">
      <c r="A757" s="6"/>
    </row>
    <row r="758" spans="1:1" x14ac:dyDescent="0.3">
      <c r="A758" s="6"/>
    </row>
    <row r="759" spans="1:1" x14ac:dyDescent="0.3">
      <c r="A759" s="6"/>
    </row>
    <row r="760" spans="1:1" x14ac:dyDescent="0.3">
      <c r="A760" s="6"/>
    </row>
    <row r="761" spans="1:1" x14ac:dyDescent="0.3">
      <c r="A761" s="6"/>
    </row>
    <row r="762" spans="1:1" x14ac:dyDescent="0.3">
      <c r="A762" s="6"/>
    </row>
    <row r="763" spans="1:1" x14ac:dyDescent="0.3">
      <c r="A763" s="6"/>
    </row>
    <row r="764" spans="1:1" x14ac:dyDescent="0.3">
      <c r="A764" s="6"/>
    </row>
    <row r="765" spans="1:1" x14ac:dyDescent="0.3">
      <c r="A765" s="6"/>
    </row>
    <row r="766" spans="1:1" x14ac:dyDescent="0.3">
      <c r="A766" s="6"/>
    </row>
    <row r="767" spans="1:1" x14ac:dyDescent="0.3">
      <c r="A767" s="6"/>
    </row>
    <row r="768" spans="1:1" x14ac:dyDescent="0.3">
      <c r="A768" s="6"/>
    </row>
    <row r="769" spans="1:1" x14ac:dyDescent="0.3">
      <c r="A769" s="6"/>
    </row>
    <row r="770" spans="1:1" x14ac:dyDescent="0.3">
      <c r="A770" s="6"/>
    </row>
    <row r="771" spans="1:1" x14ac:dyDescent="0.3">
      <c r="A771" s="6"/>
    </row>
    <row r="772" spans="1:1" x14ac:dyDescent="0.3">
      <c r="A772" s="6"/>
    </row>
    <row r="773" spans="1:1" x14ac:dyDescent="0.3">
      <c r="A773" s="6"/>
    </row>
    <row r="774" spans="1:1" x14ac:dyDescent="0.3">
      <c r="A774" s="6"/>
    </row>
    <row r="775" spans="1:1" x14ac:dyDescent="0.3">
      <c r="A775" s="6"/>
    </row>
    <row r="776" spans="1:1" x14ac:dyDescent="0.3">
      <c r="A776" s="6"/>
    </row>
    <row r="777" spans="1:1" x14ac:dyDescent="0.3">
      <c r="A777" s="6"/>
    </row>
    <row r="778" spans="1:1" x14ac:dyDescent="0.3">
      <c r="A778" s="6"/>
    </row>
    <row r="779" spans="1:1" x14ac:dyDescent="0.3">
      <c r="A779" s="6"/>
    </row>
    <row r="780" spans="1:1" x14ac:dyDescent="0.3">
      <c r="A780" s="6"/>
    </row>
    <row r="781" spans="1:1" x14ac:dyDescent="0.3">
      <c r="A781" s="6"/>
    </row>
    <row r="782" spans="1:1" x14ac:dyDescent="0.3">
      <c r="A782" s="6"/>
    </row>
    <row r="783" spans="1:1" x14ac:dyDescent="0.3">
      <c r="A783" s="6"/>
    </row>
    <row r="784" spans="1:1" x14ac:dyDescent="0.3">
      <c r="A784" s="6"/>
    </row>
    <row r="785" spans="1:1" x14ac:dyDescent="0.3">
      <c r="A785" s="6"/>
    </row>
    <row r="786" spans="1:1" x14ac:dyDescent="0.3">
      <c r="A786" s="6"/>
    </row>
    <row r="787" spans="1:1" x14ac:dyDescent="0.3">
      <c r="A787" s="6"/>
    </row>
    <row r="788" spans="1:1" x14ac:dyDescent="0.3">
      <c r="A788" s="6"/>
    </row>
    <row r="789" spans="1:1" x14ac:dyDescent="0.3">
      <c r="A789" s="6"/>
    </row>
    <row r="790" spans="1:1" x14ac:dyDescent="0.3">
      <c r="A790" s="6"/>
    </row>
    <row r="791" spans="1:1" x14ac:dyDescent="0.3">
      <c r="A791" s="6"/>
    </row>
    <row r="792" spans="1:1" x14ac:dyDescent="0.3">
      <c r="A792" s="6"/>
    </row>
    <row r="793" spans="1:1" x14ac:dyDescent="0.3">
      <c r="A793" s="6"/>
    </row>
    <row r="794" spans="1:1" x14ac:dyDescent="0.3">
      <c r="A794" s="6"/>
    </row>
    <row r="795" spans="1:1" x14ac:dyDescent="0.3">
      <c r="A795" s="6"/>
    </row>
    <row r="796" spans="1:1" x14ac:dyDescent="0.3">
      <c r="A796" s="6"/>
    </row>
    <row r="797" spans="1:1" x14ac:dyDescent="0.3">
      <c r="A797" s="6"/>
    </row>
    <row r="798" spans="1:1" x14ac:dyDescent="0.3">
      <c r="A798" s="6"/>
    </row>
    <row r="799" spans="1:1" x14ac:dyDescent="0.3">
      <c r="A799" s="6"/>
    </row>
    <row r="800" spans="1:1" x14ac:dyDescent="0.3">
      <c r="A800" s="6"/>
    </row>
    <row r="801" spans="1:1" x14ac:dyDescent="0.3">
      <c r="A801" s="6"/>
    </row>
    <row r="802" spans="1:1" x14ac:dyDescent="0.3">
      <c r="A802" s="6"/>
    </row>
    <row r="803" spans="1:1" x14ac:dyDescent="0.3">
      <c r="A803" s="6"/>
    </row>
    <row r="804" spans="1:1" x14ac:dyDescent="0.3">
      <c r="A804" s="6"/>
    </row>
    <row r="805" spans="1:1" x14ac:dyDescent="0.3">
      <c r="A805" s="6"/>
    </row>
    <row r="806" spans="1:1" x14ac:dyDescent="0.3">
      <c r="A806" s="6"/>
    </row>
    <row r="807" spans="1:1" x14ac:dyDescent="0.3">
      <c r="A807" s="6"/>
    </row>
    <row r="808" spans="1:1" x14ac:dyDescent="0.3">
      <c r="A808" s="6"/>
    </row>
    <row r="809" spans="1:1" x14ac:dyDescent="0.3">
      <c r="A809" s="6"/>
    </row>
    <row r="810" spans="1:1" x14ac:dyDescent="0.3">
      <c r="A810" s="6"/>
    </row>
    <row r="811" spans="1:1" x14ac:dyDescent="0.3">
      <c r="A811" s="6"/>
    </row>
    <row r="812" spans="1:1" x14ac:dyDescent="0.3">
      <c r="A812" s="6"/>
    </row>
    <row r="813" spans="1:1" x14ac:dyDescent="0.3">
      <c r="A813" s="6"/>
    </row>
    <row r="814" spans="1:1" x14ac:dyDescent="0.3">
      <c r="A814" s="6"/>
    </row>
    <row r="815" spans="1:1" x14ac:dyDescent="0.3">
      <c r="A815" s="6"/>
    </row>
    <row r="816" spans="1:1" x14ac:dyDescent="0.3">
      <c r="A816" s="6"/>
    </row>
    <row r="817" spans="1:1" x14ac:dyDescent="0.3">
      <c r="A817" s="6"/>
    </row>
    <row r="818" spans="1:1" x14ac:dyDescent="0.3">
      <c r="A818" s="6"/>
    </row>
    <row r="819" spans="1:1" x14ac:dyDescent="0.3">
      <c r="A819" s="6"/>
    </row>
    <row r="820" spans="1:1" x14ac:dyDescent="0.3">
      <c r="A820" s="6"/>
    </row>
    <row r="821" spans="1:1" x14ac:dyDescent="0.3">
      <c r="A821" s="6"/>
    </row>
    <row r="822" spans="1:1" x14ac:dyDescent="0.3">
      <c r="A822" s="6"/>
    </row>
    <row r="823" spans="1:1" x14ac:dyDescent="0.3">
      <c r="A823" s="6"/>
    </row>
    <row r="824" spans="1:1" x14ac:dyDescent="0.3">
      <c r="A824" s="6"/>
    </row>
    <row r="825" spans="1:1" x14ac:dyDescent="0.3">
      <c r="A825" s="6"/>
    </row>
    <row r="826" spans="1:1" x14ac:dyDescent="0.3">
      <c r="A826" s="6"/>
    </row>
    <row r="827" spans="1:1" x14ac:dyDescent="0.3">
      <c r="A827" s="6"/>
    </row>
    <row r="828" spans="1:1" x14ac:dyDescent="0.3">
      <c r="A828" s="6"/>
    </row>
    <row r="829" spans="1:1" x14ac:dyDescent="0.3">
      <c r="A829" s="6"/>
    </row>
    <row r="830" spans="1:1" x14ac:dyDescent="0.3">
      <c r="A830" s="6"/>
    </row>
    <row r="831" spans="1:1" x14ac:dyDescent="0.3">
      <c r="A831" s="6"/>
    </row>
    <row r="832" spans="1:1" x14ac:dyDescent="0.3">
      <c r="A832" s="6"/>
    </row>
    <row r="833" spans="1:1" x14ac:dyDescent="0.3">
      <c r="A833" s="6"/>
    </row>
    <row r="834" spans="1:1" x14ac:dyDescent="0.3">
      <c r="A834" s="6"/>
    </row>
    <row r="835" spans="1:1" x14ac:dyDescent="0.3">
      <c r="A835" s="6"/>
    </row>
    <row r="836" spans="1:1" x14ac:dyDescent="0.3">
      <c r="A836" s="6"/>
    </row>
    <row r="837" spans="1:1" x14ac:dyDescent="0.3">
      <c r="A837" s="6"/>
    </row>
    <row r="838" spans="1:1" x14ac:dyDescent="0.3">
      <c r="A838" s="6"/>
    </row>
    <row r="839" spans="1:1" x14ac:dyDescent="0.3">
      <c r="A839" s="6"/>
    </row>
    <row r="840" spans="1:1" x14ac:dyDescent="0.3">
      <c r="A840" s="6"/>
    </row>
    <row r="841" spans="1:1" x14ac:dyDescent="0.3">
      <c r="A841" s="6"/>
    </row>
    <row r="842" spans="1:1" x14ac:dyDescent="0.3">
      <c r="A842" s="6"/>
    </row>
    <row r="843" spans="1:1" x14ac:dyDescent="0.3">
      <c r="A843" s="6"/>
    </row>
    <row r="844" spans="1:1" x14ac:dyDescent="0.3">
      <c r="A844" s="6"/>
    </row>
    <row r="845" spans="1:1" x14ac:dyDescent="0.3">
      <c r="A845" s="6"/>
    </row>
    <row r="846" spans="1:1" x14ac:dyDescent="0.3">
      <c r="A846" s="6"/>
    </row>
    <row r="847" spans="1:1" x14ac:dyDescent="0.3">
      <c r="A847" s="6"/>
    </row>
    <row r="848" spans="1:1" x14ac:dyDescent="0.3">
      <c r="A848" s="6"/>
    </row>
    <row r="849" spans="1:1" x14ac:dyDescent="0.3">
      <c r="A849" s="6"/>
    </row>
    <row r="850" spans="1:1" x14ac:dyDescent="0.3">
      <c r="A850" s="6"/>
    </row>
    <row r="851" spans="1:1" x14ac:dyDescent="0.3">
      <c r="A851" s="6"/>
    </row>
    <row r="852" spans="1:1" x14ac:dyDescent="0.3">
      <c r="A852" s="6"/>
    </row>
    <row r="853" spans="1:1" x14ac:dyDescent="0.3">
      <c r="A853" s="6"/>
    </row>
    <row r="854" spans="1:1" x14ac:dyDescent="0.3">
      <c r="A854" s="6"/>
    </row>
    <row r="855" spans="1:1" x14ac:dyDescent="0.3">
      <c r="A855" s="6"/>
    </row>
    <row r="856" spans="1:1" x14ac:dyDescent="0.3">
      <c r="A856" s="6"/>
    </row>
    <row r="857" spans="1:1" x14ac:dyDescent="0.3">
      <c r="A857" s="6"/>
    </row>
    <row r="858" spans="1:1" x14ac:dyDescent="0.3">
      <c r="A858" s="6"/>
    </row>
    <row r="859" spans="1:1" x14ac:dyDescent="0.3">
      <c r="A859" s="6"/>
    </row>
    <row r="860" spans="1:1" x14ac:dyDescent="0.3">
      <c r="A860" s="6"/>
    </row>
    <row r="861" spans="1:1" x14ac:dyDescent="0.3">
      <c r="A861" s="6"/>
    </row>
    <row r="862" spans="1:1" x14ac:dyDescent="0.3">
      <c r="A862" s="6"/>
    </row>
    <row r="863" spans="1:1" x14ac:dyDescent="0.3">
      <c r="A863" s="6"/>
    </row>
    <row r="864" spans="1:1" x14ac:dyDescent="0.3">
      <c r="A864" s="6"/>
    </row>
    <row r="865" spans="1:1" x14ac:dyDescent="0.3">
      <c r="A865" s="6"/>
    </row>
    <row r="866" spans="1:1" x14ac:dyDescent="0.3">
      <c r="A866" s="6"/>
    </row>
    <row r="867" spans="1:1" x14ac:dyDescent="0.3">
      <c r="A867" s="6"/>
    </row>
    <row r="868" spans="1:1" x14ac:dyDescent="0.3">
      <c r="A868" s="6"/>
    </row>
    <row r="869" spans="1:1" x14ac:dyDescent="0.3">
      <c r="A869" s="6"/>
    </row>
    <row r="870" spans="1:1" x14ac:dyDescent="0.3">
      <c r="A870" s="6"/>
    </row>
    <row r="871" spans="1:1" x14ac:dyDescent="0.3">
      <c r="A871" s="6"/>
    </row>
    <row r="872" spans="1:1" x14ac:dyDescent="0.3">
      <c r="A872" s="6"/>
    </row>
    <row r="873" spans="1:1" x14ac:dyDescent="0.3">
      <c r="A873" s="6"/>
    </row>
    <row r="874" spans="1:1" x14ac:dyDescent="0.3">
      <c r="A874" s="6"/>
    </row>
    <row r="875" spans="1:1" x14ac:dyDescent="0.3">
      <c r="A875" s="6"/>
    </row>
    <row r="876" spans="1:1" x14ac:dyDescent="0.3">
      <c r="A876" s="6"/>
    </row>
    <row r="877" spans="1:1" x14ac:dyDescent="0.3">
      <c r="A877" s="6"/>
    </row>
    <row r="878" spans="1:1" x14ac:dyDescent="0.3">
      <c r="A878" s="6"/>
    </row>
    <row r="879" spans="1:1" x14ac:dyDescent="0.3">
      <c r="A879" s="6"/>
    </row>
    <row r="880" spans="1:1" x14ac:dyDescent="0.3">
      <c r="A880" s="6"/>
    </row>
    <row r="881" spans="1:1" x14ac:dyDescent="0.3">
      <c r="A881" s="6"/>
    </row>
    <row r="882" spans="1:1" x14ac:dyDescent="0.3">
      <c r="A882" s="6"/>
    </row>
    <row r="883" spans="1:1" x14ac:dyDescent="0.3">
      <c r="A883" s="6"/>
    </row>
    <row r="884" spans="1:1" x14ac:dyDescent="0.3">
      <c r="A884" s="6"/>
    </row>
    <row r="885" spans="1:1" x14ac:dyDescent="0.3">
      <c r="A885" s="6"/>
    </row>
    <row r="886" spans="1:1" x14ac:dyDescent="0.3">
      <c r="A886" s="6"/>
    </row>
    <row r="887" spans="1:1" x14ac:dyDescent="0.3">
      <c r="A887" s="6"/>
    </row>
    <row r="888" spans="1:1" x14ac:dyDescent="0.3">
      <c r="A888" s="6"/>
    </row>
    <row r="889" spans="1:1" x14ac:dyDescent="0.3">
      <c r="A889" s="6"/>
    </row>
    <row r="890" spans="1:1" x14ac:dyDescent="0.3">
      <c r="A890" s="6"/>
    </row>
    <row r="891" spans="1:1" x14ac:dyDescent="0.3">
      <c r="A891" s="6"/>
    </row>
    <row r="892" spans="1:1" x14ac:dyDescent="0.3">
      <c r="A892" s="6"/>
    </row>
    <row r="893" spans="1:1" x14ac:dyDescent="0.3">
      <c r="A893" s="6"/>
    </row>
    <row r="894" spans="1:1" x14ac:dyDescent="0.3">
      <c r="A894" s="6"/>
    </row>
    <row r="895" spans="1:1" x14ac:dyDescent="0.3">
      <c r="A895" s="6"/>
    </row>
    <row r="896" spans="1:1" x14ac:dyDescent="0.3">
      <c r="A896" s="6"/>
    </row>
    <row r="897" spans="1:1" x14ac:dyDescent="0.3">
      <c r="A897" s="6"/>
    </row>
    <row r="898" spans="1:1" x14ac:dyDescent="0.3">
      <c r="A898" s="6"/>
    </row>
    <row r="899" spans="1:1" x14ac:dyDescent="0.3">
      <c r="A899" s="6"/>
    </row>
    <row r="900" spans="1:1" x14ac:dyDescent="0.3">
      <c r="A900" s="6"/>
    </row>
    <row r="901" spans="1:1" x14ac:dyDescent="0.3">
      <c r="A901" s="6"/>
    </row>
    <row r="902" spans="1:1" x14ac:dyDescent="0.3">
      <c r="A902" s="6"/>
    </row>
    <row r="903" spans="1:1" x14ac:dyDescent="0.3">
      <c r="A903" s="6"/>
    </row>
    <row r="904" spans="1:1" x14ac:dyDescent="0.3">
      <c r="A904" s="6"/>
    </row>
    <row r="905" spans="1:1" x14ac:dyDescent="0.3">
      <c r="A905" s="6"/>
    </row>
    <row r="906" spans="1:1" x14ac:dyDescent="0.3">
      <c r="A906" s="6"/>
    </row>
    <row r="907" spans="1:1" x14ac:dyDescent="0.3">
      <c r="A907" s="6"/>
    </row>
    <row r="908" spans="1:1" x14ac:dyDescent="0.3">
      <c r="A908" s="6"/>
    </row>
    <row r="909" spans="1:1" x14ac:dyDescent="0.3">
      <c r="A909" s="6"/>
    </row>
    <row r="910" spans="1:1" x14ac:dyDescent="0.3">
      <c r="A910" s="6"/>
    </row>
    <row r="911" spans="1:1" x14ac:dyDescent="0.3">
      <c r="A911" s="6"/>
    </row>
    <row r="912" spans="1:1" x14ac:dyDescent="0.3">
      <c r="A912" s="6"/>
    </row>
    <row r="913" spans="1:1" x14ac:dyDescent="0.3">
      <c r="A913" s="6"/>
    </row>
    <row r="914" spans="1:1" x14ac:dyDescent="0.3">
      <c r="A914" s="6"/>
    </row>
    <row r="915" spans="1:1" x14ac:dyDescent="0.3">
      <c r="A915" s="6"/>
    </row>
    <row r="916" spans="1:1" x14ac:dyDescent="0.3">
      <c r="A916" s="6"/>
    </row>
    <row r="917" spans="1:1" x14ac:dyDescent="0.3">
      <c r="A917" s="6"/>
    </row>
    <row r="918" spans="1:1" x14ac:dyDescent="0.3">
      <c r="A918" s="6"/>
    </row>
    <row r="919" spans="1:1" x14ac:dyDescent="0.3">
      <c r="A919" s="6"/>
    </row>
    <row r="920" spans="1:1" x14ac:dyDescent="0.3">
      <c r="A920" s="6"/>
    </row>
    <row r="921" spans="1:1" x14ac:dyDescent="0.3">
      <c r="A921" s="6"/>
    </row>
    <row r="922" spans="1:1" x14ac:dyDescent="0.3">
      <c r="A922" s="6"/>
    </row>
    <row r="923" spans="1:1" x14ac:dyDescent="0.3">
      <c r="A923" s="6"/>
    </row>
    <row r="924" spans="1:1" x14ac:dyDescent="0.3">
      <c r="A924" s="6"/>
    </row>
    <row r="925" spans="1:1" x14ac:dyDescent="0.3">
      <c r="A925" s="6"/>
    </row>
    <row r="926" spans="1:1" x14ac:dyDescent="0.3">
      <c r="A926" s="6"/>
    </row>
    <row r="927" spans="1:1" x14ac:dyDescent="0.3">
      <c r="A927" s="6"/>
    </row>
    <row r="928" spans="1:1" x14ac:dyDescent="0.3">
      <c r="A928" s="6"/>
    </row>
    <row r="929" spans="1:1" x14ac:dyDescent="0.3">
      <c r="A929" s="6"/>
    </row>
    <row r="930" spans="1:1" x14ac:dyDescent="0.3">
      <c r="A930" s="6"/>
    </row>
    <row r="931" spans="1:1" x14ac:dyDescent="0.3">
      <c r="A931" s="6"/>
    </row>
    <row r="932" spans="1:1" x14ac:dyDescent="0.3">
      <c r="A932" s="6"/>
    </row>
    <row r="933" spans="1:1" x14ac:dyDescent="0.3">
      <c r="A933" s="6"/>
    </row>
    <row r="934" spans="1:1" x14ac:dyDescent="0.3">
      <c r="A934" s="6"/>
    </row>
    <row r="935" spans="1:1" x14ac:dyDescent="0.3">
      <c r="A935" s="6"/>
    </row>
    <row r="936" spans="1:1" x14ac:dyDescent="0.3">
      <c r="A936" s="6"/>
    </row>
    <row r="937" spans="1:1" x14ac:dyDescent="0.3">
      <c r="A937" s="6"/>
    </row>
    <row r="938" spans="1:1" x14ac:dyDescent="0.3">
      <c r="A938" s="6"/>
    </row>
    <row r="939" spans="1:1" x14ac:dyDescent="0.3">
      <c r="A939" s="6"/>
    </row>
    <row r="940" spans="1:1" x14ac:dyDescent="0.3">
      <c r="A940" s="6"/>
    </row>
    <row r="941" spans="1:1" x14ac:dyDescent="0.3">
      <c r="A941" s="6"/>
    </row>
    <row r="942" spans="1:1" x14ac:dyDescent="0.3">
      <c r="A942" s="6"/>
    </row>
    <row r="943" spans="1:1" x14ac:dyDescent="0.3">
      <c r="A943" s="6"/>
    </row>
    <row r="944" spans="1:1" x14ac:dyDescent="0.3">
      <c r="A944" s="6"/>
    </row>
    <row r="945" spans="1:1" x14ac:dyDescent="0.3">
      <c r="A945" s="6"/>
    </row>
    <row r="946" spans="1:1" x14ac:dyDescent="0.3">
      <c r="A946" s="6"/>
    </row>
    <row r="947" spans="1:1" x14ac:dyDescent="0.3">
      <c r="A947" s="6"/>
    </row>
    <row r="948" spans="1:1" x14ac:dyDescent="0.3">
      <c r="A948" s="6"/>
    </row>
    <row r="949" spans="1:1" x14ac:dyDescent="0.3">
      <c r="A949" s="6"/>
    </row>
    <row r="950" spans="1:1" x14ac:dyDescent="0.3">
      <c r="A950" s="6"/>
    </row>
    <row r="951" spans="1:1" x14ac:dyDescent="0.3">
      <c r="A951" s="6"/>
    </row>
    <row r="952" spans="1:1" x14ac:dyDescent="0.3">
      <c r="A952" s="6"/>
    </row>
    <row r="953" spans="1:1" x14ac:dyDescent="0.3">
      <c r="A953" s="6"/>
    </row>
    <row r="954" spans="1:1" x14ac:dyDescent="0.3">
      <c r="A954" s="6"/>
    </row>
    <row r="955" spans="1:1" x14ac:dyDescent="0.3">
      <c r="A955" s="6"/>
    </row>
    <row r="956" spans="1:1" x14ac:dyDescent="0.3">
      <c r="A956" s="6"/>
    </row>
    <row r="957" spans="1:1" x14ac:dyDescent="0.3">
      <c r="A957" s="6"/>
    </row>
    <row r="958" spans="1:1" x14ac:dyDescent="0.3">
      <c r="A958" s="6"/>
    </row>
    <row r="959" spans="1:1" x14ac:dyDescent="0.3">
      <c r="A959" s="6"/>
    </row>
    <row r="960" spans="1:1" x14ac:dyDescent="0.3">
      <c r="A960" s="6"/>
    </row>
    <row r="961" spans="1:1" x14ac:dyDescent="0.3">
      <c r="A961" s="6"/>
    </row>
    <row r="962" spans="1:1" x14ac:dyDescent="0.3">
      <c r="A962" s="6"/>
    </row>
    <row r="963" spans="1:1" x14ac:dyDescent="0.3">
      <c r="A963" s="6"/>
    </row>
    <row r="964" spans="1:1" x14ac:dyDescent="0.3">
      <c r="A964" s="6"/>
    </row>
    <row r="965" spans="1:1" x14ac:dyDescent="0.3">
      <c r="A965" s="6"/>
    </row>
    <row r="966" spans="1:1" x14ac:dyDescent="0.3">
      <c r="A966" s="6"/>
    </row>
    <row r="967" spans="1:1" x14ac:dyDescent="0.3">
      <c r="A967" s="6"/>
    </row>
    <row r="968" spans="1:1" x14ac:dyDescent="0.3">
      <c r="A968" s="6"/>
    </row>
    <row r="969" spans="1:1" x14ac:dyDescent="0.3">
      <c r="A969" s="6"/>
    </row>
    <row r="970" spans="1:1" x14ac:dyDescent="0.3">
      <c r="A970" s="6"/>
    </row>
    <row r="971" spans="1:1" x14ac:dyDescent="0.3">
      <c r="A971" s="6"/>
    </row>
    <row r="972" spans="1:1" x14ac:dyDescent="0.3">
      <c r="A972" s="6"/>
    </row>
    <row r="973" spans="1:1" x14ac:dyDescent="0.3">
      <c r="A973" s="6"/>
    </row>
    <row r="974" spans="1:1" x14ac:dyDescent="0.3">
      <c r="A974" s="6"/>
    </row>
    <row r="975" spans="1:1" x14ac:dyDescent="0.3">
      <c r="A975" s="6"/>
    </row>
    <row r="976" spans="1:1" x14ac:dyDescent="0.3">
      <c r="A976" s="6"/>
    </row>
    <row r="977" spans="1:1" x14ac:dyDescent="0.3">
      <c r="A977" s="6"/>
    </row>
    <row r="978" spans="1:1" x14ac:dyDescent="0.3">
      <c r="A978" s="6"/>
    </row>
    <row r="979" spans="1:1" x14ac:dyDescent="0.3">
      <c r="A979" s="6"/>
    </row>
    <row r="980" spans="1:1" x14ac:dyDescent="0.3">
      <c r="A980" s="6"/>
    </row>
    <row r="981" spans="1:1" x14ac:dyDescent="0.3">
      <c r="A981" s="6"/>
    </row>
    <row r="982" spans="1:1" x14ac:dyDescent="0.3">
      <c r="A982" s="6"/>
    </row>
    <row r="983" spans="1:1" x14ac:dyDescent="0.3">
      <c r="A983" s="6"/>
    </row>
    <row r="984" spans="1:1" x14ac:dyDescent="0.3">
      <c r="A984" s="6"/>
    </row>
    <row r="985" spans="1:1" x14ac:dyDescent="0.3">
      <c r="A985" s="6"/>
    </row>
    <row r="986" spans="1:1" x14ac:dyDescent="0.3">
      <c r="A986" s="6"/>
    </row>
    <row r="987" spans="1:1" x14ac:dyDescent="0.3">
      <c r="A987" s="6"/>
    </row>
    <row r="988" spans="1:1" x14ac:dyDescent="0.3">
      <c r="A988" s="6"/>
    </row>
    <row r="989" spans="1:1" x14ac:dyDescent="0.3">
      <c r="A989" s="6"/>
    </row>
    <row r="990" spans="1:1" x14ac:dyDescent="0.3">
      <c r="A990" s="6"/>
    </row>
    <row r="991" spans="1:1" x14ac:dyDescent="0.3">
      <c r="A991" s="6"/>
    </row>
    <row r="992" spans="1:1" x14ac:dyDescent="0.3">
      <c r="A992" s="6"/>
    </row>
    <row r="993" spans="1:1" x14ac:dyDescent="0.3">
      <c r="A993" s="6"/>
    </row>
    <row r="994" spans="1:1" x14ac:dyDescent="0.3">
      <c r="A994" s="6"/>
    </row>
    <row r="995" spans="1:1" x14ac:dyDescent="0.3">
      <c r="A995" s="6"/>
    </row>
    <row r="996" spans="1:1" x14ac:dyDescent="0.3">
      <c r="A996" s="6"/>
    </row>
    <row r="997" spans="1:1" x14ac:dyDescent="0.3">
      <c r="A997" s="6"/>
    </row>
    <row r="998" spans="1:1" x14ac:dyDescent="0.3">
      <c r="A998" s="6"/>
    </row>
    <row r="999" spans="1:1" x14ac:dyDescent="0.3">
      <c r="A999" s="6"/>
    </row>
    <row r="1000" spans="1:1" x14ac:dyDescent="0.3">
      <c r="A1000" s="6"/>
    </row>
    <row r="1001" spans="1:1" x14ac:dyDescent="0.3">
      <c r="A1001" s="6"/>
    </row>
    <row r="1002" spans="1:1" x14ac:dyDescent="0.3">
      <c r="A1002" s="6"/>
    </row>
    <row r="1003" spans="1:1" x14ac:dyDescent="0.3">
      <c r="A1003" s="6"/>
    </row>
    <row r="1004" spans="1:1" x14ac:dyDescent="0.3">
      <c r="A1004" s="6"/>
    </row>
    <row r="1005" spans="1:1" x14ac:dyDescent="0.3">
      <c r="A1005" s="6"/>
    </row>
    <row r="1006" spans="1:1" x14ac:dyDescent="0.3">
      <c r="A1006" s="6"/>
    </row>
    <row r="1007" spans="1:1" x14ac:dyDescent="0.3">
      <c r="A1007" s="6"/>
    </row>
    <row r="1008" spans="1:1" x14ac:dyDescent="0.3">
      <c r="A1008" s="6"/>
    </row>
    <row r="1009" spans="1:1" x14ac:dyDescent="0.3">
      <c r="A1009" s="6"/>
    </row>
    <row r="1010" spans="1:1" x14ac:dyDescent="0.3">
      <c r="A1010" s="6"/>
    </row>
    <row r="1011" spans="1:1" x14ac:dyDescent="0.3">
      <c r="A1011" s="6"/>
    </row>
    <row r="1012" spans="1:1" x14ac:dyDescent="0.3">
      <c r="A1012" s="6"/>
    </row>
    <row r="1013" spans="1:1" x14ac:dyDescent="0.3">
      <c r="A1013" s="6"/>
    </row>
    <row r="1014" spans="1:1" x14ac:dyDescent="0.3">
      <c r="A1014" s="6"/>
    </row>
    <row r="1015" spans="1:1" x14ac:dyDescent="0.3">
      <c r="A1015" s="6"/>
    </row>
    <row r="1016" spans="1:1" x14ac:dyDescent="0.3">
      <c r="A1016" s="6"/>
    </row>
    <row r="1017" spans="1:1" x14ac:dyDescent="0.3">
      <c r="A1017" s="6"/>
    </row>
    <row r="1018" spans="1:1" x14ac:dyDescent="0.3">
      <c r="A1018" s="6"/>
    </row>
    <row r="1019" spans="1:1" x14ac:dyDescent="0.3">
      <c r="A1019" s="6"/>
    </row>
    <row r="1020" spans="1:1" x14ac:dyDescent="0.3">
      <c r="A1020" s="6"/>
    </row>
    <row r="1021" spans="1:1" x14ac:dyDescent="0.3">
      <c r="A1021" s="6"/>
    </row>
    <row r="1022" spans="1:1" x14ac:dyDescent="0.3">
      <c r="A1022" s="6"/>
    </row>
    <row r="1023" spans="1:1" x14ac:dyDescent="0.3">
      <c r="A1023" s="6"/>
    </row>
    <row r="1024" spans="1:1" x14ac:dyDescent="0.3">
      <c r="A1024" s="6"/>
    </row>
    <row r="1025" spans="1:1" x14ac:dyDescent="0.3">
      <c r="A1025" s="6"/>
    </row>
    <row r="1026" spans="1:1" x14ac:dyDescent="0.3">
      <c r="A1026" s="6"/>
    </row>
    <row r="1027" spans="1:1" x14ac:dyDescent="0.3">
      <c r="A1027" s="6"/>
    </row>
    <row r="1028" spans="1:1" x14ac:dyDescent="0.3">
      <c r="A1028" s="6"/>
    </row>
    <row r="1029" spans="1:1" x14ac:dyDescent="0.3">
      <c r="A1029" s="6"/>
    </row>
    <row r="1030" spans="1:1" x14ac:dyDescent="0.3">
      <c r="A1030" s="6"/>
    </row>
    <row r="1031" spans="1:1" x14ac:dyDescent="0.3">
      <c r="A1031" s="6"/>
    </row>
    <row r="1032" spans="1:1" x14ac:dyDescent="0.3">
      <c r="A1032" s="6"/>
    </row>
    <row r="1033" spans="1:1" x14ac:dyDescent="0.3">
      <c r="A1033" s="6"/>
    </row>
    <row r="1034" spans="1:1" x14ac:dyDescent="0.3">
      <c r="A1034" s="6"/>
    </row>
    <row r="1035" spans="1:1" x14ac:dyDescent="0.3">
      <c r="A1035" s="6"/>
    </row>
    <row r="1036" spans="1:1" x14ac:dyDescent="0.3">
      <c r="A1036" s="6"/>
    </row>
    <row r="1037" spans="1:1" x14ac:dyDescent="0.3">
      <c r="A1037" s="6"/>
    </row>
    <row r="1038" spans="1:1" x14ac:dyDescent="0.3">
      <c r="A1038" s="6"/>
    </row>
    <row r="1039" spans="1:1" x14ac:dyDescent="0.3">
      <c r="A1039" s="6"/>
    </row>
    <row r="1040" spans="1:1" x14ac:dyDescent="0.3">
      <c r="A1040" s="6"/>
    </row>
    <row r="1041" spans="1:1" x14ac:dyDescent="0.3">
      <c r="A1041" s="6"/>
    </row>
    <row r="1042" spans="1:1" x14ac:dyDescent="0.3">
      <c r="A1042" s="6"/>
    </row>
    <row r="1043" spans="1:1" x14ac:dyDescent="0.3">
      <c r="A1043" s="6"/>
    </row>
    <row r="1044" spans="1:1" x14ac:dyDescent="0.3">
      <c r="A1044" s="6"/>
    </row>
    <row r="1045" spans="1:1" x14ac:dyDescent="0.3">
      <c r="A1045" s="6"/>
    </row>
    <row r="1046" spans="1:1" x14ac:dyDescent="0.3">
      <c r="A1046" s="6"/>
    </row>
    <row r="1047" spans="1:1" x14ac:dyDescent="0.3">
      <c r="A1047" s="6"/>
    </row>
    <row r="1048" spans="1:1" x14ac:dyDescent="0.3">
      <c r="A1048" s="6"/>
    </row>
    <row r="1049" spans="1:1" x14ac:dyDescent="0.3">
      <c r="A1049" s="6"/>
    </row>
    <row r="1050" spans="1:1" x14ac:dyDescent="0.3">
      <c r="A1050" s="6"/>
    </row>
    <row r="1051" spans="1:1" x14ac:dyDescent="0.3">
      <c r="A1051" s="6"/>
    </row>
    <row r="1052" spans="1:1" x14ac:dyDescent="0.3">
      <c r="A1052" s="6"/>
    </row>
    <row r="1053" spans="1:1" x14ac:dyDescent="0.3">
      <c r="A1053" s="6"/>
    </row>
    <row r="1054" spans="1:1" x14ac:dyDescent="0.3">
      <c r="A1054" s="6"/>
    </row>
    <row r="1055" spans="1:1" x14ac:dyDescent="0.3">
      <c r="A1055" s="6"/>
    </row>
    <row r="1056" spans="1:1" x14ac:dyDescent="0.3">
      <c r="A1056" s="6"/>
    </row>
    <row r="1057" spans="1:1" x14ac:dyDescent="0.3">
      <c r="A1057" s="6"/>
    </row>
    <row r="1058" spans="1:1" x14ac:dyDescent="0.3">
      <c r="A1058" s="6"/>
    </row>
    <row r="1059" spans="1:1" x14ac:dyDescent="0.3">
      <c r="A1059" s="6"/>
    </row>
    <row r="1060" spans="1:1" x14ac:dyDescent="0.3">
      <c r="A1060" s="6"/>
    </row>
    <row r="1061" spans="1:1" x14ac:dyDescent="0.3">
      <c r="A1061" s="6"/>
    </row>
    <row r="1062" spans="1:1" x14ac:dyDescent="0.3">
      <c r="A1062" s="6"/>
    </row>
    <row r="1063" spans="1:1" x14ac:dyDescent="0.3">
      <c r="A1063" s="6"/>
    </row>
    <row r="1064" spans="1:1" x14ac:dyDescent="0.3">
      <c r="A1064" s="6"/>
    </row>
    <row r="1065" spans="1:1" x14ac:dyDescent="0.3">
      <c r="A1065" s="6"/>
    </row>
    <row r="1066" spans="1:1" x14ac:dyDescent="0.3">
      <c r="A1066" s="6"/>
    </row>
    <row r="1067" spans="1:1" x14ac:dyDescent="0.3">
      <c r="A1067" s="6"/>
    </row>
    <row r="1068" spans="1:1" x14ac:dyDescent="0.3">
      <c r="A1068" s="6"/>
    </row>
    <row r="1069" spans="1:1" x14ac:dyDescent="0.3">
      <c r="A1069" s="6"/>
    </row>
    <row r="1070" spans="1:1" x14ac:dyDescent="0.3">
      <c r="A1070" s="6"/>
    </row>
    <row r="1071" spans="1:1" x14ac:dyDescent="0.3">
      <c r="A1071" s="6"/>
    </row>
    <row r="1072" spans="1:1" x14ac:dyDescent="0.3">
      <c r="A1072" s="6"/>
    </row>
    <row r="1073" spans="1:1" x14ac:dyDescent="0.3">
      <c r="A1073" s="6"/>
    </row>
    <row r="1074" spans="1:1" x14ac:dyDescent="0.3">
      <c r="A1074" s="6"/>
    </row>
    <row r="1075" spans="1:1" x14ac:dyDescent="0.3">
      <c r="A1075" s="6"/>
    </row>
    <row r="1076" spans="1:1" x14ac:dyDescent="0.3">
      <c r="A1076" s="6"/>
    </row>
    <row r="1077" spans="1:1" x14ac:dyDescent="0.3">
      <c r="A1077" s="6"/>
    </row>
    <row r="1078" spans="1:1" x14ac:dyDescent="0.3">
      <c r="A1078" s="6"/>
    </row>
    <row r="1079" spans="1:1" x14ac:dyDescent="0.3">
      <c r="A1079" s="6"/>
    </row>
    <row r="1080" spans="1:1" x14ac:dyDescent="0.3">
      <c r="A1080" s="6"/>
    </row>
    <row r="1081" spans="1:1" x14ac:dyDescent="0.3">
      <c r="A1081" s="6"/>
    </row>
    <row r="1082" spans="1:1" x14ac:dyDescent="0.3">
      <c r="A1082" s="6"/>
    </row>
    <row r="1083" spans="1:1" x14ac:dyDescent="0.3">
      <c r="A1083" s="6"/>
    </row>
    <row r="1084" spans="1:1" x14ac:dyDescent="0.3">
      <c r="A1084" s="6"/>
    </row>
    <row r="1085" spans="1:1" x14ac:dyDescent="0.3">
      <c r="A1085" s="6"/>
    </row>
    <row r="1086" spans="1:1" x14ac:dyDescent="0.3">
      <c r="A1086" s="6"/>
    </row>
    <row r="1087" spans="1:1" x14ac:dyDescent="0.3">
      <c r="A1087" s="6"/>
    </row>
    <row r="1088" spans="1:1" x14ac:dyDescent="0.3">
      <c r="A1088" s="6"/>
    </row>
    <row r="1089" spans="1:1" x14ac:dyDescent="0.3">
      <c r="A1089" s="6"/>
    </row>
    <row r="1090" spans="1:1" x14ac:dyDescent="0.3">
      <c r="A1090" s="6"/>
    </row>
    <row r="1091" spans="1:1" x14ac:dyDescent="0.3">
      <c r="A1091" s="6"/>
    </row>
    <row r="1092" spans="1:1" x14ac:dyDescent="0.3">
      <c r="A1092" s="6"/>
    </row>
    <row r="1093" spans="1:1" x14ac:dyDescent="0.3">
      <c r="A1093" s="6"/>
    </row>
    <row r="1094" spans="1:1" x14ac:dyDescent="0.3">
      <c r="A1094" s="6"/>
    </row>
    <row r="1095" spans="1:1" x14ac:dyDescent="0.3">
      <c r="A1095" s="6"/>
    </row>
    <row r="1096" spans="1:1" x14ac:dyDescent="0.3">
      <c r="A1096" s="6"/>
    </row>
    <row r="1097" spans="1:1" x14ac:dyDescent="0.3">
      <c r="A1097" s="6"/>
    </row>
    <row r="1098" spans="1:1" x14ac:dyDescent="0.3">
      <c r="A1098" s="6"/>
    </row>
    <row r="1099" spans="1:1" x14ac:dyDescent="0.3">
      <c r="A1099" s="6"/>
    </row>
    <row r="1100" spans="1:1" x14ac:dyDescent="0.3">
      <c r="A1100" s="6"/>
    </row>
    <row r="1101" spans="1:1" x14ac:dyDescent="0.3">
      <c r="A1101" s="6"/>
    </row>
    <row r="1102" spans="1:1" x14ac:dyDescent="0.3">
      <c r="A1102" s="6"/>
    </row>
    <row r="1103" spans="1:1" x14ac:dyDescent="0.3">
      <c r="A1103" s="6"/>
    </row>
    <row r="1104" spans="1:1" x14ac:dyDescent="0.3">
      <c r="A1104" s="6"/>
    </row>
    <row r="1105" spans="1:1" x14ac:dyDescent="0.3">
      <c r="A1105" s="6"/>
    </row>
    <row r="1106" spans="1:1" x14ac:dyDescent="0.3">
      <c r="A1106" s="6"/>
    </row>
    <row r="1107" spans="1:1" x14ac:dyDescent="0.3">
      <c r="A1107" s="6"/>
    </row>
    <row r="1108" spans="1:1" x14ac:dyDescent="0.3">
      <c r="A1108" s="6"/>
    </row>
    <row r="1109" spans="1:1" x14ac:dyDescent="0.3">
      <c r="A1109" s="6"/>
    </row>
    <row r="1110" spans="1:1" x14ac:dyDescent="0.3">
      <c r="A1110" s="6"/>
    </row>
    <row r="1111" spans="1:1" x14ac:dyDescent="0.3">
      <c r="A1111" s="6"/>
    </row>
    <row r="1112" spans="1:1" x14ac:dyDescent="0.3">
      <c r="A1112" s="6"/>
    </row>
    <row r="1113" spans="1:1" x14ac:dyDescent="0.3">
      <c r="A1113" s="6"/>
    </row>
    <row r="1114" spans="1:1" x14ac:dyDescent="0.3">
      <c r="A1114" s="6"/>
    </row>
    <row r="1115" spans="1:1" x14ac:dyDescent="0.3">
      <c r="A1115" s="6"/>
    </row>
    <row r="1116" spans="1:1" x14ac:dyDescent="0.3">
      <c r="A1116" s="6"/>
    </row>
    <row r="1117" spans="1:1" x14ac:dyDescent="0.3">
      <c r="A1117" s="6"/>
    </row>
    <row r="1118" spans="1:1" x14ac:dyDescent="0.3">
      <c r="A1118" s="6"/>
    </row>
    <row r="1119" spans="1:1" x14ac:dyDescent="0.3">
      <c r="A1119" s="6"/>
    </row>
    <row r="1120" spans="1:1" x14ac:dyDescent="0.3">
      <c r="A1120" s="6"/>
    </row>
    <row r="1121" spans="1:1" x14ac:dyDescent="0.3">
      <c r="A1121" s="6"/>
    </row>
    <row r="1122" spans="1:1" x14ac:dyDescent="0.3">
      <c r="A1122" s="6"/>
    </row>
    <row r="1123" spans="1:1" x14ac:dyDescent="0.3">
      <c r="A1123" s="6"/>
    </row>
    <row r="1124" spans="1:1" x14ac:dyDescent="0.3">
      <c r="A1124" s="6"/>
    </row>
    <row r="1125" spans="1:1" x14ac:dyDescent="0.3">
      <c r="A1125" s="6"/>
    </row>
    <row r="1126" spans="1:1" x14ac:dyDescent="0.3">
      <c r="A1126" s="6"/>
    </row>
    <row r="1127" spans="1:1" x14ac:dyDescent="0.3">
      <c r="A1127" s="6"/>
    </row>
    <row r="1128" spans="1:1" x14ac:dyDescent="0.3">
      <c r="A1128" s="6"/>
    </row>
    <row r="1129" spans="1:1" x14ac:dyDescent="0.3">
      <c r="A1129" s="6"/>
    </row>
    <row r="1130" spans="1:1" x14ac:dyDescent="0.3">
      <c r="A1130" s="6"/>
    </row>
    <row r="1131" spans="1:1" x14ac:dyDescent="0.3">
      <c r="A1131" s="6"/>
    </row>
    <row r="1132" spans="1:1" x14ac:dyDescent="0.3">
      <c r="A1132" s="6"/>
    </row>
    <row r="1133" spans="1:1" x14ac:dyDescent="0.3">
      <c r="A1133" s="6"/>
    </row>
    <row r="1134" spans="1:1" x14ac:dyDescent="0.3">
      <c r="A1134" s="6"/>
    </row>
    <row r="1135" spans="1:1" x14ac:dyDescent="0.3">
      <c r="A1135" s="6"/>
    </row>
    <row r="1136" spans="1:1" x14ac:dyDescent="0.3">
      <c r="A1136" s="6"/>
    </row>
    <row r="1137" spans="1:1" x14ac:dyDescent="0.3">
      <c r="A1137" s="6"/>
    </row>
    <row r="1138" spans="1:1" x14ac:dyDescent="0.3">
      <c r="A1138" s="6"/>
    </row>
    <row r="1139" spans="1:1" x14ac:dyDescent="0.3">
      <c r="A1139" s="6"/>
    </row>
    <row r="1140" spans="1:1" x14ac:dyDescent="0.3">
      <c r="A1140" s="6"/>
    </row>
    <row r="1141" spans="1:1" x14ac:dyDescent="0.3">
      <c r="A1141" s="6"/>
    </row>
    <row r="1142" spans="1:1" x14ac:dyDescent="0.3">
      <c r="A1142" s="6"/>
    </row>
    <row r="1143" spans="1:1" x14ac:dyDescent="0.3">
      <c r="A1143" s="6"/>
    </row>
    <row r="1144" spans="1:1" x14ac:dyDescent="0.3">
      <c r="A1144" s="6"/>
    </row>
    <row r="1145" spans="1:1" x14ac:dyDescent="0.3">
      <c r="A1145" s="6"/>
    </row>
    <row r="1146" spans="1:1" x14ac:dyDescent="0.3">
      <c r="A1146" s="6"/>
    </row>
    <row r="1147" spans="1:1" x14ac:dyDescent="0.3">
      <c r="A1147" s="6"/>
    </row>
    <row r="1148" spans="1:1" x14ac:dyDescent="0.3">
      <c r="A1148" s="6"/>
    </row>
    <row r="1149" spans="1:1" x14ac:dyDescent="0.3">
      <c r="A1149" s="6"/>
    </row>
    <row r="1150" spans="1:1" x14ac:dyDescent="0.3">
      <c r="A1150" s="6"/>
    </row>
    <row r="1151" spans="1:1" x14ac:dyDescent="0.3">
      <c r="A1151" s="6"/>
    </row>
    <row r="1152" spans="1:1" x14ac:dyDescent="0.3">
      <c r="A1152" s="6"/>
    </row>
    <row r="1153" spans="1:1" x14ac:dyDescent="0.3">
      <c r="A1153" s="6"/>
    </row>
    <row r="1154" spans="1:1" x14ac:dyDescent="0.3">
      <c r="A1154" s="6"/>
    </row>
    <row r="1155" spans="1:1" x14ac:dyDescent="0.3">
      <c r="A1155" s="6"/>
    </row>
    <row r="1156" spans="1:1" x14ac:dyDescent="0.3">
      <c r="A1156" s="6"/>
    </row>
    <row r="1157" spans="1:1" x14ac:dyDescent="0.3">
      <c r="A1157" s="6"/>
    </row>
    <row r="1158" spans="1:1" x14ac:dyDescent="0.3">
      <c r="A1158" s="6"/>
    </row>
    <row r="1159" spans="1:1" x14ac:dyDescent="0.3">
      <c r="A1159" s="6"/>
    </row>
    <row r="1160" spans="1:1" x14ac:dyDescent="0.3">
      <c r="A1160" s="6"/>
    </row>
    <row r="1161" spans="1:1" x14ac:dyDescent="0.3">
      <c r="A1161" s="6"/>
    </row>
    <row r="1162" spans="1:1" x14ac:dyDescent="0.3">
      <c r="A1162" s="6"/>
    </row>
    <row r="1163" spans="1:1" x14ac:dyDescent="0.3">
      <c r="A1163" s="6"/>
    </row>
    <row r="1164" spans="1:1" x14ac:dyDescent="0.3">
      <c r="A1164" s="6"/>
    </row>
    <row r="1165" spans="1:1" x14ac:dyDescent="0.3">
      <c r="A1165" s="6"/>
    </row>
    <row r="1166" spans="1:1" x14ac:dyDescent="0.3">
      <c r="A1166" s="6"/>
    </row>
    <row r="1167" spans="1:1" x14ac:dyDescent="0.3">
      <c r="A1167" s="6"/>
    </row>
    <row r="1168" spans="1:1" x14ac:dyDescent="0.3">
      <c r="A1168" s="6"/>
    </row>
    <row r="1169" spans="1:1" x14ac:dyDescent="0.3">
      <c r="A1169" s="6"/>
    </row>
    <row r="1170" spans="1:1" x14ac:dyDescent="0.3">
      <c r="A1170" s="6"/>
    </row>
    <row r="1171" spans="1:1" x14ac:dyDescent="0.3">
      <c r="A1171" s="6"/>
    </row>
    <row r="1172" spans="1:1" x14ac:dyDescent="0.3">
      <c r="A1172" s="6"/>
    </row>
    <row r="1173" spans="1:1" x14ac:dyDescent="0.3">
      <c r="A1173" s="6"/>
    </row>
    <row r="1174" spans="1:1" x14ac:dyDescent="0.3">
      <c r="A1174" s="6"/>
    </row>
    <row r="1175" spans="1:1" x14ac:dyDescent="0.3">
      <c r="A1175" s="6"/>
    </row>
    <row r="1176" spans="1:1" x14ac:dyDescent="0.3">
      <c r="A1176" s="6"/>
    </row>
    <row r="1177" spans="1:1" x14ac:dyDescent="0.3">
      <c r="A1177" s="6"/>
    </row>
    <row r="1178" spans="1:1" x14ac:dyDescent="0.3">
      <c r="A1178" s="6"/>
    </row>
    <row r="1179" spans="1:1" x14ac:dyDescent="0.3">
      <c r="A1179" s="6"/>
    </row>
    <row r="1180" spans="1:1" x14ac:dyDescent="0.3">
      <c r="A1180" s="6"/>
    </row>
    <row r="1181" spans="1:1" x14ac:dyDescent="0.3">
      <c r="A1181" s="6"/>
    </row>
    <row r="1182" spans="1:1" x14ac:dyDescent="0.3">
      <c r="A1182" s="6"/>
    </row>
    <row r="1183" spans="1:1" x14ac:dyDescent="0.3">
      <c r="A1183" s="6"/>
    </row>
    <row r="1184" spans="1:1" x14ac:dyDescent="0.3">
      <c r="A1184" s="6"/>
    </row>
    <row r="1185" spans="1:1" x14ac:dyDescent="0.3">
      <c r="A1185" s="6"/>
    </row>
    <row r="1186" spans="1:1" x14ac:dyDescent="0.3">
      <c r="A1186" s="6"/>
    </row>
    <row r="1187" spans="1:1" x14ac:dyDescent="0.3">
      <c r="A1187" s="6"/>
    </row>
    <row r="1188" spans="1:1" x14ac:dyDescent="0.3">
      <c r="A1188" s="6"/>
    </row>
    <row r="1189" spans="1:1" x14ac:dyDescent="0.3">
      <c r="A1189" s="6"/>
    </row>
    <row r="1190" spans="1:1" x14ac:dyDescent="0.3">
      <c r="A1190" s="6"/>
    </row>
    <row r="1191" spans="1:1" x14ac:dyDescent="0.3">
      <c r="A1191" s="6"/>
    </row>
    <row r="1192" spans="1:1" x14ac:dyDescent="0.3">
      <c r="A1192" s="6"/>
    </row>
    <row r="1193" spans="1:1" x14ac:dyDescent="0.3">
      <c r="A1193" s="6"/>
    </row>
    <row r="1194" spans="1:1" x14ac:dyDescent="0.3">
      <c r="A1194" s="6"/>
    </row>
    <row r="1195" spans="1:1" x14ac:dyDescent="0.3">
      <c r="A1195" s="6"/>
    </row>
    <row r="1196" spans="1:1" x14ac:dyDescent="0.3">
      <c r="A1196" s="6"/>
    </row>
    <row r="1197" spans="1:1" x14ac:dyDescent="0.3">
      <c r="A1197" s="6"/>
    </row>
    <row r="1198" spans="1:1" x14ac:dyDescent="0.3">
      <c r="A1198" s="6"/>
    </row>
    <row r="1199" spans="1:1" x14ac:dyDescent="0.3">
      <c r="A1199" s="6"/>
    </row>
    <row r="1200" spans="1:1" x14ac:dyDescent="0.3">
      <c r="A1200" s="6"/>
    </row>
    <row r="1201" spans="1:1" x14ac:dyDescent="0.3">
      <c r="A1201" s="6"/>
    </row>
    <row r="1202" spans="1:1" x14ac:dyDescent="0.3">
      <c r="A1202" s="6"/>
    </row>
    <row r="1203" spans="1:1" x14ac:dyDescent="0.3">
      <c r="A1203" s="6"/>
    </row>
    <row r="1204" spans="1:1" x14ac:dyDescent="0.3">
      <c r="A1204" s="6"/>
    </row>
    <row r="1205" spans="1:1" x14ac:dyDescent="0.3">
      <c r="A1205" s="6"/>
    </row>
    <row r="1206" spans="1:1" x14ac:dyDescent="0.3">
      <c r="A1206" s="6"/>
    </row>
    <row r="1207" spans="1:1" x14ac:dyDescent="0.3">
      <c r="A1207" s="6"/>
    </row>
    <row r="1208" spans="1:1" x14ac:dyDescent="0.3">
      <c r="A1208" s="6"/>
    </row>
    <row r="1209" spans="1:1" x14ac:dyDescent="0.3">
      <c r="A1209" s="6"/>
    </row>
    <row r="1210" spans="1:1" x14ac:dyDescent="0.3">
      <c r="A1210" s="6"/>
    </row>
    <row r="1211" spans="1:1" x14ac:dyDescent="0.3">
      <c r="A1211" s="6"/>
    </row>
    <row r="1212" spans="1:1" x14ac:dyDescent="0.3">
      <c r="A1212" s="6"/>
    </row>
    <row r="1213" spans="1:1" x14ac:dyDescent="0.3">
      <c r="A1213" s="6"/>
    </row>
    <row r="1214" spans="1:1" x14ac:dyDescent="0.3">
      <c r="A1214" s="6"/>
    </row>
    <row r="1215" spans="1:1" x14ac:dyDescent="0.3">
      <c r="A1215" s="6"/>
    </row>
    <row r="1216" spans="1:1" x14ac:dyDescent="0.3">
      <c r="A1216" s="6"/>
    </row>
    <row r="1217" spans="1:1" x14ac:dyDescent="0.3">
      <c r="A1217" s="6"/>
    </row>
    <row r="1218" spans="1:1" x14ac:dyDescent="0.3">
      <c r="A1218" s="6"/>
    </row>
    <row r="1219" spans="1:1" x14ac:dyDescent="0.3">
      <c r="A1219" s="6"/>
    </row>
    <row r="1220" spans="1:1" x14ac:dyDescent="0.3">
      <c r="A1220" s="6"/>
    </row>
    <row r="1221" spans="1:1" x14ac:dyDescent="0.3">
      <c r="A1221" s="6"/>
    </row>
    <row r="1222" spans="1:1" x14ac:dyDescent="0.3">
      <c r="A1222" s="6"/>
    </row>
    <row r="1223" spans="1:1" x14ac:dyDescent="0.3">
      <c r="A1223" s="6"/>
    </row>
    <row r="1224" spans="1:1" x14ac:dyDescent="0.3">
      <c r="A1224" s="6"/>
    </row>
    <row r="1225" spans="1:1" x14ac:dyDescent="0.3">
      <c r="A1225" s="6"/>
    </row>
    <row r="1226" spans="1:1" x14ac:dyDescent="0.3">
      <c r="A1226" s="6"/>
    </row>
    <row r="1227" spans="1:1" x14ac:dyDescent="0.3">
      <c r="A1227" s="6"/>
    </row>
    <row r="1228" spans="1:1" x14ac:dyDescent="0.3">
      <c r="A1228" s="6"/>
    </row>
    <row r="1229" spans="1:1" x14ac:dyDescent="0.3">
      <c r="A1229" s="6"/>
    </row>
    <row r="1230" spans="1:1" x14ac:dyDescent="0.3">
      <c r="A1230" s="6"/>
    </row>
    <row r="1231" spans="1:1" x14ac:dyDescent="0.3">
      <c r="A1231" s="6"/>
    </row>
    <row r="1232" spans="1:1" x14ac:dyDescent="0.3">
      <c r="A1232" s="6"/>
    </row>
    <row r="1233" spans="1:1" x14ac:dyDescent="0.3">
      <c r="A1233" s="6"/>
    </row>
    <row r="1234" spans="1:1" x14ac:dyDescent="0.3">
      <c r="A1234" s="6"/>
    </row>
    <row r="1235" spans="1:1" x14ac:dyDescent="0.3">
      <c r="A1235" s="6"/>
    </row>
    <row r="1236" spans="1:1" x14ac:dyDescent="0.3">
      <c r="A1236" s="6"/>
    </row>
    <row r="1237" spans="1:1" x14ac:dyDescent="0.3">
      <c r="A1237" s="6"/>
    </row>
    <row r="1238" spans="1:1" x14ac:dyDescent="0.3">
      <c r="A1238" s="6"/>
    </row>
    <row r="1239" spans="1:1" x14ac:dyDescent="0.3">
      <c r="A1239" s="6"/>
    </row>
    <row r="1240" spans="1:1" x14ac:dyDescent="0.3">
      <c r="A1240" s="6"/>
    </row>
    <row r="1241" spans="1:1" x14ac:dyDescent="0.3">
      <c r="A1241" s="6"/>
    </row>
    <row r="1242" spans="1:1" x14ac:dyDescent="0.3">
      <c r="A1242" s="6"/>
    </row>
    <row r="1243" spans="1:1" x14ac:dyDescent="0.3">
      <c r="A1243" s="6"/>
    </row>
    <row r="1244" spans="1:1" x14ac:dyDescent="0.3">
      <c r="A1244" s="6"/>
    </row>
    <row r="1245" spans="1:1" x14ac:dyDescent="0.3">
      <c r="A1245" s="6"/>
    </row>
    <row r="1246" spans="1:1" x14ac:dyDescent="0.3">
      <c r="A1246" s="6"/>
    </row>
    <row r="1247" spans="1:1" x14ac:dyDescent="0.3">
      <c r="A1247" s="6"/>
    </row>
    <row r="1248" spans="1:1" x14ac:dyDescent="0.3">
      <c r="A1248" s="6"/>
    </row>
    <row r="1249" spans="1:1" x14ac:dyDescent="0.3">
      <c r="A1249" s="6"/>
    </row>
    <row r="1250" spans="1:1" x14ac:dyDescent="0.3">
      <c r="A1250" s="6"/>
    </row>
    <row r="1251" spans="1:1" x14ac:dyDescent="0.3">
      <c r="A1251" s="6"/>
    </row>
    <row r="1252" spans="1:1" x14ac:dyDescent="0.3">
      <c r="A1252" s="6"/>
    </row>
    <row r="1253" spans="1:1" x14ac:dyDescent="0.3">
      <c r="A1253" s="6"/>
    </row>
    <row r="1254" spans="1:1" x14ac:dyDescent="0.3">
      <c r="A1254" s="6"/>
    </row>
    <row r="1255" spans="1:1" x14ac:dyDescent="0.3">
      <c r="A1255" s="6"/>
    </row>
    <row r="1256" spans="1:1" x14ac:dyDescent="0.3">
      <c r="A1256" s="6"/>
    </row>
    <row r="1257" spans="1:1" x14ac:dyDescent="0.3">
      <c r="A1257" s="6"/>
    </row>
    <row r="1258" spans="1:1" x14ac:dyDescent="0.3">
      <c r="A1258" s="6"/>
    </row>
    <row r="1259" spans="1:1" x14ac:dyDescent="0.3">
      <c r="A1259" s="6"/>
    </row>
    <row r="1260" spans="1:1" x14ac:dyDescent="0.3">
      <c r="A1260" s="6"/>
    </row>
    <row r="1261" spans="1:1" x14ac:dyDescent="0.3">
      <c r="A1261" s="6"/>
    </row>
    <row r="1262" spans="1:1" x14ac:dyDescent="0.3">
      <c r="A1262" s="6"/>
    </row>
    <row r="1263" spans="1:1" x14ac:dyDescent="0.3">
      <c r="A1263" s="6"/>
    </row>
    <row r="1264" spans="1:1" x14ac:dyDescent="0.3">
      <c r="A1264" s="6"/>
    </row>
    <row r="1265" spans="1:1" x14ac:dyDescent="0.3">
      <c r="A1265" s="6"/>
    </row>
    <row r="1266" spans="1:1" x14ac:dyDescent="0.3">
      <c r="A1266" s="6"/>
    </row>
    <row r="1267" spans="1:1" x14ac:dyDescent="0.3">
      <c r="A1267" s="6"/>
    </row>
    <row r="1268" spans="1:1" x14ac:dyDescent="0.3">
      <c r="A1268" s="6"/>
    </row>
    <row r="1269" spans="1:1" x14ac:dyDescent="0.3">
      <c r="A1269" s="6"/>
    </row>
    <row r="1270" spans="1:1" x14ac:dyDescent="0.3">
      <c r="A1270" s="6"/>
    </row>
    <row r="1271" spans="1:1" x14ac:dyDescent="0.3">
      <c r="A1271" s="6"/>
    </row>
    <row r="1272" spans="1:1" x14ac:dyDescent="0.3">
      <c r="A1272" s="6"/>
    </row>
    <row r="1273" spans="1:1" x14ac:dyDescent="0.3">
      <c r="A1273" s="6"/>
    </row>
    <row r="1274" spans="1:1" x14ac:dyDescent="0.3">
      <c r="A1274" s="6"/>
    </row>
    <row r="1275" spans="1:1" x14ac:dyDescent="0.3">
      <c r="A1275" s="6"/>
    </row>
    <row r="1276" spans="1:1" x14ac:dyDescent="0.3">
      <c r="A1276" s="6"/>
    </row>
    <row r="1277" spans="1:1" x14ac:dyDescent="0.3">
      <c r="A1277" s="6"/>
    </row>
    <row r="1278" spans="1:1" x14ac:dyDescent="0.3">
      <c r="A1278" s="6"/>
    </row>
    <row r="1279" spans="1:1" x14ac:dyDescent="0.3">
      <c r="A1279" s="6"/>
    </row>
    <row r="1280" spans="1:1" x14ac:dyDescent="0.3">
      <c r="A1280" s="6"/>
    </row>
    <row r="1281" spans="1:1" x14ac:dyDescent="0.3">
      <c r="A1281" s="6"/>
    </row>
    <row r="1282" spans="1:1" x14ac:dyDescent="0.3">
      <c r="A1282" s="6"/>
    </row>
    <row r="1283" spans="1:1" x14ac:dyDescent="0.3">
      <c r="A1283" s="6"/>
    </row>
    <row r="1284" spans="1:1" x14ac:dyDescent="0.3">
      <c r="A1284" s="6"/>
    </row>
    <row r="1285" spans="1:1" x14ac:dyDescent="0.3">
      <c r="A1285" s="6"/>
    </row>
    <row r="1286" spans="1:1" x14ac:dyDescent="0.3">
      <c r="A1286" s="6"/>
    </row>
    <row r="1287" spans="1:1" x14ac:dyDescent="0.3">
      <c r="A1287" s="6"/>
    </row>
    <row r="1288" spans="1:1" x14ac:dyDescent="0.3">
      <c r="A1288" s="6"/>
    </row>
    <row r="1289" spans="1:1" x14ac:dyDescent="0.3">
      <c r="A1289" s="6"/>
    </row>
    <row r="1290" spans="1:1" x14ac:dyDescent="0.3">
      <c r="A1290" s="6"/>
    </row>
    <row r="1291" spans="1:1" x14ac:dyDescent="0.3">
      <c r="A1291" s="6"/>
    </row>
    <row r="1292" spans="1:1" x14ac:dyDescent="0.3">
      <c r="A1292" s="6"/>
    </row>
    <row r="1293" spans="1:1" x14ac:dyDescent="0.3">
      <c r="A1293" s="6"/>
    </row>
    <row r="1294" spans="1:1" x14ac:dyDescent="0.3">
      <c r="A1294" s="6"/>
    </row>
    <row r="1295" spans="1:1" x14ac:dyDescent="0.3">
      <c r="A1295" s="6"/>
    </row>
    <row r="1296" spans="1:1" x14ac:dyDescent="0.3">
      <c r="A1296" s="6"/>
    </row>
    <row r="1297" spans="1:1" x14ac:dyDescent="0.3">
      <c r="A1297" s="6"/>
    </row>
    <row r="1298" spans="1:1" x14ac:dyDescent="0.3">
      <c r="A1298" s="6"/>
    </row>
    <row r="1299" spans="1:1" x14ac:dyDescent="0.3">
      <c r="A1299" s="6"/>
    </row>
    <row r="1300" spans="1:1" x14ac:dyDescent="0.3">
      <c r="A1300" s="6"/>
    </row>
    <row r="1301" spans="1:1" x14ac:dyDescent="0.3">
      <c r="A1301" s="6"/>
    </row>
    <row r="1302" spans="1:1" x14ac:dyDescent="0.3">
      <c r="A1302" s="6"/>
    </row>
    <row r="1303" spans="1:1" x14ac:dyDescent="0.3">
      <c r="A1303" s="6"/>
    </row>
    <row r="1304" spans="1:1" x14ac:dyDescent="0.3">
      <c r="A1304" s="6"/>
    </row>
    <row r="1305" spans="1:1" x14ac:dyDescent="0.3">
      <c r="A1305" s="6"/>
    </row>
    <row r="1306" spans="1:1" x14ac:dyDescent="0.3">
      <c r="A1306" s="6"/>
    </row>
    <row r="1307" spans="1:1" x14ac:dyDescent="0.3">
      <c r="A1307" s="6"/>
    </row>
    <row r="1308" spans="1:1" x14ac:dyDescent="0.3">
      <c r="A1308" s="6"/>
    </row>
    <row r="1309" spans="1:1" x14ac:dyDescent="0.3">
      <c r="A1309" s="6"/>
    </row>
    <row r="1310" spans="1:1" x14ac:dyDescent="0.3">
      <c r="A1310" s="6"/>
    </row>
    <row r="1311" spans="1:1" x14ac:dyDescent="0.3">
      <c r="A1311" s="6"/>
    </row>
    <row r="1312" spans="1:1" x14ac:dyDescent="0.3">
      <c r="A1312" s="6"/>
    </row>
    <row r="1313" spans="1:1" x14ac:dyDescent="0.3">
      <c r="A1313" s="6"/>
    </row>
    <row r="1314" spans="1:1" x14ac:dyDescent="0.3">
      <c r="A1314" s="6"/>
    </row>
    <row r="1315" spans="1:1" x14ac:dyDescent="0.3">
      <c r="A1315" s="6"/>
    </row>
    <row r="1316" spans="1:1" x14ac:dyDescent="0.3">
      <c r="A1316" s="6"/>
    </row>
    <row r="1317" spans="1:1" x14ac:dyDescent="0.3">
      <c r="A1317" s="6"/>
    </row>
    <row r="1318" spans="1:1" x14ac:dyDescent="0.3">
      <c r="A1318" s="6"/>
    </row>
    <row r="1319" spans="1:1" x14ac:dyDescent="0.3">
      <c r="A1319" s="6"/>
    </row>
    <row r="1320" spans="1:1" x14ac:dyDescent="0.3">
      <c r="A1320" s="6"/>
    </row>
    <row r="1321" spans="1:1" x14ac:dyDescent="0.3">
      <c r="A1321" s="6"/>
    </row>
    <row r="1322" spans="1:1" x14ac:dyDescent="0.3">
      <c r="A1322" s="6"/>
    </row>
    <row r="1323" spans="1:1" x14ac:dyDescent="0.3">
      <c r="A1323" s="6"/>
    </row>
    <row r="1324" spans="1:1" x14ac:dyDescent="0.3">
      <c r="A1324" s="6"/>
    </row>
    <row r="1325" spans="1:1" x14ac:dyDescent="0.3">
      <c r="A1325" s="6"/>
    </row>
    <row r="1326" spans="1:1" x14ac:dyDescent="0.3">
      <c r="A1326" s="6"/>
    </row>
    <row r="1327" spans="1:1" x14ac:dyDescent="0.3">
      <c r="A1327" s="6"/>
    </row>
    <row r="1328" spans="1:1" x14ac:dyDescent="0.3">
      <c r="A1328" s="6"/>
    </row>
    <row r="1329" spans="1:1" x14ac:dyDescent="0.3">
      <c r="A1329" s="6"/>
    </row>
    <row r="1330" spans="1:1" x14ac:dyDescent="0.3">
      <c r="A1330" s="6"/>
    </row>
    <row r="1331" spans="1:1" x14ac:dyDescent="0.3">
      <c r="A1331" s="6"/>
    </row>
    <row r="1332" spans="1:1" x14ac:dyDescent="0.3">
      <c r="A1332" s="6"/>
    </row>
    <row r="1333" spans="1:1" x14ac:dyDescent="0.3">
      <c r="A1333" s="6"/>
    </row>
    <row r="1334" spans="1:1" x14ac:dyDescent="0.3">
      <c r="A1334" s="6"/>
    </row>
    <row r="1335" spans="1:1" x14ac:dyDescent="0.3">
      <c r="A1335" s="6"/>
    </row>
    <row r="1336" spans="1:1" x14ac:dyDescent="0.3">
      <c r="A1336" s="6"/>
    </row>
    <row r="1337" spans="1:1" x14ac:dyDescent="0.3">
      <c r="A1337" s="6"/>
    </row>
    <row r="1338" spans="1:1" x14ac:dyDescent="0.3">
      <c r="A1338" s="6"/>
    </row>
    <row r="1339" spans="1:1" x14ac:dyDescent="0.3">
      <c r="A1339" s="6"/>
    </row>
    <row r="1340" spans="1:1" x14ac:dyDescent="0.3">
      <c r="A1340" s="6"/>
    </row>
    <row r="1341" spans="1:1" x14ac:dyDescent="0.3">
      <c r="A1341" s="6"/>
    </row>
    <row r="1342" spans="1:1" x14ac:dyDescent="0.3">
      <c r="A1342" s="6"/>
    </row>
    <row r="1343" spans="1:1" x14ac:dyDescent="0.3">
      <c r="A1343" s="6"/>
    </row>
    <row r="1344" spans="1:1" x14ac:dyDescent="0.3">
      <c r="A1344" s="6"/>
    </row>
    <row r="1345" spans="1:1" x14ac:dyDescent="0.3">
      <c r="A1345" s="6"/>
    </row>
    <row r="1346" spans="1:1" x14ac:dyDescent="0.3">
      <c r="A1346" s="6"/>
    </row>
    <row r="1347" spans="1:1" x14ac:dyDescent="0.3">
      <c r="A1347" s="6"/>
    </row>
    <row r="1348" spans="1:1" x14ac:dyDescent="0.3">
      <c r="A1348" s="6"/>
    </row>
    <row r="1349" spans="1:1" x14ac:dyDescent="0.3">
      <c r="A1349" s="6"/>
    </row>
    <row r="1350" spans="1:1" x14ac:dyDescent="0.3">
      <c r="A1350" s="6"/>
    </row>
    <row r="1351" spans="1:1" x14ac:dyDescent="0.3">
      <c r="A1351" s="6"/>
    </row>
    <row r="1352" spans="1:1" x14ac:dyDescent="0.3">
      <c r="A1352" s="6"/>
    </row>
    <row r="1353" spans="1:1" x14ac:dyDescent="0.3">
      <c r="A1353" s="6"/>
    </row>
    <row r="1354" spans="1:1" x14ac:dyDescent="0.3">
      <c r="A1354" s="6"/>
    </row>
    <row r="1355" spans="1:1" x14ac:dyDescent="0.3">
      <c r="A1355" s="6"/>
    </row>
    <row r="1356" spans="1:1" x14ac:dyDescent="0.3">
      <c r="A1356" s="6"/>
    </row>
    <row r="1357" spans="1:1" x14ac:dyDescent="0.3">
      <c r="A1357" s="6"/>
    </row>
    <row r="1358" spans="1:1" x14ac:dyDescent="0.3">
      <c r="A1358" s="6"/>
    </row>
    <row r="1359" spans="1:1" x14ac:dyDescent="0.3">
      <c r="A1359" s="6"/>
    </row>
    <row r="1360" spans="1:1" x14ac:dyDescent="0.3">
      <c r="A1360" s="6"/>
    </row>
    <row r="1361" spans="1:1" x14ac:dyDescent="0.3">
      <c r="A1361" s="6"/>
    </row>
    <row r="1362" spans="1:1" x14ac:dyDescent="0.3">
      <c r="A1362" s="6"/>
    </row>
    <row r="1363" spans="1:1" x14ac:dyDescent="0.3">
      <c r="A1363" s="6"/>
    </row>
    <row r="1364" spans="1:1" x14ac:dyDescent="0.3">
      <c r="A1364" s="6"/>
    </row>
    <row r="1365" spans="1:1" x14ac:dyDescent="0.3">
      <c r="A1365" s="6"/>
    </row>
    <row r="1366" spans="1:1" x14ac:dyDescent="0.3">
      <c r="A1366" s="6"/>
    </row>
    <row r="1367" spans="1:1" x14ac:dyDescent="0.3">
      <c r="A1367" s="6"/>
    </row>
    <row r="1368" spans="1:1" x14ac:dyDescent="0.3">
      <c r="A1368" s="6"/>
    </row>
    <row r="1369" spans="1:1" x14ac:dyDescent="0.3">
      <c r="A1369" s="6"/>
    </row>
    <row r="1370" spans="1:1" x14ac:dyDescent="0.3">
      <c r="A1370" s="6"/>
    </row>
    <row r="1371" spans="1:1" x14ac:dyDescent="0.3">
      <c r="A1371" s="6"/>
    </row>
    <row r="1372" spans="1:1" x14ac:dyDescent="0.3">
      <c r="A1372" s="6"/>
    </row>
    <row r="1373" spans="1:1" x14ac:dyDescent="0.3">
      <c r="A1373" s="6"/>
    </row>
    <row r="1374" spans="1:1" x14ac:dyDescent="0.3">
      <c r="A1374" s="6"/>
    </row>
    <row r="1375" spans="1:1" x14ac:dyDescent="0.3">
      <c r="A1375" s="6"/>
    </row>
    <row r="1376" spans="1:1" x14ac:dyDescent="0.3">
      <c r="A1376" s="6"/>
    </row>
    <row r="1377" spans="1:1" x14ac:dyDescent="0.3">
      <c r="A1377" s="6"/>
    </row>
    <row r="1378" spans="1:1" x14ac:dyDescent="0.3">
      <c r="A1378" s="6"/>
    </row>
    <row r="1379" spans="1:1" x14ac:dyDescent="0.3">
      <c r="A1379" s="6"/>
    </row>
    <row r="1380" spans="1:1" x14ac:dyDescent="0.3">
      <c r="A1380" s="6"/>
    </row>
    <row r="1381" spans="1:1" x14ac:dyDescent="0.3">
      <c r="A1381" s="6"/>
    </row>
    <row r="1382" spans="1:1" x14ac:dyDescent="0.3">
      <c r="A1382" s="6"/>
    </row>
    <row r="1383" spans="1:1" x14ac:dyDescent="0.3">
      <c r="A1383" s="6"/>
    </row>
    <row r="1384" spans="1:1" x14ac:dyDescent="0.3">
      <c r="A1384" s="6"/>
    </row>
    <row r="1385" spans="1:1" x14ac:dyDescent="0.3">
      <c r="A1385" s="6"/>
    </row>
    <row r="1386" spans="1:1" x14ac:dyDescent="0.3">
      <c r="A1386" s="6"/>
    </row>
    <row r="1387" spans="1:1" x14ac:dyDescent="0.3">
      <c r="A1387" s="6"/>
    </row>
    <row r="1388" spans="1:1" x14ac:dyDescent="0.3">
      <c r="A1388" s="6"/>
    </row>
    <row r="1389" spans="1:1" x14ac:dyDescent="0.3">
      <c r="A1389" s="6"/>
    </row>
    <row r="1390" spans="1:1" x14ac:dyDescent="0.3">
      <c r="A1390" s="6"/>
    </row>
    <row r="1391" spans="1:1" x14ac:dyDescent="0.3">
      <c r="A1391" s="6"/>
    </row>
    <row r="1392" spans="1:1" x14ac:dyDescent="0.3">
      <c r="A1392" s="6"/>
    </row>
    <row r="1393" spans="1:1" x14ac:dyDescent="0.3">
      <c r="A1393" s="6"/>
    </row>
    <row r="1394" spans="1:1" x14ac:dyDescent="0.3">
      <c r="A1394" s="6"/>
    </row>
    <row r="1395" spans="1:1" x14ac:dyDescent="0.3">
      <c r="A1395" s="6"/>
    </row>
    <row r="1396" spans="1:1" x14ac:dyDescent="0.3">
      <c r="A1396" s="6"/>
    </row>
    <row r="1397" spans="1:1" x14ac:dyDescent="0.3">
      <c r="A1397" s="6"/>
    </row>
    <row r="1398" spans="1:1" x14ac:dyDescent="0.3">
      <c r="A1398" s="6"/>
    </row>
    <row r="1399" spans="1:1" x14ac:dyDescent="0.3">
      <c r="A1399" s="6"/>
    </row>
    <row r="1400" spans="1:1" x14ac:dyDescent="0.3">
      <c r="A1400" s="6"/>
    </row>
    <row r="1401" spans="1:1" x14ac:dyDescent="0.3">
      <c r="A1401" s="6"/>
    </row>
    <row r="1402" spans="1:1" x14ac:dyDescent="0.3">
      <c r="A1402" s="6"/>
    </row>
    <row r="1403" spans="1:1" x14ac:dyDescent="0.3">
      <c r="A1403" s="6"/>
    </row>
    <row r="1404" spans="1:1" x14ac:dyDescent="0.3">
      <c r="A1404" s="6"/>
    </row>
    <row r="1405" spans="1:1" x14ac:dyDescent="0.3">
      <c r="A1405" s="6"/>
    </row>
    <row r="1406" spans="1:1" x14ac:dyDescent="0.3">
      <c r="A1406" s="6"/>
    </row>
    <row r="1407" spans="1:1" x14ac:dyDescent="0.3">
      <c r="A1407" s="6"/>
    </row>
    <row r="1408" spans="1:1" x14ac:dyDescent="0.3">
      <c r="A1408" s="6"/>
    </row>
    <row r="1409" spans="1:1" x14ac:dyDescent="0.3">
      <c r="A1409" s="6"/>
    </row>
    <row r="1410" spans="1:1" x14ac:dyDescent="0.3">
      <c r="A1410" s="6"/>
    </row>
    <row r="1411" spans="1:1" x14ac:dyDescent="0.3">
      <c r="A1411" s="6"/>
    </row>
    <row r="1412" spans="1:1" x14ac:dyDescent="0.3">
      <c r="A1412" s="6"/>
    </row>
    <row r="1413" spans="1:1" x14ac:dyDescent="0.3">
      <c r="A1413" s="6"/>
    </row>
    <row r="1414" spans="1:1" x14ac:dyDescent="0.3">
      <c r="A1414" s="6"/>
    </row>
    <row r="1415" spans="1:1" x14ac:dyDescent="0.3">
      <c r="A1415" s="6"/>
    </row>
    <row r="1416" spans="1:1" x14ac:dyDescent="0.3">
      <c r="A1416" s="6"/>
    </row>
    <row r="1417" spans="1:1" x14ac:dyDescent="0.3">
      <c r="A1417" s="6"/>
    </row>
    <row r="1418" spans="1:1" x14ac:dyDescent="0.3">
      <c r="A1418" s="6"/>
    </row>
    <row r="1419" spans="1:1" x14ac:dyDescent="0.3">
      <c r="A1419" s="6"/>
    </row>
    <row r="1420" spans="1:1" x14ac:dyDescent="0.3">
      <c r="A1420" s="6"/>
    </row>
    <row r="1421" spans="1:1" x14ac:dyDescent="0.3">
      <c r="A1421" s="6"/>
    </row>
    <row r="1422" spans="1:1" x14ac:dyDescent="0.3">
      <c r="A1422" s="6"/>
    </row>
    <row r="1423" spans="1:1" x14ac:dyDescent="0.3">
      <c r="A1423" s="6"/>
    </row>
    <row r="1424" spans="1:1" x14ac:dyDescent="0.3">
      <c r="A1424" s="6"/>
    </row>
    <row r="1425" spans="1:1" x14ac:dyDescent="0.3">
      <c r="A1425" s="6"/>
    </row>
    <row r="1426" spans="1:1" x14ac:dyDescent="0.3">
      <c r="A1426" s="6"/>
    </row>
    <row r="1427" spans="1:1" x14ac:dyDescent="0.3">
      <c r="A1427" s="6"/>
    </row>
    <row r="1428" spans="1:1" x14ac:dyDescent="0.3">
      <c r="A1428" s="6"/>
    </row>
    <row r="1429" spans="1:1" x14ac:dyDescent="0.3">
      <c r="A1429" s="6"/>
    </row>
    <row r="1430" spans="1:1" x14ac:dyDescent="0.3">
      <c r="A1430" s="6"/>
    </row>
    <row r="1431" spans="1:1" x14ac:dyDescent="0.3">
      <c r="A1431" s="6"/>
    </row>
    <row r="1432" spans="1:1" x14ac:dyDescent="0.3">
      <c r="A1432" s="6"/>
    </row>
    <row r="1433" spans="1:1" x14ac:dyDescent="0.3">
      <c r="A1433" s="6"/>
    </row>
    <row r="1434" spans="1:1" x14ac:dyDescent="0.3">
      <c r="A1434" s="6"/>
    </row>
    <row r="1435" spans="1:1" x14ac:dyDescent="0.3">
      <c r="A1435" s="6"/>
    </row>
    <row r="1436" spans="1:1" x14ac:dyDescent="0.3">
      <c r="A1436" s="6"/>
    </row>
    <row r="1437" spans="1:1" x14ac:dyDescent="0.3">
      <c r="A1437" s="6"/>
    </row>
    <row r="1438" spans="1:1" x14ac:dyDescent="0.3">
      <c r="A1438" s="6"/>
    </row>
    <row r="1439" spans="1:1" x14ac:dyDescent="0.3">
      <c r="A1439" s="6"/>
    </row>
    <row r="1440" spans="1:1" x14ac:dyDescent="0.3">
      <c r="A1440" s="6"/>
    </row>
    <row r="1441" spans="1:1" x14ac:dyDescent="0.3">
      <c r="A1441" s="6"/>
    </row>
    <row r="1442" spans="1:1" x14ac:dyDescent="0.3">
      <c r="A1442" s="6"/>
    </row>
    <row r="1443" spans="1:1" x14ac:dyDescent="0.3">
      <c r="A1443" s="6"/>
    </row>
    <row r="1444" spans="1:1" x14ac:dyDescent="0.3">
      <c r="A1444" s="6"/>
    </row>
    <row r="1445" spans="1:1" x14ac:dyDescent="0.3">
      <c r="A1445" s="6"/>
    </row>
    <row r="1446" spans="1:1" x14ac:dyDescent="0.3">
      <c r="A1446" s="6"/>
    </row>
    <row r="1447" spans="1:1" x14ac:dyDescent="0.3">
      <c r="A1447" s="6"/>
    </row>
    <row r="1448" spans="1:1" x14ac:dyDescent="0.3">
      <c r="A1448" s="6"/>
    </row>
    <row r="1449" spans="1:1" x14ac:dyDescent="0.3">
      <c r="A1449" s="6"/>
    </row>
    <row r="1450" spans="1:1" x14ac:dyDescent="0.3">
      <c r="A1450" s="6"/>
    </row>
    <row r="1451" spans="1:1" x14ac:dyDescent="0.3">
      <c r="A1451" s="6"/>
    </row>
    <row r="1452" spans="1:1" x14ac:dyDescent="0.3">
      <c r="A1452" s="6"/>
    </row>
    <row r="1453" spans="1:1" x14ac:dyDescent="0.3">
      <c r="A1453" s="6"/>
    </row>
    <row r="1454" spans="1:1" x14ac:dyDescent="0.3">
      <c r="A1454" s="6"/>
    </row>
    <row r="1455" spans="1:1" x14ac:dyDescent="0.3">
      <c r="A1455" s="6"/>
    </row>
    <row r="1456" spans="1:1" x14ac:dyDescent="0.3">
      <c r="A1456" s="6"/>
    </row>
    <row r="1457" spans="1:1" x14ac:dyDescent="0.3">
      <c r="A1457" s="6"/>
    </row>
    <row r="1458" spans="1:1" x14ac:dyDescent="0.3">
      <c r="A1458" s="6"/>
    </row>
    <row r="1459" spans="1:1" x14ac:dyDescent="0.3">
      <c r="A1459" s="6"/>
    </row>
    <row r="1460" spans="1:1" x14ac:dyDescent="0.3">
      <c r="A1460" s="6"/>
    </row>
    <row r="1461" spans="1:1" x14ac:dyDescent="0.3">
      <c r="A1461" s="6"/>
    </row>
    <row r="1462" spans="1:1" x14ac:dyDescent="0.3">
      <c r="A1462" s="6"/>
    </row>
    <row r="1463" spans="1:1" x14ac:dyDescent="0.3">
      <c r="A1463" s="6"/>
    </row>
    <row r="1464" spans="1:1" x14ac:dyDescent="0.3">
      <c r="A1464" s="6"/>
    </row>
    <row r="1465" spans="1:1" x14ac:dyDescent="0.3">
      <c r="A1465" s="6"/>
    </row>
    <row r="1466" spans="1:1" x14ac:dyDescent="0.3">
      <c r="A1466" s="6"/>
    </row>
    <row r="1467" spans="1:1" x14ac:dyDescent="0.3">
      <c r="A1467" s="6"/>
    </row>
    <row r="1468" spans="1:1" x14ac:dyDescent="0.3">
      <c r="A1468" s="6"/>
    </row>
    <row r="1469" spans="1:1" x14ac:dyDescent="0.3">
      <c r="A1469" s="6"/>
    </row>
    <row r="1470" spans="1:1" x14ac:dyDescent="0.3">
      <c r="A1470" s="6"/>
    </row>
    <row r="1471" spans="1:1" x14ac:dyDescent="0.3">
      <c r="A1471" s="6"/>
    </row>
    <row r="1472" spans="1:1" x14ac:dyDescent="0.3">
      <c r="A1472" s="6"/>
    </row>
    <row r="1473" spans="1:1" x14ac:dyDescent="0.3">
      <c r="A1473" s="6"/>
    </row>
    <row r="1474" spans="1:1" x14ac:dyDescent="0.3">
      <c r="A1474" s="6"/>
    </row>
    <row r="1475" spans="1:1" x14ac:dyDescent="0.3">
      <c r="A1475" s="6"/>
    </row>
    <row r="1476" spans="1:1" x14ac:dyDescent="0.3">
      <c r="A1476" s="6"/>
    </row>
    <row r="1477" spans="1:1" x14ac:dyDescent="0.3">
      <c r="A1477" s="6"/>
    </row>
    <row r="1478" spans="1:1" x14ac:dyDescent="0.3">
      <c r="A1478" s="6"/>
    </row>
    <row r="1479" spans="1:1" x14ac:dyDescent="0.3">
      <c r="A1479" s="6"/>
    </row>
    <row r="1480" spans="1:1" x14ac:dyDescent="0.3">
      <c r="A1480" s="6"/>
    </row>
    <row r="1481" spans="1:1" x14ac:dyDescent="0.3">
      <c r="A1481" s="6"/>
    </row>
    <row r="1482" spans="1:1" x14ac:dyDescent="0.3">
      <c r="A1482" s="6"/>
    </row>
    <row r="1483" spans="1:1" x14ac:dyDescent="0.3">
      <c r="A1483" s="6"/>
    </row>
    <row r="1484" spans="1:1" x14ac:dyDescent="0.3">
      <c r="A1484" s="6"/>
    </row>
    <row r="1485" spans="1:1" x14ac:dyDescent="0.3">
      <c r="A1485" s="6"/>
    </row>
    <row r="1486" spans="1:1" x14ac:dyDescent="0.3">
      <c r="A1486" s="6"/>
    </row>
    <row r="1487" spans="1:1" x14ac:dyDescent="0.3">
      <c r="A1487" s="6"/>
    </row>
    <row r="1488" spans="1:1" x14ac:dyDescent="0.3">
      <c r="A1488" s="6"/>
    </row>
    <row r="1489" spans="1:1" x14ac:dyDescent="0.3">
      <c r="A1489" s="6"/>
    </row>
    <row r="1490" spans="1:1" x14ac:dyDescent="0.3">
      <c r="A1490" s="6"/>
    </row>
    <row r="1491" spans="1:1" x14ac:dyDescent="0.3">
      <c r="A1491" s="6"/>
    </row>
    <row r="1492" spans="1:1" x14ac:dyDescent="0.3">
      <c r="A1492" s="6"/>
    </row>
    <row r="1493" spans="1:1" x14ac:dyDescent="0.3">
      <c r="A1493" s="6"/>
    </row>
    <row r="1494" spans="1:1" x14ac:dyDescent="0.3">
      <c r="A1494" s="6"/>
    </row>
    <row r="1495" spans="1:1" x14ac:dyDescent="0.3">
      <c r="A1495" s="6"/>
    </row>
    <row r="1496" spans="1:1" x14ac:dyDescent="0.3">
      <c r="A1496" s="6"/>
    </row>
    <row r="1497" spans="1:1" x14ac:dyDescent="0.3">
      <c r="A1497" s="6"/>
    </row>
    <row r="1498" spans="1:1" x14ac:dyDescent="0.3">
      <c r="A1498" s="6"/>
    </row>
    <row r="1499" spans="1:1" x14ac:dyDescent="0.3">
      <c r="A1499" s="6"/>
    </row>
    <row r="1500" spans="1:1" x14ac:dyDescent="0.3">
      <c r="A1500" s="6"/>
    </row>
    <row r="1501" spans="1:1" x14ac:dyDescent="0.3">
      <c r="A1501" s="6"/>
    </row>
    <row r="1502" spans="1:1" x14ac:dyDescent="0.3">
      <c r="A1502" s="6"/>
    </row>
    <row r="1503" spans="1:1" x14ac:dyDescent="0.3">
      <c r="A1503" s="6"/>
    </row>
    <row r="1504" spans="1:1" x14ac:dyDescent="0.3">
      <c r="A1504" s="6"/>
    </row>
    <row r="1505" spans="1:1" x14ac:dyDescent="0.3">
      <c r="A1505" s="6"/>
    </row>
    <row r="1506" spans="1:1" x14ac:dyDescent="0.3">
      <c r="A1506" s="6"/>
    </row>
    <row r="1507" spans="1:1" x14ac:dyDescent="0.3">
      <c r="A1507" s="6"/>
    </row>
    <row r="1508" spans="1:1" x14ac:dyDescent="0.3">
      <c r="A1508" s="6"/>
    </row>
    <row r="1509" spans="1:1" x14ac:dyDescent="0.3">
      <c r="A1509" s="6"/>
    </row>
    <row r="1510" spans="1:1" x14ac:dyDescent="0.3">
      <c r="A1510" s="6"/>
    </row>
    <row r="1511" spans="1:1" x14ac:dyDescent="0.3">
      <c r="A1511" s="6"/>
    </row>
    <row r="1512" spans="1:1" x14ac:dyDescent="0.3">
      <c r="A1512" s="6"/>
    </row>
    <row r="1513" spans="1:1" x14ac:dyDescent="0.3">
      <c r="A1513" s="6"/>
    </row>
    <row r="1514" spans="1:1" x14ac:dyDescent="0.3">
      <c r="A1514" s="6"/>
    </row>
    <row r="1515" spans="1:1" x14ac:dyDescent="0.3">
      <c r="A1515" s="6"/>
    </row>
    <row r="1516" spans="1:1" x14ac:dyDescent="0.3">
      <c r="A1516" s="6"/>
    </row>
    <row r="1517" spans="1:1" x14ac:dyDescent="0.3">
      <c r="A1517" s="6"/>
    </row>
    <row r="1518" spans="1:1" x14ac:dyDescent="0.3">
      <c r="A1518" s="6"/>
    </row>
    <row r="1519" spans="1:1" x14ac:dyDescent="0.3">
      <c r="A1519" s="6"/>
    </row>
    <row r="1520" spans="1:1" x14ac:dyDescent="0.3">
      <c r="A1520" s="6"/>
    </row>
    <row r="1521" spans="1:1" x14ac:dyDescent="0.3">
      <c r="A1521" s="6"/>
    </row>
    <row r="1522" spans="1:1" x14ac:dyDescent="0.3">
      <c r="A1522" s="6"/>
    </row>
    <row r="1523" spans="1:1" x14ac:dyDescent="0.3">
      <c r="A1523" s="6"/>
    </row>
    <row r="1524" spans="1:1" x14ac:dyDescent="0.3">
      <c r="A1524" s="6"/>
    </row>
    <row r="1525" spans="1:1" x14ac:dyDescent="0.3">
      <c r="A1525" s="6"/>
    </row>
    <row r="1526" spans="1:1" x14ac:dyDescent="0.3">
      <c r="A1526" s="6"/>
    </row>
    <row r="1527" spans="1:1" x14ac:dyDescent="0.3">
      <c r="A1527" s="6"/>
    </row>
    <row r="1528" spans="1:1" x14ac:dyDescent="0.3">
      <c r="A1528" s="6"/>
    </row>
    <row r="1529" spans="1:1" x14ac:dyDescent="0.3">
      <c r="A1529" s="6"/>
    </row>
    <row r="1530" spans="1:1" x14ac:dyDescent="0.3">
      <c r="A1530" s="6"/>
    </row>
    <row r="1531" spans="1:1" x14ac:dyDescent="0.3">
      <c r="A1531" s="6"/>
    </row>
    <row r="1532" spans="1:1" x14ac:dyDescent="0.3">
      <c r="A1532" s="6"/>
    </row>
    <row r="1533" spans="1:1" x14ac:dyDescent="0.3">
      <c r="A1533" s="6"/>
    </row>
    <row r="1534" spans="1:1" x14ac:dyDescent="0.3">
      <c r="A1534" s="6"/>
    </row>
    <row r="1535" spans="1:1" x14ac:dyDescent="0.3">
      <c r="A1535" s="6"/>
    </row>
    <row r="1536" spans="1:1" x14ac:dyDescent="0.3">
      <c r="A1536" s="6"/>
    </row>
    <row r="1537" spans="1:1" x14ac:dyDescent="0.3">
      <c r="A1537" s="6"/>
    </row>
    <row r="1538" spans="1:1" x14ac:dyDescent="0.3">
      <c r="A1538" s="6"/>
    </row>
    <row r="1539" spans="1:1" x14ac:dyDescent="0.3">
      <c r="A1539" s="6"/>
    </row>
    <row r="1540" spans="1:1" x14ac:dyDescent="0.3">
      <c r="A1540" s="6"/>
    </row>
    <row r="1541" spans="1:1" x14ac:dyDescent="0.3">
      <c r="A1541" s="6"/>
    </row>
    <row r="1542" spans="1:1" x14ac:dyDescent="0.3">
      <c r="A1542" s="6"/>
    </row>
    <row r="1543" spans="1:1" x14ac:dyDescent="0.3">
      <c r="A1543" s="6"/>
    </row>
    <row r="1544" spans="1:1" x14ac:dyDescent="0.3">
      <c r="A1544" s="6"/>
    </row>
    <row r="1545" spans="1:1" x14ac:dyDescent="0.3">
      <c r="A1545" s="6"/>
    </row>
    <row r="1546" spans="1:1" x14ac:dyDescent="0.3">
      <c r="A1546" s="6"/>
    </row>
    <row r="1547" spans="1:1" x14ac:dyDescent="0.3">
      <c r="A1547" s="6"/>
    </row>
    <row r="1548" spans="1:1" x14ac:dyDescent="0.3">
      <c r="A1548" s="6"/>
    </row>
    <row r="1549" spans="1:1" x14ac:dyDescent="0.3">
      <c r="A1549" s="6"/>
    </row>
    <row r="1550" spans="1:1" x14ac:dyDescent="0.3">
      <c r="A1550" s="6"/>
    </row>
    <row r="1551" spans="1:1" x14ac:dyDescent="0.3">
      <c r="A1551" s="6"/>
    </row>
    <row r="1552" spans="1:1" x14ac:dyDescent="0.3">
      <c r="A1552" s="6"/>
    </row>
    <row r="1553" spans="1:1" x14ac:dyDescent="0.3">
      <c r="A1553" s="6"/>
    </row>
    <row r="1554" spans="1:1" x14ac:dyDescent="0.3">
      <c r="A1554" s="6"/>
    </row>
    <row r="1555" spans="1:1" x14ac:dyDescent="0.3">
      <c r="A1555" s="6"/>
    </row>
    <row r="1556" spans="1:1" x14ac:dyDescent="0.3">
      <c r="A1556" s="6"/>
    </row>
    <row r="1557" spans="1:1" x14ac:dyDescent="0.3">
      <c r="A1557" s="6"/>
    </row>
    <row r="1558" spans="1:1" x14ac:dyDescent="0.3">
      <c r="A1558" s="6"/>
    </row>
    <row r="1559" spans="1:1" x14ac:dyDescent="0.3">
      <c r="A1559" s="6"/>
    </row>
    <row r="1560" spans="1:1" x14ac:dyDescent="0.3">
      <c r="A1560" s="6"/>
    </row>
    <row r="1561" spans="1:1" x14ac:dyDescent="0.3">
      <c r="A1561" s="6"/>
    </row>
    <row r="1562" spans="1:1" x14ac:dyDescent="0.3">
      <c r="A1562" s="6"/>
    </row>
    <row r="1563" spans="1:1" x14ac:dyDescent="0.3">
      <c r="A1563" s="6"/>
    </row>
    <row r="1564" spans="1:1" x14ac:dyDescent="0.3">
      <c r="A1564" s="6"/>
    </row>
    <row r="1565" spans="1:1" x14ac:dyDescent="0.3">
      <c r="A1565" s="6"/>
    </row>
    <row r="1566" spans="1:1" x14ac:dyDescent="0.3">
      <c r="A1566" s="6"/>
    </row>
    <row r="1567" spans="1:1" x14ac:dyDescent="0.3">
      <c r="A1567" s="6"/>
    </row>
    <row r="1568" spans="1:1" x14ac:dyDescent="0.3">
      <c r="A1568" s="6"/>
    </row>
    <row r="1569" spans="1:1" x14ac:dyDescent="0.3">
      <c r="A1569" s="6"/>
    </row>
    <row r="1570" spans="1:1" x14ac:dyDescent="0.3">
      <c r="A1570" s="6"/>
    </row>
    <row r="1571" spans="1:1" x14ac:dyDescent="0.3">
      <c r="A1571" s="6"/>
    </row>
    <row r="1572" spans="1:1" x14ac:dyDescent="0.3">
      <c r="A1572" s="6"/>
    </row>
    <row r="1573" spans="1:1" x14ac:dyDescent="0.3">
      <c r="A1573" s="6"/>
    </row>
    <row r="1574" spans="1:1" x14ac:dyDescent="0.3">
      <c r="A1574" s="6"/>
    </row>
    <row r="1575" spans="1:1" x14ac:dyDescent="0.3">
      <c r="A1575" s="6"/>
    </row>
    <row r="1576" spans="1:1" x14ac:dyDescent="0.3">
      <c r="A1576" s="6"/>
    </row>
    <row r="1577" spans="1:1" x14ac:dyDescent="0.3">
      <c r="A1577" s="6"/>
    </row>
    <row r="1578" spans="1:1" x14ac:dyDescent="0.3">
      <c r="A1578" s="6"/>
    </row>
    <row r="1579" spans="1:1" x14ac:dyDescent="0.3">
      <c r="A1579" s="6"/>
    </row>
    <row r="1580" spans="1:1" x14ac:dyDescent="0.3">
      <c r="A1580" s="6"/>
    </row>
    <row r="1581" spans="1:1" x14ac:dyDescent="0.3">
      <c r="A1581" s="6"/>
    </row>
    <row r="1582" spans="1:1" x14ac:dyDescent="0.3">
      <c r="A1582" s="6"/>
    </row>
    <row r="1583" spans="1:1" x14ac:dyDescent="0.3">
      <c r="A1583" s="6"/>
    </row>
    <row r="1584" spans="1:1" x14ac:dyDescent="0.3">
      <c r="A1584" s="6"/>
    </row>
    <row r="1585" spans="1:1" x14ac:dyDescent="0.3">
      <c r="A1585" s="6"/>
    </row>
    <row r="1586" spans="1:1" x14ac:dyDescent="0.3">
      <c r="A1586" s="6"/>
    </row>
    <row r="1587" spans="1:1" x14ac:dyDescent="0.3">
      <c r="A1587" s="6"/>
    </row>
    <row r="1588" spans="1:1" x14ac:dyDescent="0.3">
      <c r="A1588" s="6"/>
    </row>
    <row r="1589" spans="1:1" x14ac:dyDescent="0.3">
      <c r="A1589" s="6"/>
    </row>
    <row r="1590" spans="1:1" x14ac:dyDescent="0.3">
      <c r="A1590" s="6"/>
    </row>
    <row r="1591" spans="1:1" x14ac:dyDescent="0.3">
      <c r="A1591" s="6"/>
    </row>
    <row r="1592" spans="1:1" x14ac:dyDescent="0.3">
      <c r="A1592" s="6"/>
    </row>
    <row r="1593" spans="1:1" x14ac:dyDescent="0.3">
      <c r="A1593" s="6"/>
    </row>
    <row r="1594" spans="1:1" x14ac:dyDescent="0.3">
      <c r="A1594" s="6"/>
    </row>
    <row r="1595" spans="1:1" x14ac:dyDescent="0.3">
      <c r="A1595" s="6"/>
    </row>
    <row r="1596" spans="1:1" x14ac:dyDescent="0.3">
      <c r="A1596" s="6"/>
    </row>
    <row r="1597" spans="1:1" x14ac:dyDescent="0.3">
      <c r="A1597" s="6"/>
    </row>
    <row r="1598" spans="1:1" x14ac:dyDescent="0.3">
      <c r="A1598" s="6"/>
    </row>
    <row r="1599" spans="1:1" x14ac:dyDescent="0.3">
      <c r="A1599" s="6"/>
    </row>
    <row r="1600" spans="1:1" x14ac:dyDescent="0.3">
      <c r="A1600" s="6"/>
    </row>
    <row r="1601" spans="1:1" x14ac:dyDescent="0.3">
      <c r="A1601" s="6"/>
    </row>
    <row r="1602" spans="1:1" x14ac:dyDescent="0.3">
      <c r="A1602" s="6"/>
    </row>
    <row r="1603" spans="1:1" x14ac:dyDescent="0.3">
      <c r="A1603" s="6"/>
    </row>
    <row r="1604" spans="1:1" x14ac:dyDescent="0.3">
      <c r="A1604" s="6"/>
    </row>
    <row r="1605" spans="1:1" x14ac:dyDescent="0.3">
      <c r="A1605" s="6"/>
    </row>
    <row r="1606" spans="1:1" x14ac:dyDescent="0.3">
      <c r="A1606" s="6"/>
    </row>
    <row r="1607" spans="1:1" x14ac:dyDescent="0.3">
      <c r="A1607" s="6"/>
    </row>
    <row r="1608" spans="1:1" x14ac:dyDescent="0.3">
      <c r="A1608" s="6"/>
    </row>
    <row r="1609" spans="1:1" x14ac:dyDescent="0.3">
      <c r="A1609" s="6"/>
    </row>
    <row r="1610" spans="1:1" x14ac:dyDescent="0.3">
      <c r="A1610" s="6"/>
    </row>
    <row r="1611" spans="1:1" x14ac:dyDescent="0.3">
      <c r="A1611" s="6"/>
    </row>
    <row r="1612" spans="1:1" x14ac:dyDescent="0.3">
      <c r="A1612" s="6"/>
    </row>
    <row r="1613" spans="1:1" x14ac:dyDescent="0.3">
      <c r="A1613" s="6"/>
    </row>
    <row r="1614" spans="1:1" x14ac:dyDescent="0.3">
      <c r="A1614" s="6"/>
    </row>
    <row r="1615" spans="1:1" x14ac:dyDescent="0.3">
      <c r="A1615" s="6"/>
    </row>
    <row r="1616" spans="1:1" x14ac:dyDescent="0.3">
      <c r="A1616" s="6"/>
    </row>
    <row r="1617" spans="1:1" x14ac:dyDescent="0.3">
      <c r="A1617" s="6"/>
    </row>
    <row r="1618" spans="1:1" x14ac:dyDescent="0.3">
      <c r="A1618" s="6"/>
    </row>
    <row r="1619" spans="1:1" x14ac:dyDescent="0.3">
      <c r="A1619" s="6"/>
    </row>
    <row r="1620" spans="1:1" x14ac:dyDescent="0.3">
      <c r="A1620" s="6"/>
    </row>
    <row r="1621" spans="1:1" x14ac:dyDescent="0.3">
      <c r="A1621" s="6"/>
    </row>
    <row r="1622" spans="1:1" x14ac:dyDescent="0.3">
      <c r="A1622" s="6"/>
    </row>
    <row r="1623" spans="1:1" x14ac:dyDescent="0.3">
      <c r="A1623" s="6"/>
    </row>
    <row r="1624" spans="1:1" x14ac:dyDescent="0.3">
      <c r="A1624" s="6"/>
    </row>
    <row r="1625" spans="1:1" x14ac:dyDescent="0.3">
      <c r="A1625" s="6"/>
    </row>
    <row r="1626" spans="1:1" x14ac:dyDescent="0.3">
      <c r="A1626" s="6"/>
    </row>
    <row r="1627" spans="1:1" x14ac:dyDescent="0.3">
      <c r="A1627" s="6"/>
    </row>
    <row r="1628" spans="1:1" x14ac:dyDescent="0.3">
      <c r="A1628" s="6"/>
    </row>
    <row r="1629" spans="1:1" x14ac:dyDescent="0.3">
      <c r="A1629" s="6"/>
    </row>
    <row r="1630" spans="1:1" x14ac:dyDescent="0.3">
      <c r="A1630" s="6"/>
    </row>
    <row r="1631" spans="1:1" x14ac:dyDescent="0.3">
      <c r="A1631" s="6"/>
    </row>
    <row r="1632" spans="1:1" x14ac:dyDescent="0.3">
      <c r="A1632" s="6"/>
    </row>
    <row r="1633" spans="1:1" x14ac:dyDescent="0.3">
      <c r="A1633" s="6"/>
    </row>
    <row r="1634" spans="1:1" x14ac:dyDescent="0.3">
      <c r="A1634" s="6"/>
    </row>
    <row r="1635" spans="1:1" x14ac:dyDescent="0.3">
      <c r="A1635" s="6"/>
    </row>
    <row r="1636" spans="1:1" x14ac:dyDescent="0.3">
      <c r="A1636" s="6"/>
    </row>
    <row r="1637" spans="1:1" x14ac:dyDescent="0.3">
      <c r="A1637" s="6"/>
    </row>
    <row r="1638" spans="1:1" x14ac:dyDescent="0.3">
      <c r="A1638" s="6"/>
    </row>
    <row r="1639" spans="1:1" x14ac:dyDescent="0.3">
      <c r="A1639" s="6"/>
    </row>
    <row r="1640" spans="1:1" x14ac:dyDescent="0.3">
      <c r="A1640" s="6"/>
    </row>
    <row r="1641" spans="1:1" x14ac:dyDescent="0.3">
      <c r="A1641" s="6"/>
    </row>
    <row r="1642" spans="1:1" x14ac:dyDescent="0.3">
      <c r="A1642" s="6"/>
    </row>
    <row r="1643" spans="1:1" x14ac:dyDescent="0.3">
      <c r="A1643" s="6"/>
    </row>
    <row r="1644" spans="1:1" x14ac:dyDescent="0.3">
      <c r="A1644" s="6"/>
    </row>
    <row r="1645" spans="1:1" x14ac:dyDescent="0.3">
      <c r="A1645" s="6"/>
    </row>
    <row r="1646" spans="1:1" x14ac:dyDescent="0.3">
      <c r="A1646" s="6"/>
    </row>
    <row r="1647" spans="1:1" x14ac:dyDescent="0.3">
      <c r="A1647" s="6"/>
    </row>
    <row r="1648" spans="1:1" x14ac:dyDescent="0.3">
      <c r="A1648" s="6"/>
    </row>
    <row r="1649" spans="1:1" x14ac:dyDescent="0.3">
      <c r="A1649" s="6"/>
    </row>
    <row r="1650" spans="1:1" x14ac:dyDescent="0.3">
      <c r="A1650" s="6"/>
    </row>
    <row r="1651" spans="1:1" x14ac:dyDescent="0.3">
      <c r="A1651" s="6"/>
    </row>
    <row r="1652" spans="1:1" x14ac:dyDescent="0.3">
      <c r="A1652" s="6"/>
    </row>
    <row r="1653" spans="1:1" x14ac:dyDescent="0.3">
      <c r="A1653" s="6"/>
    </row>
    <row r="1654" spans="1:1" x14ac:dyDescent="0.3">
      <c r="A1654" s="6"/>
    </row>
    <row r="1655" spans="1:1" x14ac:dyDescent="0.3">
      <c r="A1655" s="6"/>
    </row>
    <row r="1656" spans="1:1" x14ac:dyDescent="0.3">
      <c r="A1656" s="6"/>
    </row>
    <row r="1657" spans="1:1" x14ac:dyDescent="0.3">
      <c r="A1657" s="6"/>
    </row>
    <row r="1658" spans="1:1" x14ac:dyDescent="0.3">
      <c r="A1658" s="6"/>
    </row>
    <row r="1659" spans="1:1" x14ac:dyDescent="0.3">
      <c r="A1659" s="6"/>
    </row>
    <row r="1660" spans="1:1" x14ac:dyDescent="0.3">
      <c r="A1660" s="6"/>
    </row>
    <row r="1661" spans="1:1" x14ac:dyDescent="0.3">
      <c r="A1661" s="6"/>
    </row>
    <row r="1662" spans="1:1" x14ac:dyDescent="0.3">
      <c r="A1662" s="6"/>
    </row>
    <row r="1663" spans="1:1" x14ac:dyDescent="0.3">
      <c r="A1663" s="6"/>
    </row>
    <row r="1664" spans="1:1" x14ac:dyDescent="0.3">
      <c r="A1664" s="6"/>
    </row>
    <row r="1665" spans="1:1" x14ac:dyDescent="0.3">
      <c r="A1665" s="6"/>
    </row>
    <row r="1666" spans="1:1" x14ac:dyDescent="0.3">
      <c r="A1666" s="6"/>
    </row>
    <row r="1667" spans="1:1" x14ac:dyDescent="0.3">
      <c r="A1667" s="6"/>
    </row>
    <row r="1668" spans="1:1" x14ac:dyDescent="0.3">
      <c r="A1668" s="6"/>
    </row>
    <row r="1669" spans="1:1" x14ac:dyDescent="0.3">
      <c r="A1669" s="6"/>
    </row>
    <row r="1670" spans="1:1" x14ac:dyDescent="0.3">
      <c r="A1670" s="6"/>
    </row>
    <row r="1671" spans="1:1" x14ac:dyDescent="0.3">
      <c r="A1671" s="6"/>
    </row>
    <row r="1672" spans="1:1" x14ac:dyDescent="0.3">
      <c r="A1672" s="6"/>
    </row>
    <row r="1673" spans="1:1" x14ac:dyDescent="0.3">
      <c r="A1673" s="6"/>
    </row>
    <row r="1674" spans="1:1" x14ac:dyDescent="0.3">
      <c r="A1674" s="6"/>
    </row>
    <row r="1675" spans="1:1" x14ac:dyDescent="0.3">
      <c r="A1675" s="6"/>
    </row>
    <row r="1676" spans="1:1" x14ac:dyDescent="0.3">
      <c r="A1676" s="6"/>
    </row>
    <row r="1677" spans="1:1" x14ac:dyDescent="0.3">
      <c r="A1677" s="6"/>
    </row>
    <row r="1678" spans="1:1" x14ac:dyDescent="0.3">
      <c r="A1678" s="6"/>
    </row>
    <row r="1679" spans="1:1" x14ac:dyDescent="0.3">
      <c r="A1679" s="6"/>
    </row>
    <row r="1680" spans="1:1" x14ac:dyDescent="0.3">
      <c r="A1680" s="6"/>
    </row>
    <row r="1681" spans="1:1" x14ac:dyDescent="0.3">
      <c r="A1681" s="6"/>
    </row>
    <row r="1682" spans="1:1" x14ac:dyDescent="0.3">
      <c r="A1682" s="6"/>
    </row>
    <row r="1683" spans="1:1" x14ac:dyDescent="0.3">
      <c r="A1683" s="6"/>
    </row>
    <row r="1684" spans="1:1" x14ac:dyDescent="0.3">
      <c r="A1684" s="6"/>
    </row>
    <row r="1685" spans="1:1" x14ac:dyDescent="0.3">
      <c r="A1685" s="6"/>
    </row>
    <row r="1686" spans="1:1" x14ac:dyDescent="0.3">
      <c r="A1686" s="6"/>
    </row>
    <row r="1687" spans="1:1" x14ac:dyDescent="0.3">
      <c r="A1687" s="6"/>
    </row>
    <row r="1688" spans="1:1" x14ac:dyDescent="0.3">
      <c r="A1688" s="6"/>
    </row>
    <row r="1689" spans="1:1" x14ac:dyDescent="0.3">
      <c r="A1689" s="6"/>
    </row>
    <row r="1690" spans="1:1" x14ac:dyDescent="0.3">
      <c r="A1690" s="6"/>
    </row>
    <row r="1691" spans="1:1" x14ac:dyDescent="0.3">
      <c r="A1691" s="6"/>
    </row>
    <row r="1692" spans="1:1" x14ac:dyDescent="0.3">
      <c r="A1692" s="6"/>
    </row>
    <row r="1693" spans="1:1" x14ac:dyDescent="0.3">
      <c r="A1693" s="6"/>
    </row>
    <row r="1694" spans="1:1" x14ac:dyDescent="0.3">
      <c r="A1694" s="6"/>
    </row>
    <row r="1695" spans="1:1" x14ac:dyDescent="0.3">
      <c r="A1695" s="6"/>
    </row>
    <row r="1696" spans="1:1" x14ac:dyDescent="0.3">
      <c r="A1696" s="6"/>
    </row>
    <row r="1697" spans="1:1" x14ac:dyDescent="0.3">
      <c r="A1697" s="6"/>
    </row>
    <row r="1698" spans="1:1" x14ac:dyDescent="0.3">
      <c r="A1698" s="6"/>
    </row>
    <row r="1699" spans="1:1" x14ac:dyDescent="0.3">
      <c r="A1699" s="6"/>
    </row>
    <row r="1700" spans="1:1" x14ac:dyDescent="0.3">
      <c r="A1700" s="6"/>
    </row>
    <row r="1701" spans="1:1" x14ac:dyDescent="0.3">
      <c r="A1701" s="6"/>
    </row>
    <row r="1702" spans="1:1" x14ac:dyDescent="0.3">
      <c r="A1702" s="6"/>
    </row>
    <row r="1703" spans="1:1" x14ac:dyDescent="0.3">
      <c r="A1703" s="6"/>
    </row>
    <row r="1704" spans="1:1" x14ac:dyDescent="0.3">
      <c r="A1704" s="6"/>
    </row>
    <row r="1705" spans="1:1" x14ac:dyDescent="0.3">
      <c r="A1705" s="6"/>
    </row>
    <row r="1706" spans="1:1" x14ac:dyDescent="0.3">
      <c r="A1706" s="6"/>
    </row>
    <row r="1707" spans="1:1" x14ac:dyDescent="0.3">
      <c r="A1707" s="6"/>
    </row>
    <row r="1708" spans="1:1" x14ac:dyDescent="0.3">
      <c r="A1708" s="6"/>
    </row>
    <row r="1709" spans="1:1" x14ac:dyDescent="0.3">
      <c r="A1709" s="6"/>
    </row>
    <row r="1710" spans="1:1" x14ac:dyDescent="0.3">
      <c r="A1710" s="6"/>
    </row>
    <row r="1711" spans="1:1" x14ac:dyDescent="0.3">
      <c r="A1711" s="6"/>
    </row>
    <row r="1712" spans="1:1" x14ac:dyDescent="0.3">
      <c r="A1712" s="6"/>
    </row>
    <row r="1713" spans="1:1" x14ac:dyDescent="0.3">
      <c r="A1713" s="6"/>
    </row>
    <row r="1714" spans="1:1" x14ac:dyDescent="0.3">
      <c r="A1714" s="6"/>
    </row>
    <row r="1715" spans="1:1" x14ac:dyDescent="0.3">
      <c r="A1715" s="6"/>
    </row>
    <row r="1716" spans="1:1" x14ac:dyDescent="0.3">
      <c r="A1716" s="6"/>
    </row>
    <row r="1717" spans="1:1" x14ac:dyDescent="0.3">
      <c r="A1717" s="6"/>
    </row>
    <row r="1718" spans="1:1" x14ac:dyDescent="0.3">
      <c r="A1718" s="6"/>
    </row>
    <row r="1719" spans="1:1" x14ac:dyDescent="0.3">
      <c r="A1719" s="6"/>
    </row>
    <row r="1720" spans="1:1" x14ac:dyDescent="0.3">
      <c r="A1720" s="6"/>
    </row>
    <row r="1721" spans="1:1" x14ac:dyDescent="0.3">
      <c r="A1721" s="6"/>
    </row>
    <row r="1722" spans="1:1" x14ac:dyDescent="0.3">
      <c r="A1722" s="6"/>
    </row>
    <row r="1723" spans="1:1" x14ac:dyDescent="0.3">
      <c r="A1723" s="6"/>
    </row>
    <row r="1724" spans="1:1" x14ac:dyDescent="0.3">
      <c r="A1724" s="6"/>
    </row>
    <row r="1725" spans="1:1" x14ac:dyDescent="0.3">
      <c r="A1725" s="6"/>
    </row>
    <row r="1726" spans="1:1" x14ac:dyDescent="0.3">
      <c r="A1726" s="6"/>
    </row>
    <row r="1727" spans="1:1" x14ac:dyDescent="0.3">
      <c r="A1727" s="6"/>
    </row>
    <row r="1728" spans="1:1" x14ac:dyDescent="0.3">
      <c r="A1728" s="6"/>
    </row>
    <row r="1729" spans="1:1" x14ac:dyDescent="0.3">
      <c r="A1729" s="6"/>
    </row>
    <row r="1730" spans="1:1" x14ac:dyDescent="0.3">
      <c r="A1730" s="6"/>
    </row>
    <row r="1731" spans="1:1" x14ac:dyDescent="0.3">
      <c r="A1731" s="6"/>
    </row>
    <row r="1732" spans="1:1" x14ac:dyDescent="0.3">
      <c r="A1732" s="6"/>
    </row>
    <row r="1733" spans="1:1" x14ac:dyDescent="0.3">
      <c r="A1733" s="6"/>
    </row>
    <row r="1734" spans="1:1" x14ac:dyDescent="0.3">
      <c r="A1734" s="6"/>
    </row>
    <row r="1735" spans="1:1" x14ac:dyDescent="0.3">
      <c r="A1735" s="6"/>
    </row>
    <row r="1736" spans="1:1" x14ac:dyDescent="0.3">
      <c r="A1736" s="6"/>
    </row>
    <row r="1737" spans="1:1" x14ac:dyDescent="0.3">
      <c r="A1737" s="6"/>
    </row>
    <row r="1738" spans="1:1" x14ac:dyDescent="0.3">
      <c r="A1738" s="6"/>
    </row>
    <row r="1739" spans="1:1" x14ac:dyDescent="0.3">
      <c r="A1739" s="6"/>
    </row>
    <row r="1740" spans="1:1" x14ac:dyDescent="0.3">
      <c r="A1740" s="6"/>
    </row>
    <row r="1741" spans="1:1" x14ac:dyDescent="0.3">
      <c r="A1741" s="6"/>
    </row>
    <row r="1742" spans="1:1" x14ac:dyDescent="0.3">
      <c r="A1742" s="6"/>
    </row>
    <row r="1743" spans="1:1" x14ac:dyDescent="0.3">
      <c r="A1743" s="6"/>
    </row>
    <row r="1744" spans="1:1" x14ac:dyDescent="0.3">
      <c r="A1744" s="6"/>
    </row>
    <row r="1745" spans="1:1" x14ac:dyDescent="0.3">
      <c r="A1745" s="6"/>
    </row>
    <row r="1746" spans="1:1" x14ac:dyDescent="0.3">
      <c r="A1746" s="6"/>
    </row>
    <row r="1747" spans="1:1" x14ac:dyDescent="0.3">
      <c r="A1747" s="6"/>
    </row>
    <row r="1748" spans="1:1" x14ac:dyDescent="0.3">
      <c r="A1748" s="6"/>
    </row>
    <row r="1749" spans="1:1" x14ac:dyDescent="0.3">
      <c r="A1749" s="6"/>
    </row>
    <row r="1750" spans="1:1" x14ac:dyDescent="0.3">
      <c r="A1750" s="6"/>
    </row>
    <row r="1751" spans="1:1" x14ac:dyDescent="0.3">
      <c r="A1751" s="6"/>
    </row>
    <row r="1752" spans="1:1" x14ac:dyDescent="0.3">
      <c r="A1752" s="6"/>
    </row>
    <row r="1753" spans="1:1" x14ac:dyDescent="0.3">
      <c r="A1753" s="6"/>
    </row>
    <row r="1754" spans="1:1" x14ac:dyDescent="0.3">
      <c r="A1754" s="6"/>
    </row>
    <row r="1755" spans="1:1" x14ac:dyDescent="0.3">
      <c r="A1755" s="6"/>
    </row>
    <row r="1756" spans="1:1" x14ac:dyDescent="0.3">
      <c r="A1756" s="6"/>
    </row>
    <row r="1757" spans="1:1" x14ac:dyDescent="0.3">
      <c r="A1757" s="6"/>
    </row>
    <row r="1758" spans="1:1" x14ac:dyDescent="0.3">
      <c r="A1758" s="6"/>
    </row>
    <row r="1759" spans="1:1" x14ac:dyDescent="0.3">
      <c r="A1759" s="6"/>
    </row>
    <row r="1760" spans="1:1" x14ac:dyDescent="0.3">
      <c r="A1760" s="6"/>
    </row>
    <row r="1761" spans="1:1" x14ac:dyDescent="0.3">
      <c r="A1761" s="6"/>
    </row>
    <row r="1762" spans="1:1" x14ac:dyDescent="0.3">
      <c r="A1762" s="6"/>
    </row>
    <row r="1763" spans="1:1" x14ac:dyDescent="0.3">
      <c r="A1763" s="6"/>
    </row>
    <row r="1764" spans="1:1" x14ac:dyDescent="0.3">
      <c r="A1764" s="6"/>
    </row>
    <row r="1765" spans="1:1" x14ac:dyDescent="0.3">
      <c r="A1765" s="6"/>
    </row>
    <row r="1766" spans="1:1" x14ac:dyDescent="0.3">
      <c r="A1766" s="6"/>
    </row>
    <row r="1767" spans="1:1" x14ac:dyDescent="0.3">
      <c r="A1767" s="6"/>
    </row>
    <row r="1768" spans="1:1" x14ac:dyDescent="0.3">
      <c r="A1768" s="6"/>
    </row>
    <row r="1769" spans="1:1" x14ac:dyDescent="0.3">
      <c r="A1769" s="6"/>
    </row>
    <row r="1770" spans="1:1" x14ac:dyDescent="0.3">
      <c r="A1770" s="6"/>
    </row>
    <row r="1771" spans="1:1" x14ac:dyDescent="0.3">
      <c r="A1771" s="6"/>
    </row>
    <row r="1772" spans="1:1" x14ac:dyDescent="0.3">
      <c r="A1772" s="6"/>
    </row>
    <row r="1773" spans="1:1" x14ac:dyDescent="0.3">
      <c r="A1773" s="6"/>
    </row>
    <row r="1774" spans="1:1" x14ac:dyDescent="0.3">
      <c r="A1774" s="6"/>
    </row>
    <row r="1775" spans="1:1" x14ac:dyDescent="0.3">
      <c r="A1775" s="6"/>
    </row>
    <row r="1776" spans="1:1" x14ac:dyDescent="0.3">
      <c r="A1776" s="6"/>
    </row>
    <row r="1777" spans="1:1" x14ac:dyDescent="0.3">
      <c r="A1777" s="6"/>
    </row>
    <row r="1778" spans="1:1" x14ac:dyDescent="0.3">
      <c r="A1778" s="6"/>
    </row>
    <row r="1779" spans="1:1" x14ac:dyDescent="0.3">
      <c r="A1779" s="6"/>
    </row>
    <row r="1780" spans="1:1" x14ac:dyDescent="0.3">
      <c r="A1780" s="6"/>
    </row>
    <row r="1781" spans="1:1" x14ac:dyDescent="0.3">
      <c r="A1781" s="6"/>
    </row>
    <row r="1782" spans="1:1" x14ac:dyDescent="0.3">
      <c r="A1782" s="6"/>
    </row>
    <row r="1783" spans="1:1" x14ac:dyDescent="0.3">
      <c r="A1783" s="6"/>
    </row>
    <row r="1784" spans="1:1" x14ac:dyDescent="0.3">
      <c r="A1784" s="6"/>
    </row>
    <row r="1785" spans="1:1" x14ac:dyDescent="0.3">
      <c r="A1785" s="6"/>
    </row>
    <row r="1786" spans="1:1" x14ac:dyDescent="0.3">
      <c r="A1786" s="6"/>
    </row>
    <row r="1787" spans="1:1" x14ac:dyDescent="0.3">
      <c r="A1787" s="6"/>
    </row>
    <row r="1788" spans="1:1" x14ac:dyDescent="0.3">
      <c r="A1788" s="6"/>
    </row>
    <row r="1789" spans="1:1" x14ac:dyDescent="0.3">
      <c r="A1789" s="6"/>
    </row>
    <row r="1790" spans="1:1" x14ac:dyDescent="0.3">
      <c r="A1790" s="6"/>
    </row>
    <row r="1791" spans="1:1" x14ac:dyDescent="0.3">
      <c r="A1791" s="6"/>
    </row>
    <row r="1792" spans="1:1" x14ac:dyDescent="0.3">
      <c r="A1792" s="6"/>
    </row>
    <row r="1793" spans="1:1" x14ac:dyDescent="0.3">
      <c r="A1793" s="6"/>
    </row>
    <row r="1794" spans="1:1" x14ac:dyDescent="0.3">
      <c r="A1794" s="6"/>
    </row>
    <row r="1795" spans="1:1" x14ac:dyDescent="0.3">
      <c r="A1795" s="6"/>
    </row>
    <row r="1796" spans="1:1" x14ac:dyDescent="0.3">
      <c r="A1796" s="6"/>
    </row>
    <row r="1797" spans="1:1" x14ac:dyDescent="0.3">
      <c r="A1797" s="6"/>
    </row>
    <row r="1798" spans="1:1" x14ac:dyDescent="0.3">
      <c r="A1798" s="6"/>
    </row>
    <row r="1799" spans="1:1" x14ac:dyDescent="0.3">
      <c r="A1799" s="6"/>
    </row>
    <row r="1800" spans="1:1" x14ac:dyDescent="0.3">
      <c r="A1800" s="6"/>
    </row>
    <row r="1801" spans="1:1" x14ac:dyDescent="0.3">
      <c r="A1801" s="6"/>
    </row>
    <row r="1802" spans="1:1" x14ac:dyDescent="0.3">
      <c r="A1802" s="6"/>
    </row>
    <row r="1803" spans="1:1" x14ac:dyDescent="0.3">
      <c r="A1803" s="6"/>
    </row>
    <row r="1804" spans="1:1" x14ac:dyDescent="0.3">
      <c r="A1804" s="6"/>
    </row>
    <row r="1805" spans="1:1" x14ac:dyDescent="0.3">
      <c r="A1805" s="6"/>
    </row>
    <row r="1806" spans="1:1" x14ac:dyDescent="0.3">
      <c r="A1806" s="6"/>
    </row>
    <row r="1807" spans="1:1" x14ac:dyDescent="0.3">
      <c r="A1807" s="6"/>
    </row>
    <row r="1808" spans="1:1" x14ac:dyDescent="0.3">
      <c r="A1808" s="6"/>
    </row>
    <row r="1809" spans="1:1" x14ac:dyDescent="0.3">
      <c r="A1809" s="6"/>
    </row>
    <row r="1810" spans="1:1" x14ac:dyDescent="0.3">
      <c r="A1810" s="6"/>
    </row>
    <row r="1811" spans="1:1" x14ac:dyDescent="0.3">
      <c r="A1811" s="6"/>
    </row>
    <row r="1812" spans="1:1" x14ac:dyDescent="0.3">
      <c r="A1812" s="6"/>
    </row>
    <row r="1813" spans="1:1" x14ac:dyDescent="0.3">
      <c r="A1813" s="6"/>
    </row>
    <row r="1814" spans="1:1" x14ac:dyDescent="0.3">
      <c r="A1814" s="6"/>
    </row>
    <row r="1815" spans="1:1" x14ac:dyDescent="0.3">
      <c r="A1815" s="6"/>
    </row>
    <row r="1816" spans="1:1" x14ac:dyDescent="0.3">
      <c r="A1816" s="6"/>
    </row>
    <row r="1817" spans="1:1" x14ac:dyDescent="0.3">
      <c r="A1817" s="6"/>
    </row>
    <row r="1818" spans="1:1" x14ac:dyDescent="0.3">
      <c r="A1818" s="6"/>
    </row>
    <row r="1819" spans="1:1" x14ac:dyDescent="0.3">
      <c r="A1819" s="6"/>
    </row>
    <row r="1820" spans="1:1" x14ac:dyDescent="0.3">
      <c r="A1820" s="6"/>
    </row>
    <row r="1821" spans="1:1" x14ac:dyDescent="0.3">
      <c r="A1821" s="6"/>
    </row>
    <row r="1822" spans="1:1" x14ac:dyDescent="0.3">
      <c r="A1822" s="6"/>
    </row>
    <row r="1823" spans="1:1" x14ac:dyDescent="0.3">
      <c r="A1823" s="6"/>
    </row>
    <row r="1824" spans="1:1" x14ac:dyDescent="0.3">
      <c r="A1824" s="6"/>
    </row>
    <row r="1825" spans="1:1" x14ac:dyDescent="0.3">
      <c r="A1825" s="6"/>
    </row>
    <row r="1826" spans="1:1" x14ac:dyDescent="0.3">
      <c r="A1826" s="6"/>
    </row>
    <row r="1827" spans="1:1" x14ac:dyDescent="0.3">
      <c r="A1827" s="6"/>
    </row>
    <row r="1828" spans="1:1" x14ac:dyDescent="0.3">
      <c r="A1828" s="6"/>
    </row>
    <row r="1829" spans="1:1" x14ac:dyDescent="0.3">
      <c r="A1829" s="6"/>
    </row>
    <row r="1830" spans="1:1" x14ac:dyDescent="0.3">
      <c r="A1830" s="6"/>
    </row>
    <row r="1831" spans="1:1" x14ac:dyDescent="0.3">
      <c r="A1831" s="6"/>
    </row>
    <row r="1832" spans="1:1" x14ac:dyDescent="0.3">
      <c r="A1832" s="6"/>
    </row>
    <row r="1833" spans="1:1" x14ac:dyDescent="0.3">
      <c r="A1833" s="6"/>
    </row>
    <row r="1834" spans="1:1" x14ac:dyDescent="0.3">
      <c r="A1834" s="6"/>
    </row>
    <row r="1835" spans="1:1" x14ac:dyDescent="0.3">
      <c r="A1835" s="6"/>
    </row>
    <row r="1836" spans="1:1" x14ac:dyDescent="0.3">
      <c r="A1836" s="6"/>
    </row>
    <row r="1837" spans="1:1" x14ac:dyDescent="0.3">
      <c r="A1837" s="6"/>
    </row>
    <row r="1838" spans="1:1" x14ac:dyDescent="0.3">
      <c r="A1838" s="6"/>
    </row>
    <row r="1839" spans="1:1" x14ac:dyDescent="0.3">
      <c r="A1839" s="6"/>
    </row>
    <row r="1840" spans="1:1" x14ac:dyDescent="0.3">
      <c r="A1840" s="6"/>
    </row>
    <row r="1841" spans="1:1" x14ac:dyDescent="0.3">
      <c r="A1841" s="6"/>
    </row>
    <row r="1842" spans="1:1" x14ac:dyDescent="0.3">
      <c r="A1842" s="6"/>
    </row>
    <row r="1843" spans="1:1" x14ac:dyDescent="0.3">
      <c r="A1843" s="6"/>
    </row>
    <row r="1844" spans="1:1" x14ac:dyDescent="0.3">
      <c r="A1844" s="6"/>
    </row>
    <row r="1845" spans="1:1" x14ac:dyDescent="0.3">
      <c r="A1845" s="6"/>
    </row>
    <row r="1846" spans="1:1" x14ac:dyDescent="0.3">
      <c r="A1846" s="6"/>
    </row>
    <row r="1847" spans="1:1" x14ac:dyDescent="0.3">
      <c r="A1847" s="6"/>
    </row>
    <row r="1848" spans="1:1" x14ac:dyDescent="0.3">
      <c r="A1848" s="6"/>
    </row>
    <row r="1849" spans="1:1" x14ac:dyDescent="0.3">
      <c r="A1849" s="6"/>
    </row>
    <row r="1850" spans="1:1" x14ac:dyDescent="0.3">
      <c r="A1850" s="6"/>
    </row>
    <row r="1851" spans="1:1" x14ac:dyDescent="0.3">
      <c r="A1851" s="6"/>
    </row>
    <row r="1852" spans="1:1" x14ac:dyDescent="0.3">
      <c r="A1852" s="6"/>
    </row>
    <row r="1853" spans="1:1" x14ac:dyDescent="0.3">
      <c r="A1853" s="6"/>
    </row>
    <row r="1854" spans="1:1" x14ac:dyDescent="0.3">
      <c r="A1854" s="6"/>
    </row>
    <row r="1855" spans="1:1" x14ac:dyDescent="0.3">
      <c r="A1855" s="6"/>
    </row>
    <row r="1856" spans="1:1" x14ac:dyDescent="0.3">
      <c r="A1856" s="6"/>
    </row>
    <row r="1857" spans="1:1" x14ac:dyDescent="0.3">
      <c r="A1857" s="6"/>
    </row>
    <row r="1858" spans="1:1" x14ac:dyDescent="0.3">
      <c r="A1858" s="6"/>
    </row>
    <row r="1859" spans="1:1" x14ac:dyDescent="0.3">
      <c r="A1859" s="6"/>
    </row>
    <row r="1860" spans="1:1" x14ac:dyDescent="0.3">
      <c r="A1860" s="6"/>
    </row>
    <row r="1861" spans="1:1" x14ac:dyDescent="0.3">
      <c r="A1861" s="6"/>
    </row>
    <row r="1862" spans="1:1" x14ac:dyDescent="0.3">
      <c r="A1862" s="6"/>
    </row>
    <row r="1863" spans="1:1" x14ac:dyDescent="0.3">
      <c r="A1863" s="6"/>
    </row>
    <row r="1864" spans="1:1" x14ac:dyDescent="0.3">
      <c r="A1864" s="6"/>
    </row>
    <row r="1865" spans="1:1" x14ac:dyDescent="0.3">
      <c r="A1865" s="6"/>
    </row>
    <row r="1866" spans="1:1" x14ac:dyDescent="0.3">
      <c r="A1866" s="6"/>
    </row>
    <row r="1867" spans="1:1" x14ac:dyDescent="0.3">
      <c r="A1867" s="6"/>
    </row>
    <row r="1868" spans="1:1" x14ac:dyDescent="0.3">
      <c r="A1868" s="6"/>
    </row>
    <row r="1869" spans="1:1" x14ac:dyDescent="0.3">
      <c r="A1869" s="6"/>
    </row>
    <row r="1870" spans="1:1" x14ac:dyDescent="0.3">
      <c r="A1870" s="6"/>
    </row>
    <row r="1871" spans="1:1" x14ac:dyDescent="0.3">
      <c r="A1871" s="6"/>
    </row>
    <row r="1872" spans="1:1" x14ac:dyDescent="0.3">
      <c r="A1872" s="6"/>
    </row>
    <row r="1873" spans="1:1" x14ac:dyDescent="0.3">
      <c r="A1873" s="6"/>
    </row>
    <row r="1874" spans="1:1" x14ac:dyDescent="0.3">
      <c r="A1874" s="6"/>
    </row>
    <row r="1875" spans="1:1" x14ac:dyDescent="0.3">
      <c r="A1875" s="6"/>
    </row>
    <row r="1876" spans="1:1" x14ac:dyDescent="0.3">
      <c r="A1876" s="6"/>
    </row>
    <row r="1877" spans="1:1" x14ac:dyDescent="0.3">
      <c r="A1877" s="6"/>
    </row>
    <row r="1878" spans="1:1" x14ac:dyDescent="0.3">
      <c r="A1878" s="6"/>
    </row>
    <row r="1879" spans="1:1" x14ac:dyDescent="0.3">
      <c r="A1879" s="6"/>
    </row>
    <row r="1880" spans="1:1" x14ac:dyDescent="0.3">
      <c r="A1880" s="6"/>
    </row>
    <row r="1881" spans="1:1" x14ac:dyDescent="0.3">
      <c r="A1881" s="6"/>
    </row>
    <row r="1882" spans="1:1" x14ac:dyDescent="0.3">
      <c r="A1882" s="6"/>
    </row>
    <row r="1883" spans="1:1" x14ac:dyDescent="0.3">
      <c r="A1883" s="6"/>
    </row>
    <row r="1884" spans="1:1" x14ac:dyDescent="0.3">
      <c r="A1884" s="6"/>
    </row>
    <row r="1885" spans="1:1" x14ac:dyDescent="0.3">
      <c r="A1885" s="6"/>
    </row>
    <row r="1886" spans="1:1" x14ac:dyDescent="0.3">
      <c r="A1886" s="6"/>
    </row>
    <row r="1887" spans="1:1" x14ac:dyDescent="0.3">
      <c r="A1887" s="6"/>
    </row>
    <row r="1888" spans="1:1" x14ac:dyDescent="0.3">
      <c r="A1888" s="6"/>
    </row>
    <row r="1889" spans="1:1" x14ac:dyDescent="0.3">
      <c r="A1889" s="6"/>
    </row>
    <row r="1890" spans="1:1" x14ac:dyDescent="0.3">
      <c r="A1890" s="6"/>
    </row>
    <row r="1891" spans="1:1" x14ac:dyDescent="0.3">
      <c r="A1891" s="6"/>
    </row>
    <row r="1892" spans="1:1" x14ac:dyDescent="0.3">
      <c r="A1892" s="6"/>
    </row>
    <row r="1893" spans="1:1" x14ac:dyDescent="0.3">
      <c r="A1893" s="6"/>
    </row>
    <row r="1894" spans="1:1" x14ac:dyDescent="0.3">
      <c r="A1894" s="6"/>
    </row>
    <row r="1895" spans="1:1" x14ac:dyDescent="0.3">
      <c r="A1895" s="6"/>
    </row>
    <row r="1896" spans="1:1" x14ac:dyDescent="0.3">
      <c r="A1896" s="6"/>
    </row>
    <row r="1897" spans="1:1" x14ac:dyDescent="0.3">
      <c r="A1897" s="6"/>
    </row>
    <row r="1898" spans="1:1" x14ac:dyDescent="0.3">
      <c r="A1898" s="6"/>
    </row>
    <row r="1899" spans="1:1" x14ac:dyDescent="0.3">
      <c r="A1899" s="6"/>
    </row>
    <row r="1900" spans="1:1" x14ac:dyDescent="0.3">
      <c r="A1900" s="6"/>
    </row>
    <row r="1901" spans="1:1" x14ac:dyDescent="0.3">
      <c r="A1901" s="6"/>
    </row>
    <row r="1902" spans="1:1" x14ac:dyDescent="0.3">
      <c r="A1902" s="6"/>
    </row>
    <row r="1903" spans="1:1" x14ac:dyDescent="0.3">
      <c r="A1903" s="6"/>
    </row>
    <row r="1904" spans="1:1" x14ac:dyDescent="0.3">
      <c r="A1904" s="6"/>
    </row>
    <row r="1905" spans="1:1" x14ac:dyDescent="0.3">
      <c r="A1905" s="6"/>
    </row>
    <row r="1906" spans="1:1" x14ac:dyDescent="0.3">
      <c r="A1906" s="6"/>
    </row>
    <row r="1907" spans="1:1" x14ac:dyDescent="0.3">
      <c r="A1907" s="6"/>
    </row>
    <row r="1908" spans="1:1" x14ac:dyDescent="0.3">
      <c r="A1908" s="6"/>
    </row>
    <row r="1909" spans="1:1" x14ac:dyDescent="0.3">
      <c r="A1909" s="6"/>
    </row>
    <row r="1910" spans="1:1" x14ac:dyDescent="0.3">
      <c r="A1910" s="6"/>
    </row>
    <row r="1911" spans="1:1" x14ac:dyDescent="0.3">
      <c r="A1911" s="6"/>
    </row>
    <row r="1912" spans="1:1" x14ac:dyDescent="0.3">
      <c r="A1912" s="6"/>
    </row>
    <row r="1913" spans="1:1" x14ac:dyDescent="0.3">
      <c r="A1913" s="6"/>
    </row>
    <row r="1914" spans="1:1" x14ac:dyDescent="0.3">
      <c r="A1914" s="6"/>
    </row>
    <row r="1915" spans="1:1" x14ac:dyDescent="0.3">
      <c r="A1915" s="6"/>
    </row>
    <row r="1916" spans="1:1" x14ac:dyDescent="0.3">
      <c r="A1916" s="6"/>
    </row>
    <row r="1917" spans="1:1" x14ac:dyDescent="0.3">
      <c r="A1917" s="6"/>
    </row>
    <row r="1918" spans="1:1" x14ac:dyDescent="0.3">
      <c r="A1918" s="6"/>
    </row>
    <row r="1919" spans="1:1" x14ac:dyDescent="0.3">
      <c r="A1919" s="6"/>
    </row>
    <row r="1920" spans="1:1" x14ac:dyDescent="0.3">
      <c r="A1920" s="6"/>
    </row>
    <row r="1921" spans="1:1" x14ac:dyDescent="0.3">
      <c r="A1921" s="6"/>
    </row>
    <row r="1922" spans="1:1" x14ac:dyDescent="0.3">
      <c r="A1922" s="6"/>
    </row>
    <row r="1923" spans="1:1" x14ac:dyDescent="0.3">
      <c r="A1923" s="6"/>
    </row>
    <row r="1924" spans="1:1" x14ac:dyDescent="0.3">
      <c r="A1924" s="6"/>
    </row>
    <row r="1925" spans="1:1" x14ac:dyDescent="0.3">
      <c r="A1925" s="6"/>
    </row>
    <row r="1926" spans="1:1" x14ac:dyDescent="0.3">
      <c r="A1926" s="6"/>
    </row>
    <row r="1927" spans="1:1" x14ac:dyDescent="0.3">
      <c r="A1927" s="6"/>
    </row>
    <row r="1928" spans="1:1" x14ac:dyDescent="0.3">
      <c r="A1928" s="6"/>
    </row>
    <row r="1929" spans="1:1" x14ac:dyDescent="0.3">
      <c r="A1929" s="6"/>
    </row>
    <row r="1930" spans="1:1" x14ac:dyDescent="0.3">
      <c r="A1930" s="6"/>
    </row>
    <row r="1931" spans="1:1" x14ac:dyDescent="0.3">
      <c r="A1931" s="6"/>
    </row>
    <row r="1932" spans="1:1" x14ac:dyDescent="0.3">
      <c r="A1932" s="6"/>
    </row>
    <row r="1933" spans="1:1" x14ac:dyDescent="0.3">
      <c r="A1933" s="6"/>
    </row>
    <row r="1934" spans="1:1" x14ac:dyDescent="0.3">
      <c r="A1934" s="6"/>
    </row>
    <row r="1935" spans="1:1" x14ac:dyDescent="0.3">
      <c r="A1935" s="6"/>
    </row>
    <row r="1936" spans="1:1" x14ac:dyDescent="0.3">
      <c r="A1936" s="6"/>
    </row>
    <row r="1937" spans="1:1" x14ac:dyDescent="0.3">
      <c r="A1937" s="6"/>
    </row>
    <row r="1938" spans="1:1" x14ac:dyDescent="0.3">
      <c r="A1938" s="6"/>
    </row>
    <row r="1939" spans="1:1" x14ac:dyDescent="0.3">
      <c r="A1939" s="6"/>
    </row>
    <row r="1940" spans="1:1" x14ac:dyDescent="0.3">
      <c r="A1940" s="6"/>
    </row>
    <row r="1941" spans="1:1" x14ac:dyDescent="0.3">
      <c r="A1941" s="6"/>
    </row>
    <row r="1942" spans="1:1" x14ac:dyDescent="0.3">
      <c r="A1942" s="6"/>
    </row>
    <row r="1943" spans="1:1" x14ac:dyDescent="0.3">
      <c r="A1943" s="6"/>
    </row>
    <row r="1944" spans="1:1" x14ac:dyDescent="0.3">
      <c r="A1944" s="6"/>
    </row>
    <row r="1945" spans="1:1" x14ac:dyDescent="0.3">
      <c r="A1945" s="6"/>
    </row>
    <row r="1946" spans="1:1" x14ac:dyDescent="0.3">
      <c r="A1946" s="6"/>
    </row>
    <row r="1947" spans="1:1" x14ac:dyDescent="0.3">
      <c r="A1947" s="6"/>
    </row>
    <row r="1948" spans="1:1" x14ac:dyDescent="0.3">
      <c r="A1948" s="6"/>
    </row>
    <row r="1949" spans="1:1" x14ac:dyDescent="0.3">
      <c r="A1949" s="6"/>
    </row>
    <row r="1950" spans="1:1" x14ac:dyDescent="0.3">
      <c r="A1950" s="6"/>
    </row>
    <row r="1951" spans="1:1" x14ac:dyDescent="0.3">
      <c r="A1951" s="6"/>
    </row>
    <row r="1952" spans="1:1" x14ac:dyDescent="0.3">
      <c r="A1952" s="6"/>
    </row>
    <row r="1953" spans="1:1" x14ac:dyDescent="0.3">
      <c r="A1953" s="6"/>
    </row>
    <row r="1954" spans="1:1" x14ac:dyDescent="0.3">
      <c r="A1954" s="6"/>
    </row>
    <row r="1955" spans="1:1" x14ac:dyDescent="0.3">
      <c r="A1955" s="6"/>
    </row>
    <row r="1956" spans="1:1" x14ac:dyDescent="0.3">
      <c r="A1956" s="6"/>
    </row>
    <row r="1957" spans="1:1" x14ac:dyDescent="0.3">
      <c r="A1957" s="6"/>
    </row>
    <row r="1958" spans="1:1" x14ac:dyDescent="0.3">
      <c r="A1958" s="6"/>
    </row>
    <row r="1959" spans="1:1" x14ac:dyDescent="0.3">
      <c r="A1959" s="6"/>
    </row>
    <row r="1960" spans="1:1" x14ac:dyDescent="0.3">
      <c r="A1960" s="6"/>
    </row>
    <row r="1961" spans="1:1" x14ac:dyDescent="0.3">
      <c r="A1961" s="6"/>
    </row>
    <row r="1962" spans="1:1" x14ac:dyDescent="0.3">
      <c r="A1962" s="6"/>
    </row>
    <row r="1963" spans="1:1" x14ac:dyDescent="0.3">
      <c r="A1963" s="6"/>
    </row>
    <row r="1964" spans="1:1" x14ac:dyDescent="0.3">
      <c r="A1964" s="6"/>
    </row>
    <row r="1965" spans="1:1" x14ac:dyDescent="0.3">
      <c r="A1965" s="6"/>
    </row>
    <row r="1966" spans="1:1" x14ac:dyDescent="0.3">
      <c r="A1966" s="6"/>
    </row>
    <row r="1967" spans="1:1" x14ac:dyDescent="0.3">
      <c r="A1967" s="6"/>
    </row>
    <row r="1968" spans="1:1" x14ac:dyDescent="0.3">
      <c r="A1968" s="6"/>
    </row>
    <row r="1969" spans="1:1" x14ac:dyDescent="0.3">
      <c r="A1969" s="6"/>
    </row>
    <row r="1970" spans="1:1" x14ac:dyDescent="0.3">
      <c r="A1970" s="6"/>
    </row>
    <row r="1971" spans="1:1" x14ac:dyDescent="0.3">
      <c r="A1971" s="6"/>
    </row>
    <row r="1972" spans="1:1" x14ac:dyDescent="0.3">
      <c r="A1972" s="6"/>
    </row>
    <row r="1973" spans="1:1" x14ac:dyDescent="0.3">
      <c r="A1973" s="6"/>
    </row>
    <row r="1974" spans="1:1" x14ac:dyDescent="0.3">
      <c r="A1974" s="6"/>
    </row>
    <row r="1975" spans="1:1" x14ac:dyDescent="0.3">
      <c r="A1975" s="6"/>
    </row>
    <row r="1976" spans="1:1" x14ac:dyDescent="0.3">
      <c r="A1976" s="6"/>
    </row>
    <row r="1977" spans="1:1" x14ac:dyDescent="0.3">
      <c r="A1977" s="6"/>
    </row>
    <row r="1978" spans="1:1" x14ac:dyDescent="0.3">
      <c r="A1978" s="6"/>
    </row>
    <row r="1979" spans="1:1" x14ac:dyDescent="0.3">
      <c r="A1979" s="6"/>
    </row>
    <row r="1980" spans="1:1" x14ac:dyDescent="0.3">
      <c r="A1980" s="6"/>
    </row>
    <row r="1981" spans="1:1" x14ac:dyDescent="0.3">
      <c r="A1981" s="6"/>
    </row>
    <row r="1982" spans="1:1" x14ac:dyDescent="0.3">
      <c r="A1982" s="6"/>
    </row>
    <row r="1983" spans="1:1" x14ac:dyDescent="0.3">
      <c r="A1983" s="6"/>
    </row>
    <row r="1984" spans="1:1" x14ac:dyDescent="0.3">
      <c r="A1984" s="6"/>
    </row>
    <row r="1985" spans="1:1" x14ac:dyDescent="0.3">
      <c r="A1985" s="6"/>
    </row>
    <row r="1986" spans="1:1" x14ac:dyDescent="0.3">
      <c r="A1986" s="6"/>
    </row>
    <row r="1987" spans="1:1" x14ac:dyDescent="0.3">
      <c r="A1987" s="6"/>
    </row>
    <row r="1988" spans="1:1" x14ac:dyDescent="0.3">
      <c r="A1988" s="6"/>
    </row>
    <row r="1989" spans="1:1" x14ac:dyDescent="0.3">
      <c r="A1989" s="6"/>
    </row>
    <row r="1990" spans="1:1" x14ac:dyDescent="0.3">
      <c r="A1990" s="6"/>
    </row>
    <row r="1991" spans="1:1" x14ac:dyDescent="0.3">
      <c r="A1991" s="6"/>
    </row>
    <row r="1992" spans="1:1" x14ac:dyDescent="0.3">
      <c r="A1992" s="6"/>
    </row>
    <row r="1993" spans="1:1" x14ac:dyDescent="0.3">
      <c r="A1993" s="6"/>
    </row>
    <row r="1994" spans="1:1" x14ac:dyDescent="0.3">
      <c r="A1994" s="6"/>
    </row>
    <row r="1995" spans="1:1" x14ac:dyDescent="0.3">
      <c r="A1995" s="6"/>
    </row>
    <row r="1996" spans="1:1" x14ac:dyDescent="0.3">
      <c r="A1996" s="6"/>
    </row>
    <row r="1997" spans="1:1" x14ac:dyDescent="0.3">
      <c r="A1997" s="6"/>
    </row>
    <row r="1998" spans="1:1" x14ac:dyDescent="0.3">
      <c r="A1998" s="6"/>
    </row>
    <row r="1999" spans="1:1" x14ac:dyDescent="0.3">
      <c r="A1999" s="6"/>
    </row>
    <row r="2000" spans="1:1" x14ac:dyDescent="0.3">
      <c r="A2000" s="6"/>
    </row>
    <row r="2001" spans="1:1" x14ac:dyDescent="0.3">
      <c r="A2001" s="6"/>
    </row>
    <row r="2002" spans="1:1" x14ac:dyDescent="0.3">
      <c r="A2002" s="6"/>
    </row>
    <row r="2003" spans="1:1" x14ac:dyDescent="0.3">
      <c r="A2003" s="6"/>
    </row>
    <row r="2004" spans="1:1" x14ac:dyDescent="0.3">
      <c r="A2004" s="6"/>
    </row>
    <row r="2005" spans="1:1" x14ac:dyDescent="0.3">
      <c r="A2005" s="6"/>
    </row>
    <row r="2006" spans="1:1" x14ac:dyDescent="0.3">
      <c r="A2006" s="6"/>
    </row>
    <row r="2007" spans="1:1" x14ac:dyDescent="0.3">
      <c r="A2007" s="6"/>
    </row>
    <row r="2008" spans="1:1" x14ac:dyDescent="0.3">
      <c r="A2008" s="6"/>
    </row>
    <row r="2009" spans="1:1" x14ac:dyDescent="0.3">
      <c r="A2009" s="6"/>
    </row>
    <row r="2010" spans="1:1" x14ac:dyDescent="0.3">
      <c r="A2010" s="6"/>
    </row>
    <row r="2011" spans="1:1" x14ac:dyDescent="0.3">
      <c r="A2011" s="6"/>
    </row>
    <row r="2012" spans="1:1" x14ac:dyDescent="0.3">
      <c r="A2012" s="6"/>
    </row>
    <row r="2013" spans="1:1" x14ac:dyDescent="0.3">
      <c r="A2013" s="6"/>
    </row>
    <row r="2014" spans="1:1" x14ac:dyDescent="0.3">
      <c r="A2014" s="6"/>
    </row>
    <row r="2015" spans="1:1" x14ac:dyDescent="0.3">
      <c r="A2015" s="6"/>
    </row>
    <row r="2016" spans="1:1" x14ac:dyDescent="0.3">
      <c r="A2016" s="6"/>
    </row>
    <row r="2017" spans="1:1" x14ac:dyDescent="0.3">
      <c r="A2017" s="6"/>
    </row>
    <row r="2018" spans="1:1" x14ac:dyDescent="0.3">
      <c r="A2018" s="6"/>
    </row>
    <row r="2019" spans="1:1" x14ac:dyDescent="0.3">
      <c r="A2019" s="6"/>
    </row>
    <row r="2020" spans="1:1" x14ac:dyDescent="0.3">
      <c r="A2020" s="6"/>
    </row>
    <row r="2021" spans="1:1" x14ac:dyDescent="0.3">
      <c r="A2021" s="6"/>
    </row>
    <row r="2022" spans="1:1" x14ac:dyDescent="0.3">
      <c r="A2022" s="6"/>
    </row>
    <row r="2023" spans="1:1" x14ac:dyDescent="0.3">
      <c r="A2023" s="6"/>
    </row>
    <row r="2024" spans="1:1" x14ac:dyDescent="0.3">
      <c r="A2024" s="6"/>
    </row>
    <row r="2025" spans="1:1" x14ac:dyDescent="0.3">
      <c r="A2025" s="6"/>
    </row>
    <row r="2026" spans="1:1" x14ac:dyDescent="0.3">
      <c r="A2026" s="6"/>
    </row>
    <row r="2027" spans="1:1" x14ac:dyDescent="0.3">
      <c r="A2027" s="6"/>
    </row>
    <row r="2028" spans="1:1" x14ac:dyDescent="0.3">
      <c r="A2028" s="6"/>
    </row>
    <row r="2029" spans="1:1" x14ac:dyDescent="0.3">
      <c r="A2029" s="6"/>
    </row>
    <row r="2030" spans="1:1" x14ac:dyDescent="0.3">
      <c r="A2030" s="6"/>
    </row>
    <row r="2031" spans="1:1" x14ac:dyDescent="0.3">
      <c r="A2031" s="6"/>
    </row>
    <row r="2032" spans="1:1" x14ac:dyDescent="0.3">
      <c r="A2032" s="6"/>
    </row>
    <row r="2033" spans="1:1" x14ac:dyDescent="0.3">
      <c r="A2033" s="6"/>
    </row>
    <row r="2034" spans="1:1" x14ac:dyDescent="0.3">
      <c r="A2034" s="6"/>
    </row>
    <row r="2035" spans="1:1" x14ac:dyDescent="0.3">
      <c r="A2035" s="6"/>
    </row>
    <row r="2036" spans="1:1" x14ac:dyDescent="0.3">
      <c r="A2036" s="6"/>
    </row>
    <row r="2037" spans="1:1" x14ac:dyDescent="0.3">
      <c r="A2037" s="6"/>
    </row>
    <row r="2038" spans="1:1" x14ac:dyDescent="0.3">
      <c r="A2038" s="6"/>
    </row>
    <row r="2039" spans="1:1" x14ac:dyDescent="0.3">
      <c r="A2039" s="6"/>
    </row>
    <row r="2040" spans="1:1" x14ac:dyDescent="0.3">
      <c r="A2040" s="6"/>
    </row>
    <row r="2041" spans="1:1" x14ac:dyDescent="0.3">
      <c r="A2041" s="6"/>
    </row>
    <row r="2042" spans="1:1" x14ac:dyDescent="0.3">
      <c r="A2042" s="6"/>
    </row>
    <row r="2043" spans="1:1" x14ac:dyDescent="0.3">
      <c r="A2043" s="6"/>
    </row>
    <row r="2044" spans="1:1" x14ac:dyDescent="0.3">
      <c r="A2044" s="6"/>
    </row>
    <row r="2045" spans="1:1" x14ac:dyDescent="0.3">
      <c r="A2045" s="6"/>
    </row>
    <row r="2046" spans="1:1" x14ac:dyDescent="0.3">
      <c r="A2046" s="6"/>
    </row>
    <row r="2047" spans="1:1" x14ac:dyDescent="0.3">
      <c r="A2047" s="6"/>
    </row>
    <row r="2048" spans="1:1" x14ac:dyDescent="0.3">
      <c r="A2048" s="6"/>
    </row>
    <row r="2049" spans="1:1" x14ac:dyDescent="0.3">
      <c r="A2049" s="6"/>
    </row>
    <row r="2050" spans="1:1" x14ac:dyDescent="0.3">
      <c r="A2050" s="6"/>
    </row>
    <row r="2051" spans="1:1" x14ac:dyDescent="0.3">
      <c r="A2051" s="6"/>
    </row>
    <row r="2052" spans="1:1" x14ac:dyDescent="0.3">
      <c r="A2052" s="6"/>
    </row>
    <row r="2053" spans="1:1" x14ac:dyDescent="0.3">
      <c r="A2053" s="6"/>
    </row>
    <row r="2054" spans="1:1" x14ac:dyDescent="0.3">
      <c r="A2054" s="6"/>
    </row>
    <row r="2055" spans="1:1" x14ac:dyDescent="0.3">
      <c r="A2055" s="6"/>
    </row>
    <row r="2056" spans="1:1" x14ac:dyDescent="0.3">
      <c r="A2056" s="6"/>
    </row>
    <row r="2057" spans="1:1" x14ac:dyDescent="0.3">
      <c r="A2057" s="6"/>
    </row>
    <row r="2058" spans="1:1" x14ac:dyDescent="0.3">
      <c r="A2058" s="6"/>
    </row>
    <row r="2059" spans="1:1" x14ac:dyDescent="0.3">
      <c r="A2059" s="6"/>
    </row>
    <row r="2060" spans="1:1" x14ac:dyDescent="0.3">
      <c r="A2060" s="6"/>
    </row>
    <row r="2061" spans="1:1" x14ac:dyDescent="0.3">
      <c r="A2061" s="6"/>
    </row>
    <row r="2062" spans="1:1" x14ac:dyDescent="0.3">
      <c r="A2062" s="6"/>
    </row>
    <row r="2063" spans="1:1" x14ac:dyDescent="0.3">
      <c r="A2063" s="6"/>
    </row>
    <row r="2064" spans="1:1" x14ac:dyDescent="0.3">
      <c r="A2064" s="6"/>
    </row>
    <row r="2065" spans="1:1" x14ac:dyDescent="0.3">
      <c r="A2065" s="6"/>
    </row>
    <row r="2066" spans="1:1" x14ac:dyDescent="0.3">
      <c r="A2066" s="6"/>
    </row>
    <row r="2067" spans="1:1" x14ac:dyDescent="0.3">
      <c r="A2067" s="6"/>
    </row>
    <row r="2068" spans="1:1" x14ac:dyDescent="0.3">
      <c r="A2068" s="6"/>
    </row>
    <row r="2069" spans="1:1" x14ac:dyDescent="0.3">
      <c r="A2069" s="6"/>
    </row>
    <row r="2070" spans="1:1" x14ac:dyDescent="0.3">
      <c r="A2070" s="6"/>
    </row>
    <row r="2071" spans="1:1" x14ac:dyDescent="0.3">
      <c r="A2071" s="6"/>
    </row>
    <row r="2072" spans="1:1" x14ac:dyDescent="0.3">
      <c r="A2072" s="6"/>
    </row>
    <row r="2073" spans="1:1" x14ac:dyDescent="0.3">
      <c r="A2073" s="6"/>
    </row>
    <row r="2074" spans="1:1" x14ac:dyDescent="0.3">
      <c r="A2074" s="6"/>
    </row>
    <row r="2075" spans="1:1" x14ac:dyDescent="0.3">
      <c r="A2075" s="6"/>
    </row>
    <row r="2076" spans="1:1" x14ac:dyDescent="0.3">
      <c r="A2076" s="6"/>
    </row>
    <row r="2077" spans="1:1" x14ac:dyDescent="0.3">
      <c r="A2077" s="6"/>
    </row>
    <row r="2078" spans="1:1" x14ac:dyDescent="0.3">
      <c r="A2078" s="6"/>
    </row>
    <row r="2079" spans="1:1" x14ac:dyDescent="0.3">
      <c r="A2079" s="6"/>
    </row>
    <row r="2080" spans="1:1" x14ac:dyDescent="0.3">
      <c r="A2080" s="6"/>
    </row>
    <row r="2081" spans="1:1" x14ac:dyDescent="0.3">
      <c r="A2081" s="6"/>
    </row>
    <row r="2082" spans="1:1" x14ac:dyDescent="0.3">
      <c r="A2082" s="6"/>
    </row>
    <row r="2083" spans="1:1" x14ac:dyDescent="0.3">
      <c r="A2083" s="6"/>
    </row>
    <row r="2084" spans="1:1" x14ac:dyDescent="0.3">
      <c r="A2084" s="6"/>
    </row>
    <row r="2085" spans="1:1" x14ac:dyDescent="0.3">
      <c r="A2085" s="6"/>
    </row>
    <row r="2086" spans="1:1" x14ac:dyDescent="0.3">
      <c r="A2086" s="6"/>
    </row>
    <row r="2087" spans="1:1" x14ac:dyDescent="0.3">
      <c r="A2087" s="6"/>
    </row>
    <row r="2088" spans="1:1" x14ac:dyDescent="0.3">
      <c r="A2088" s="6"/>
    </row>
    <row r="2089" spans="1:1" x14ac:dyDescent="0.3">
      <c r="A2089" s="6"/>
    </row>
    <row r="2090" spans="1:1" x14ac:dyDescent="0.3">
      <c r="A2090" s="6"/>
    </row>
    <row r="2091" spans="1:1" x14ac:dyDescent="0.3">
      <c r="A2091" s="6"/>
    </row>
    <row r="2092" spans="1:1" x14ac:dyDescent="0.3">
      <c r="A2092" s="6"/>
    </row>
    <row r="2093" spans="1:1" x14ac:dyDescent="0.3">
      <c r="A2093" s="6"/>
    </row>
    <row r="2094" spans="1:1" x14ac:dyDescent="0.3">
      <c r="A2094" s="6"/>
    </row>
    <row r="2095" spans="1:1" x14ac:dyDescent="0.3">
      <c r="A2095" s="6"/>
    </row>
    <row r="2096" spans="1:1" x14ac:dyDescent="0.3">
      <c r="A2096" s="6"/>
    </row>
    <row r="2097" spans="1:1" x14ac:dyDescent="0.3">
      <c r="A2097" s="6"/>
    </row>
    <row r="2098" spans="1:1" x14ac:dyDescent="0.3">
      <c r="A2098" s="6"/>
    </row>
    <row r="2099" spans="1:1" x14ac:dyDescent="0.3">
      <c r="A2099" s="6"/>
    </row>
    <row r="2100" spans="1:1" x14ac:dyDescent="0.3">
      <c r="A2100" s="6"/>
    </row>
    <row r="2101" spans="1:1" x14ac:dyDescent="0.3">
      <c r="A2101" s="6"/>
    </row>
    <row r="2102" spans="1:1" x14ac:dyDescent="0.3">
      <c r="A2102" s="6"/>
    </row>
    <row r="2103" spans="1:1" x14ac:dyDescent="0.3">
      <c r="A2103" s="6"/>
    </row>
    <row r="2104" spans="1:1" x14ac:dyDescent="0.3">
      <c r="A2104" s="6"/>
    </row>
    <row r="2105" spans="1:1" x14ac:dyDescent="0.3">
      <c r="A2105" s="6"/>
    </row>
    <row r="2106" spans="1:1" x14ac:dyDescent="0.3">
      <c r="A2106" s="6"/>
    </row>
    <row r="2107" spans="1:1" x14ac:dyDescent="0.3">
      <c r="A2107" s="6"/>
    </row>
    <row r="2108" spans="1:1" x14ac:dyDescent="0.3">
      <c r="A2108" s="6"/>
    </row>
    <row r="2109" spans="1:1" x14ac:dyDescent="0.3">
      <c r="A2109" s="6"/>
    </row>
    <row r="2110" spans="1:1" x14ac:dyDescent="0.3">
      <c r="A2110" s="6"/>
    </row>
    <row r="2111" spans="1:1" x14ac:dyDescent="0.3">
      <c r="A2111" s="6"/>
    </row>
    <row r="2112" spans="1:1" x14ac:dyDescent="0.3">
      <c r="A2112" s="6"/>
    </row>
    <row r="2113" spans="1:1" x14ac:dyDescent="0.3">
      <c r="A2113" s="6"/>
    </row>
    <row r="2114" spans="1:1" x14ac:dyDescent="0.3">
      <c r="A2114" s="6"/>
    </row>
    <row r="2115" spans="1:1" x14ac:dyDescent="0.3">
      <c r="A2115" s="6"/>
    </row>
    <row r="2116" spans="1:1" x14ac:dyDescent="0.3">
      <c r="A2116" s="6"/>
    </row>
    <row r="2117" spans="1:1" x14ac:dyDescent="0.3">
      <c r="A2117" s="6"/>
    </row>
    <row r="2118" spans="1:1" x14ac:dyDescent="0.3">
      <c r="A2118" s="6"/>
    </row>
    <row r="2119" spans="1:1" x14ac:dyDescent="0.3">
      <c r="A2119" s="6"/>
    </row>
    <row r="2120" spans="1:1" x14ac:dyDescent="0.3">
      <c r="A2120" s="6"/>
    </row>
    <row r="2121" spans="1:1" x14ac:dyDescent="0.3">
      <c r="A2121" s="6"/>
    </row>
    <row r="2122" spans="1:1" x14ac:dyDescent="0.3">
      <c r="A2122" s="6"/>
    </row>
    <row r="2123" spans="1:1" x14ac:dyDescent="0.3">
      <c r="A2123" s="6"/>
    </row>
    <row r="2124" spans="1:1" x14ac:dyDescent="0.3">
      <c r="A2124" s="6"/>
    </row>
    <row r="2125" spans="1:1" x14ac:dyDescent="0.3">
      <c r="A2125" s="6"/>
    </row>
    <row r="2126" spans="1:1" x14ac:dyDescent="0.3">
      <c r="A2126" s="6"/>
    </row>
    <row r="2127" spans="1:1" x14ac:dyDescent="0.3">
      <c r="A2127" s="6"/>
    </row>
    <row r="2128" spans="1:1" x14ac:dyDescent="0.3">
      <c r="A2128" s="6"/>
    </row>
    <row r="2129" spans="1:1" x14ac:dyDescent="0.3">
      <c r="A2129" s="6"/>
    </row>
    <row r="2130" spans="1:1" x14ac:dyDescent="0.3">
      <c r="A2130" s="6"/>
    </row>
    <row r="2131" spans="1:1" x14ac:dyDescent="0.3">
      <c r="A2131" s="6"/>
    </row>
    <row r="2132" spans="1:1" x14ac:dyDescent="0.3">
      <c r="A2132" s="6"/>
    </row>
    <row r="2133" spans="1:1" x14ac:dyDescent="0.3">
      <c r="A2133" s="6"/>
    </row>
    <row r="2134" spans="1:1" x14ac:dyDescent="0.3">
      <c r="A2134" s="6"/>
    </row>
    <row r="2135" spans="1:1" x14ac:dyDescent="0.3">
      <c r="A2135" s="6"/>
    </row>
    <row r="2136" spans="1:1" x14ac:dyDescent="0.3">
      <c r="A2136" s="6"/>
    </row>
    <row r="2137" spans="1:1" x14ac:dyDescent="0.3">
      <c r="A2137" s="6"/>
    </row>
    <row r="2138" spans="1:1" x14ac:dyDescent="0.3">
      <c r="A2138" s="6"/>
    </row>
    <row r="2139" spans="1:1" x14ac:dyDescent="0.3">
      <c r="A2139" s="6"/>
    </row>
    <row r="2140" spans="1:1" x14ac:dyDescent="0.3">
      <c r="A2140" s="6"/>
    </row>
    <row r="2141" spans="1:1" x14ac:dyDescent="0.3">
      <c r="A2141" s="6"/>
    </row>
    <row r="2142" spans="1:1" x14ac:dyDescent="0.3">
      <c r="A2142" s="6"/>
    </row>
    <row r="2143" spans="1:1" x14ac:dyDescent="0.3">
      <c r="A2143" s="6"/>
    </row>
    <row r="2144" spans="1:1" x14ac:dyDescent="0.3">
      <c r="A2144" s="6"/>
    </row>
    <row r="2145" spans="1:1" x14ac:dyDescent="0.3">
      <c r="A2145" s="6"/>
    </row>
    <row r="2146" spans="1:1" x14ac:dyDescent="0.3">
      <c r="A2146" s="6"/>
    </row>
    <row r="2147" spans="1:1" x14ac:dyDescent="0.3">
      <c r="A2147" s="6"/>
    </row>
    <row r="2148" spans="1:1" x14ac:dyDescent="0.3">
      <c r="A2148" s="6"/>
    </row>
    <row r="2149" spans="1:1" x14ac:dyDescent="0.3">
      <c r="A2149" s="6"/>
    </row>
    <row r="2150" spans="1:1" x14ac:dyDescent="0.3">
      <c r="A2150" s="6"/>
    </row>
    <row r="2151" spans="1:1" x14ac:dyDescent="0.3">
      <c r="A2151" s="6"/>
    </row>
    <row r="2152" spans="1:1" x14ac:dyDescent="0.3">
      <c r="A2152" s="6"/>
    </row>
    <row r="2153" spans="1:1" x14ac:dyDescent="0.3">
      <c r="A2153" s="6"/>
    </row>
    <row r="2154" spans="1:1" x14ac:dyDescent="0.3">
      <c r="A2154" s="6"/>
    </row>
    <row r="2155" spans="1:1" x14ac:dyDescent="0.3">
      <c r="A2155" s="6"/>
    </row>
    <row r="2156" spans="1:1" x14ac:dyDescent="0.3">
      <c r="A2156" s="6"/>
    </row>
    <row r="2157" spans="1:1" x14ac:dyDescent="0.3">
      <c r="A2157" s="6"/>
    </row>
    <row r="2158" spans="1:1" x14ac:dyDescent="0.3">
      <c r="A2158" s="6"/>
    </row>
    <row r="2159" spans="1:1" x14ac:dyDescent="0.3">
      <c r="A2159" s="6"/>
    </row>
    <row r="2160" spans="1:1" x14ac:dyDescent="0.3">
      <c r="A2160" s="6"/>
    </row>
    <row r="2161" spans="1:1" x14ac:dyDescent="0.3">
      <c r="A2161" s="6"/>
    </row>
    <row r="2162" spans="1:1" x14ac:dyDescent="0.3">
      <c r="A2162" s="6"/>
    </row>
    <row r="2163" spans="1:1" x14ac:dyDescent="0.3">
      <c r="A2163" s="6"/>
    </row>
    <row r="2164" spans="1:1" x14ac:dyDescent="0.3">
      <c r="A2164" s="6"/>
    </row>
    <row r="2165" spans="1:1" x14ac:dyDescent="0.3">
      <c r="A2165" s="6"/>
    </row>
    <row r="2166" spans="1:1" x14ac:dyDescent="0.3">
      <c r="A2166" s="6"/>
    </row>
    <row r="2167" spans="1:1" x14ac:dyDescent="0.3">
      <c r="A2167" s="6"/>
    </row>
    <row r="2168" spans="1:1" x14ac:dyDescent="0.3">
      <c r="A2168" s="6"/>
    </row>
    <row r="2169" spans="1:1" x14ac:dyDescent="0.3">
      <c r="A2169" s="6"/>
    </row>
    <row r="2170" spans="1:1" x14ac:dyDescent="0.3">
      <c r="A2170" s="6"/>
    </row>
    <row r="2171" spans="1:1" x14ac:dyDescent="0.3">
      <c r="A2171" s="6"/>
    </row>
    <row r="2172" spans="1:1" x14ac:dyDescent="0.3">
      <c r="A2172" s="6"/>
    </row>
    <row r="2173" spans="1:1" x14ac:dyDescent="0.3">
      <c r="A2173" s="6"/>
    </row>
    <row r="2174" spans="1:1" x14ac:dyDescent="0.3">
      <c r="A2174" s="6"/>
    </row>
    <row r="2175" spans="1:1" x14ac:dyDescent="0.3">
      <c r="A2175" s="6"/>
    </row>
    <row r="2176" spans="1:1" x14ac:dyDescent="0.3">
      <c r="A2176" s="6"/>
    </row>
    <row r="2177" spans="1:1" x14ac:dyDescent="0.3">
      <c r="A2177" s="6"/>
    </row>
    <row r="2178" spans="1:1" x14ac:dyDescent="0.3">
      <c r="A2178" s="6"/>
    </row>
    <row r="2179" spans="1:1" x14ac:dyDescent="0.3">
      <c r="A2179" s="6"/>
    </row>
    <row r="2180" spans="1:1" x14ac:dyDescent="0.3">
      <c r="A2180" s="6"/>
    </row>
    <row r="2181" spans="1:1" x14ac:dyDescent="0.3">
      <c r="A2181" s="6"/>
    </row>
    <row r="2182" spans="1:1" x14ac:dyDescent="0.3">
      <c r="A2182" s="6"/>
    </row>
    <row r="2183" spans="1:1" x14ac:dyDescent="0.3">
      <c r="A2183" s="6"/>
    </row>
    <row r="2184" spans="1:1" x14ac:dyDescent="0.3">
      <c r="A2184" s="6"/>
    </row>
    <row r="2185" spans="1:1" x14ac:dyDescent="0.3">
      <c r="A2185" s="6"/>
    </row>
    <row r="2186" spans="1:1" x14ac:dyDescent="0.3">
      <c r="A2186" s="6"/>
    </row>
    <row r="2187" spans="1:1" x14ac:dyDescent="0.3">
      <c r="A2187" s="6"/>
    </row>
    <row r="2188" spans="1:1" x14ac:dyDescent="0.3">
      <c r="A2188" s="6"/>
    </row>
    <row r="2189" spans="1:1" x14ac:dyDescent="0.3">
      <c r="A2189" s="6"/>
    </row>
    <row r="2190" spans="1:1" x14ac:dyDescent="0.3">
      <c r="A2190" s="6"/>
    </row>
    <row r="2191" spans="1:1" x14ac:dyDescent="0.3">
      <c r="A2191" s="6"/>
    </row>
    <row r="2192" spans="1:1" x14ac:dyDescent="0.3">
      <c r="A2192" s="6"/>
    </row>
    <row r="2193" spans="1:1" x14ac:dyDescent="0.3">
      <c r="A2193" s="6"/>
    </row>
    <row r="2194" spans="1:1" x14ac:dyDescent="0.3">
      <c r="A2194" s="6"/>
    </row>
    <row r="2195" spans="1:1" x14ac:dyDescent="0.3">
      <c r="A2195" s="6"/>
    </row>
    <row r="2196" spans="1:1" x14ac:dyDescent="0.3">
      <c r="A2196" s="6"/>
    </row>
    <row r="2197" spans="1:1" x14ac:dyDescent="0.3">
      <c r="A2197" s="6"/>
    </row>
    <row r="2198" spans="1:1" x14ac:dyDescent="0.3">
      <c r="A2198" s="6"/>
    </row>
    <row r="2199" spans="1:1" x14ac:dyDescent="0.3">
      <c r="A2199" s="6"/>
    </row>
    <row r="2200" spans="1:1" x14ac:dyDescent="0.3">
      <c r="A2200" s="6"/>
    </row>
    <row r="2201" spans="1:1" x14ac:dyDescent="0.3">
      <c r="A2201" s="6"/>
    </row>
    <row r="2202" spans="1:1" x14ac:dyDescent="0.3">
      <c r="A2202" s="6"/>
    </row>
    <row r="2203" spans="1:1" x14ac:dyDescent="0.3">
      <c r="A2203" s="6"/>
    </row>
    <row r="2204" spans="1:1" x14ac:dyDescent="0.3">
      <c r="A2204" s="6"/>
    </row>
    <row r="2205" spans="1:1" x14ac:dyDescent="0.3">
      <c r="A2205" s="6"/>
    </row>
    <row r="2206" spans="1:1" x14ac:dyDescent="0.3">
      <c r="A2206" s="6"/>
    </row>
    <row r="2207" spans="1:1" x14ac:dyDescent="0.3">
      <c r="A2207" s="6"/>
    </row>
    <row r="2208" spans="1:1" x14ac:dyDescent="0.3">
      <c r="A2208" s="6"/>
    </row>
    <row r="2209" spans="1:1" x14ac:dyDescent="0.3">
      <c r="A2209" s="6"/>
    </row>
    <row r="2210" spans="1:1" x14ac:dyDescent="0.3">
      <c r="A2210" s="6"/>
    </row>
    <row r="2211" spans="1:1" x14ac:dyDescent="0.3">
      <c r="A2211" s="6"/>
    </row>
    <row r="2212" spans="1:1" x14ac:dyDescent="0.3">
      <c r="A2212" s="6"/>
    </row>
    <row r="2213" spans="1:1" x14ac:dyDescent="0.3">
      <c r="A2213" s="6"/>
    </row>
    <row r="2214" spans="1:1" x14ac:dyDescent="0.3">
      <c r="A2214" s="6"/>
    </row>
    <row r="2215" spans="1:1" x14ac:dyDescent="0.3">
      <c r="A2215" s="6"/>
    </row>
    <row r="2216" spans="1:1" x14ac:dyDescent="0.3">
      <c r="A2216" s="6"/>
    </row>
    <row r="2217" spans="1:1" x14ac:dyDescent="0.3">
      <c r="A2217" s="6"/>
    </row>
    <row r="2218" spans="1:1" x14ac:dyDescent="0.3">
      <c r="A2218" s="6"/>
    </row>
    <row r="2219" spans="1:1" x14ac:dyDescent="0.3">
      <c r="A2219" s="6"/>
    </row>
    <row r="2220" spans="1:1" x14ac:dyDescent="0.3">
      <c r="A2220" s="6"/>
    </row>
    <row r="2221" spans="1:1" x14ac:dyDescent="0.3">
      <c r="A2221" s="6"/>
    </row>
    <row r="2222" spans="1:1" x14ac:dyDescent="0.3">
      <c r="A2222" s="6"/>
    </row>
    <row r="2223" spans="1:1" x14ac:dyDescent="0.3">
      <c r="A2223" s="6"/>
    </row>
    <row r="2224" spans="1:1" x14ac:dyDescent="0.3">
      <c r="A2224" s="6"/>
    </row>
    <row r="2225" spans="1:1" x14ac:dyDescent="0.3">
      <c r="A2225" s="6"/>
    </row>
    <row r="2226" spans="1:1" x14ac:dyDescent="0.3">
      <c r="A2226" s="6"/>
    </row>
    <row r="2227" spans="1:1" x14ac:dyDescent="0.3">
      <c r="A2227" s="6"/>
    </row>
    <row r="2228" spans="1:1" x14ac:dyDescent="0.3">
      <c r="A2228" s="6"/>
    </row>
    <row r="2229" spans="1:1" x14ac:dyDescent="0.3">
      <c r="A2229" s="6"/>
    </row>
    <row r="2230" spans="1:1" x14ac:dyDescent="0.3">
      <c r="A2230" s="6"/>
    </row>
    <row r="2231" spans="1:1" x14ac:dyDescent="0.3">
      <c r="A2231" s="6"/>
    </row>
    <row r="2232" spans="1:1" x14ac:dyDescent="0.3">
      <c r="A2232" s="6"/>
    </row>
    <row r="2233" spans="1:1" x14ac:dyDescent="0.3">
      <c r="A2233" s="6"/>
    </row>
    <row r="2234" spans="1:1" x14ac:dyDescent="0.3">
      <c r="A2234" s="6"/>
    </row>
    <row r="2235" spans="1:1" x14ac:dyDescent="0.3">
      <c r="A2235" s="6"/>
    </row>
    <row r="2236" spans="1:1" x14ac:dyDescent="0.3">
      <c r="A2236" s="6"/>
    </row>
    <row r="2237" spans="1:1" x14ac:dyDescent="0.3">
      <c r="A2237" s="6"/>
    </row>
    <row r="2238" spans="1:1" x14ac:dyDescent="0.3">
      <c r="A2238" s="6"/>
    </row>
    <row r="2239" spans="1:1" x14ac:dyDescent="0.3">
      <c r="A2239" s="6"/>
    </row>
    <row r="2240" spans="1:1" x14ac:dyDescent="0.3">
      <c r="A2240" s="6"/>
    </row>
    <row r="2241" spans="1:1" x14ac:dyDescent="0.3">
      <c r="A2241" s="6"/>
    </row>
    <row r="2242" spans="1:1" x14ac:dyDescent="0.3">
      <c r="A2242" s="6"/>
    </row>
    <row r="2243" spans="1:1" x14ac:dyDescent="0.3">
      <c r="A2243" s="6"/>
    </row>
    <row r="2244" spans="1:1" x14ac:dyDescent="0.3">
      <c r="A2244" s="6"/>
    </row>
    <row r="2245" spans="1:1" x14ac:dyDescent="0.3">
      <c r="A2245" s="6"/>
    </row>
    <row r="2246" spans="1:1" x14ac:dyDescent="0.3">
      <c r="A2246" s="6"/>
    </row>
    <row r="2247" spans="1:1" x14ac:dyDescent="0.3">
      <c r="A2247" s="6"/>
    </row>
    <row r="2248" spans="1:1" x14ac:dyDescent="0.3">
      <c r="A2248" s="6"/>
    </row>
    <row r="2249" spans="1:1" x14ac:dyDescent="0.3">
      <c r="A2249" s="6"/>
    </row>
    <row r="2250" spans="1:1" x14ac:dyDescent="0.3">
      <c r="A2250" s="6"/>
    </row>
    <row r="2251" spans="1:1" x14ac:dyDescent="0.3">
      <c r="A2251" s="6"/>
    </row>
    <row r="2252" spans="1:1" x14ac:dyDescent="0.3">
      <c r="A2252" s="6"/>
    </row>
    <row r="2253" spans="1:1" x14ac:dyDescent="0.3">
      <c r="A2253" s="6"/>
    </row>
    <row r="2254" spans="1:1" x14ac:dyDescent="0.3">
      <c r="A2254" s="6"/>
    </row>
    <row r="2255" spans="1:1" x14ac:dyDescent="0.3">
      <c r="A2255" s="6"/>
    </row>
    <row r="2256" spans="1:1" x14ac:dyDescent="0.3">
      <c r="A2256" s="6"/>
    </row>
    <row r="2257" spans="1:1" x14ac:dyDescent="0.3">
      <c r="A2257" s="6"/>
    </row>
    <row r="2258" spans="1:1" x14ac:dyDescent="0.3">
      <c r="A2258" s="6"/>
    </row>
    <row r="2259" spans="1:1" x14ac:dyDescent="0.3">
      <c r="A2259" s="6"/>
    </row>
    <row r="2260" spans="1:1" x14ac:dyDescent="0.3">
      <c r="A2260" s="6"/>
    </row>
    <row r="2261" spans="1:1" x14ac:dyDescent="0.3">
      <c r="A2261" s="6"/>
    </row>
    <row r="2262" spans="1:1" x14ac:dyDescent="0.3">
      <c r="A2262" s="6"/>
    </row>
    <row r="2263" spans="1:1" x14ac:dyDescent="0.3">
      <c r="A2263" s="6"/>
    </row>
    <row r="2264" spans="1:1" x14ac:dyDescent="0.3">
      <c r="A2264" s="6"/>
    </row>
    <row r="2265" spans="1:1" x14ac:dyDescent="0.3">
      <c r="A2265" s="6"/>
    </row>
    <row r="2266" spans="1:1" x14ac:dyDescent="0.3">
      <c r="A2266" s="6"/>
    </row>
    <row r="2267" spans="1:1" x14ac:dyDescent="0.3">
      <c r="A2267" s="6"/>
    </row>
    <row r="2268" spans="1:1" x14ac:dyDescent="0.3">
      <c r="A2268" s="6"/>
    </row>
    <row r="2269" spans="1:1" x14ac:dyDescent="0.3">
      <c r="A2269" s="6"/>
    </row>
    <row r="2270" spans="1:1" x14ac:dyDescent="0.3">
      <c r="A2270" s="6"/>
    </row>
    <row r="2271" spans="1:1" x14ac:dyDescent="0.3">
      <c r="A2271" s="6"/>
    </row>
    <row r="2272" spans="1:1" x14ac:dyDescent="0.3">
      <c r="A2272" s="6"/>
    </row>
    <row r="2273" spans="1:1" x14ac:dyDescent="0.3">
      <c r="A2273" s="6"/>
    </row>
    <row r="2274" spans="1:1" x14ac:dyDescent="0.3">
      <c r="A2274" s="6"/>
    </row>
    <row r="2275" spans="1:1" x14ac:dyDescent="0.3">
      <c r="A2275" s="6"/>
    </row>
    <row r="2276" spans="1:1" x14ac:dyDescent="0.3">
      <c r="A2276" s="6"/>
    </row>
    <row r="2277" spans="1:1" x14ac:dyDescent="0.3">
      <c r="A2277" s="6"/>
    </row>
    <row r="2278" spans="1:1" x14ac:dyDescent="0.3">
      <c r="A2278" s="6"/>
    </row>
    <row r="2279" spans="1:1" x14ac:dyDescent="0.3">
      <c r="A2279" s="6"/>
    </row>
    <row r="2280" spans="1:1" x14ac:dyDescent="0.3">
      <c r="A2280" s="6"/>
    </row>
    <row r="2281" spans="1:1" x14ac:dyDescent="0.3">
      <c r="A2281" s="6"/>
    </row>
    <row r="2282" spans="1:1" x14ac:dyDescent="0.3">
      <c r="A2282" s="6"/>
    </row>
    <row r="2283" spans="1:1" x14ac:dyDescent="0.3">
      <c r="A2283" s="6"/>
    </row>
    <row r="2284" spans="1:1" x14ac:dyDescent="0.3">
      <c r="A2284" s="6"/>
    </row>
    <row r="2285" spans="1:1" x14ac:dyDescent="0.3">
      <c r="A2285" s="6"/>
    </row>
    <row r="2286" spans="1:1" x14ac:dyDescent="0.3">
      <c r="A2286" s="6"/>
    </row>
    <row r="2287" spans="1:1" x14ac:dyDescent="0.3">
      <c r="A2287" s="6"/>
    </row>
    <row r="2288" spans="1:1" x14ac:dyDescent="0.3">
      <c r="A2288" s="6"/>
    </row>
    <row r="2289" spans="1:1" x14ac:dyDescent="0.3">
      <c r="A2289" s="6"/>
    </row>
    <row r="2290" spans="1:1" x14ac:dyDescent="0.3">
      <c r="A2290" s="6"/>
    </row>
    <row r="2291" spans="1:1" x14ac:dyDescent="0.3">
      <c r="A2291" s="6"/>
    </row>
    <row r="2292" spans="1:1" x14ac:dyDescent="0.3">
      <c r="A2292" s="6"/>
    </row>
    <row r="2293" spans="1:1" x14ac:dyDescent="0.3">
      <c r="A2293" s="6"/>
    </row>
    <row r="2294" spans="1:1" x14ac:dyDescent="0.3">
      <c r="A2294" s="6"/>
    </row>
    <row r="2295" spans="1:1" x14ac:dyDescent="0.3">
      <c r="A2295" s="6"/>
    </row>
    <row r="2296" spans="1:1" x14ac:dyDescent="0.3">
      <c r="A2296" s="6"/>
    </row>
    <row r="2297" spans="1:1" x14ac:dyDescent="0.3">
      <c r="A2297" s="6"/>
    </row>
    <row r="2298" spans="1:1" x14ac:dyDescent="0.3">
      <c r="A2298" s="6"/>
    </row>
    <row r="2299" spans="1:1" x14ac:dyDescent="0.3">
      <c r="A2299" s="6"/>
    </row>
    <row r="2300" spans="1:1" x14ac:dyDescent="0.3">
      <c r="A2300" s="6"/>
    </row>
    <row r="2301" spans="1:1" x14ac:dyDescent="0.3">
      <c r="A2301" s="6"/>
    </row>
    <row r="2302" spans="1:1" x14ac:dyDescent="0.3">
      <c r="A2302" s="6"/>
    </row>
    <row r="2303" spans="1:1" x14ac:dyDescent="0.3">
      <c r="A2303" s="6"/>
    </row>
    <row r="2304" spans="1:1" x14ac:dyDescent="0.3">
      <c r="A2304" s="6"/>
    </row>
    <row r="2305" spans="1:1" x14ac:dyDescent="0.3">
      <c r="A2305" s="6"/>
    </row>
    <row r="2306" spans="1:1" x14ac:dyDescent="0.3">
      <c r="A2306" s="6"/>
    </row>
    <row r="2307" spans="1:1" x14ac:dyDescent="0.3">
      <c r="A2307" s="6"/>
    </row>
    <row r="2308" spans="1:1" x14ac:dyDescent="0.3">
      <c r="A2308" s="6"/>
    </row>
    <row r="2309" spans="1:1" x14ac:dyDescent="0.3">
      <c r="A2309" s="6"/>
    </row>
    <row r="2310" spans="1:1" x14ac:dyDescent="0.3">
      <c r="A2310" s="6"/>
    </row>
    <row r="2311" spans="1:1" x14ac:dyDescent="0.3">
      <c r="A2311" s="6"/>
    </row>
    <row r="2312" spans="1:1" x14ac:dyDescent="0.3">
      <c r="A2312" s="6"/>
    </row>
    <row r="2313" spans="1:1" x14ac:dyDescent="0.3">
      <c r="A2313" s="6"/>
    </row>
    <row r="2314" spans="1:1" x14ac:dyDescent="0.3">
      <c r="A2314" s="6"/>
    </row>
    <row r="2315" spans="1:1" x14ac:dyDescent="0.3">
      <c r="A2315" s="6"/>
    </row>
    <row r="2316" spans="1:1" x14ac:dyDescent="0.3">
      <c r="A2316" s="6"/>
    </row>
    <row r="2317" spans="1:1" x14ac:dyDescent="0.3">
      <c r="A2317" s="6"/>
    </row>
    <row r="2318" spans="1:1" x14ac:dyDescent="0.3">
      <c r="A2318" s="6"/>
    </row>
    <row r="2319" spans="1:1" x14ac:dyDescent="0.3">
      <c r="A2319" s="6"/>
    </row>
    <row r="2320" spans="1:1" x14ac:dyDescent="0.3">
      <c r="A2320" s="6"/>
    </row>
    <row r="2321" spans="1:1" x14ac:dyDescent="0.3">
      <c r="A2321" s="6"/>
    </row>
    <row r="2322" spans="1:1" x14ac:dyDescent="0.3">
      <c r="A2322" s="6"/>
    </row>
    <row r="2323" spans="1:1" x14ac:dyDescent="0.3">
      <c r="A2323" s="6"/>
    </row>
    <row r="2324" spans="1:1" x14ac:dyDescent="0.3">
      <c r="A2324" s="6"/>
    </row>
    <row r="2325" spans="1:1" x14ac:dyDescent="0.3">
      <c r="A2325" s="6"/>
    </row>
    <row r="2326" spans="1:1" x14ac:dyDescent="0.3">
      <c r="A2326" s="6"/>
    </row>
    <row r="2327" spans="1:1" x14ac:dyDescent="0.3">
      <c r="A2327" s="6"/>
    </row>
    <row r="2328" spans="1:1" x14ac:dyDescent="0.3">
      <c r="A2328" s="6"/>
    </row>
    <row r="2329" spans="1:1" x14ac:dyDescent="0.3">
      <c r="A2329" s="6"/>
    </row>
    <row r="2330" spans="1:1" x14ac:dyDescent="0.3">
      <c r="A2330" s="6"/>
    </row>
    <row r="2331" spans="1:1" x14ac:dyDescent="0.3">
      <c r="A2331" s="6"/>
    </row>
    <row r="2332" spans="1:1" x14ac:dyDescent="0.3">
      <c r="A2332" s="6"/>
    </row>
    <row r="2333" spans="1:1" x14ac:dyDescent="0.3">
      <c r="A2333" s="6"/>
    </row>
    <row r="2334" spans="1:1" x14ac:dyDescent="0.3">
      <c r="A2334" s="6"/>
    </row>
    <row r="2335" spans="1:1" x14ac:dyDescent="0.3">
      <c r="A2335" s="6"/>
    </row>
    <row r="2336" spans="1:1" x14ac:dyDescent="0.3">
      <c r="A2336" s="6"/>
    </row>
    <row r="2337" spans="1:1" x14ac:dyDescent="0.3">
      <c r="A2337" s="6"/>
    </row>
    <row r="2338" spans="1:1" x14ac:dyDescent="0.3">
      <c r="A2338" s="6"/>
    </row>
    <row r="2339" spans="1:1" x14ac:dyDescent="0.3">
      <c r="A2339" s="6"/>
    </row>
    <row r="2340" spans="1:1" x14ac:dyDescent="0.3">
      <c r="A2340" s="6"/>
    </row>
    <row r="2341" spans="1:1" x14ac:dyDescent="0.3">
      <c r="A2341" s="6"/>
    </row>
    <row r="2342" spans="1:1" x14ac:dyDescent="0.3">
      <c r="A2342" s="6"/>
    </row>
    <row r="2343" spans="1:1" x14ac:dyDescent="0.3">
      <c r="A2343" s="6"/>
    </row>
    <row r="2344" spans="1:1" x14ac:dyDescent="0.3">
      <c r="A2344" s="6"/>
    </row>
    <row r="2345" spans="1:1" x14ac:dyDescent="0.3">
      <c r="A2345" s="6"/>
    </row>
    <row r="2346" spans="1:1" x14ac:dyDescent="0.3">
      <c r="A2346" s="6"/>
    </row>
    <row r="2347" spans="1:1" x14ac:dyDescent="0.3">
      <c r="A2347" s="6"/>
    </row>
    <row r="2348" spans="1:1" x14ac:dyDescent="0.3">
      <c r="A2348" s="6"/>
    </row>
    <row r="2349" spans="1:1" x14ac:dyDescent="0.3">
      <c r="A2349" s="6"/>
    </row>
    <row r="2350" spans="1:1" x14ac:dyDescent="0.3">
      <c r="A2350" s="6"/>
    </row>
    <row r="2351" spans="1:1" x14ac:dyDescent="0.3">
      <c r="A2351" s="6"/>
    </row>
    <row r="2352" spans="1:1" x14ac:dyDescent="0.3">
      <c r="A2352" s="6"/>
    </row>
    <row r="2353" spans="1:1" x14ac:dyDescent="0.3">
      <c r="A2353" s="6"/>
    </row>
    <row r="2354" spans="1:1" x14ac:dyDescent="0.3">
      <c r="A2354" s="6"/>
    </row>
    <row r="2355" spans="1:1" x14ac:dyDescent="0.3">
      <c r="A2355" s="6"/>
    </row>
    <row r="2356" spans="1:1" x14ac:dyDescent="0.3">
      <c r="A2356" s="6"/>
    </row>
    <row r="2357" spans="1:1" x14ac:dyDescent="0.3">
      <c r="A2357" s="6"/>
    </row>
    <row r="2358" spans="1:1" x14ac:dyDescent="0.3">
      <c r="A2358" s="6"/>
    </row>
    <row r="2359" spans="1:1" x14ac:dyDescent="0.3">
      <c r="A2359" s="6"/>
    </row>
    <row r="2360" spans="1:1" x14ac:dyDescent="0.3">
      <c r="A2360" s="6"/>
    </row>
    <row r="2361" spans="1:1" x14ac:dyDescent="0.3">
      <c r="A2361" s="6"/>
    </row>
    <row r="2362" spans="1:1" x14ac:dyDescent="0.3">
      <c r="A2362" s="6"/>
    </row>
    <row r="2363" spans="1:1" x14ac:dyDescent="0.3">
      <c r="A2363" s="6"/>
    </row>
    <row r="2364" spans="1:1" x14ac:dyDescent="0.3">
      <c r="A2364" s="6"/>
    </row>
    <row r="2365" spans="1:1" x14ac:dyDescent="0.3">
      <c r="A2365" s="6"/>
    </row>
    <row r="2366" spans="1:1" x14ac:dyDescent="0.3">
      <c r="A2366" s="6"/>
    </row>
    <row r="2367" spans="1:1" x14ac:dyDescent="0.3">
      <c r="A2367" s="6"/>
    </row>
    <row r="2368" spans="1:1" x14ac:dyDescent="0.3">
      <c r="A2368" s="6"/>
    </row>
    <row r="2369" spans="1:1" x14ac:dyDescent="0.3">
      <c r="A2369" s="6"/>
    </row>
    <row r="2370" spans="1:1" x14ac:dyDescent="0.3">
      <c r="A2370" s="6"/>
    </row>
    <row r="2371" spans="1:1" x14ac:dyDescent="0.3">
      <c r="A2371" s="6"/>
    </row>
    <row r="2372" spans="1:1" x14ac:dyDescent="0.3">
      <c r="A2372" s="6"/>
    </row>
    <row r="2373" spans="1:1" x14ac:dyDescent="0.3">
      <c r="A2373" s="6"/>
    </row>
    <row r="2374" spans="1:1" x14ac:dyDescent="0.3">
      <c r="A2374" s="6"/>
    </row>
    <row r="2375" spans="1:1" x14ac:dyDescent="0.3">
      <c r="A2375" s="6"/>
    </row>
    <row r="2376" spans="1:1" x14ac:dyDescent="0.3">
      <c r="A2376" s="6"/>
    </row>
    <row r="2377" spans="1:1" x14ac:dyDescent="0.3">
      <c r="A2377" s="6"/>
    </row>
    <row r="2378" spans="1:1" x14ac:dyDescent="0.3">
      <c r="A2378" s="6"/>
    </row>
    <row r="2379" spans="1:1" x14ac:dyDescent="0.3">
      <c r="A2379" s="6"/>
    </row>
    <row r="2380" spans="1:1" x14ac:dyDescent="0.3">
      <c r="A2380" s="6"/>
    </row>
    <row r="2381" spans="1:1" x14ac:dyDescent="0.3">
      <c r="A2381" s="6"/>
    </row>
    <row r="2382" spans="1:1" x14ac:dyDescent="0.3">
      <c r="A2382" s="6"/>
    </row>
    <row r="2383" spans="1:1" x14ac:dyDescent="0.3">
      <c r="A2383" s="6"/>
    </row>
    <row r="2384" spans="1:1" x14ac:dyDescent="0.3">
      <c r="A2384" s="6"/>
    </row>
    <row r="2385" spans="1:1" x14ac:dyDescent="0.3">
      <c r="A2385" s="6"/>
    </row>
    <row r="2386" spans="1:1" x14ac:dyDescent="0.3">
      <c r="A2386" s="6"/>
    </row>
    <row r="2387" spans="1:1" x14ac:dyDescent="0.3">
      <c r="A2387" s="6"/>
    </row>
    <row r="2388" spans="1:1" x14ac:dyDescent="0.3">
      <c r="A2388" s="6"/>
    </row>
    <row r="2389" spans="1:1" x14ac:dyDescent="0.3">
      <c r="A2389" s="6"/>
    </row>
    <row r="2390" spans="1:1" x14ac:dyDescent="0.3">
      <c r="A2390" s="6"/>
    </row>
    <row r="2391" spans="1:1" x14ac:dyDescent="0.3">
      <c r="A2391" s="6"/>
    </row>
    <row r="2392" spans="1:1" x14ac:dyDescent="0.3">
      <c r="A2392" s="6"/>
    </row>
    <row r="2393" spans="1:1" x14ac:dyDescent="0.3">
      <c r="A2393" s="6"/>
    </row>
    <row r="2394" spans="1:1" x14ac:dyDescent="0.3">
      <c r="A2394" s="6"/>
    </row>
    <row r="2395" spans="1:1" x14ac:dyDescent="0.3">
      <c r="A2395" s="6"/>
    </row>
    <row r="2396" spans="1:1" x14ac:dyDescent="0.3">
      <c r="A2396" s="6"/>
    </row>
    <row r="2397" spans="1:1" x14ac:dyDescent="0.3">
      <c r="A2397" s="6"/>
    </row>
    <row r="2398" spans="1:1" x14ac:dyDescent="0.3">
      <c r="A2398" s="6"/>
    </row>
    <row r="2399" spans="1:1" x14ac:dyDescent="0.3">
      <c r="A2399" s="6"/>
    </row>
    <row r="2400" spans="1:1" x14ac:dyDescent="0.3">
      <c r="A2400" s="6"/>
    </row>
    <row r="2401" spans="1:1" x14ac:dyDescent="0.3">
      <c r="A2401" s="6"/>
    </row>
    <row r="2402" spans="1:1" x14ac:dyDescent="0.3">
      <c r="A2402" s="6"/>
    </row>
    <row r="2403" spans="1:1" x14ac:dyDescent="0.3">
      <c r="A2403" s="6"/>
    </row>
    <row r="2404" spans="1:1" x14ac:dyDescent="0.3">
      <c r="A2404" s="6"/>
    </row>
    <row r="2405" spans="1:1" x14ac:dyDescent="0.3">
      <c r="A2405" s="6"/>
    </row>
    <row r="2406" spans="1:1" x14ac:dyDescent="0.3">
      <c r="A2406" s="6"/>
    </row>
    <row r="2407" spans="1:1" x14ac:dyDescent="0.3">
      <c r="A2407" s="6"/>
    </row>
    <row r="2408" spans="1:1" x14ac:dyDescent="0.3">
      <c r="A2408" s="6"/>
    </row>
    <row r="2409" spans="1:1" x14ac:dyDescent="0.3">
      <c r="A2409" s="6"/>
    </row>
    <row r="2410" spans="1:1" x14ac:dyDescent="0.3">
      <c r="A2410" s="6"/>
    </row>
    <row r="2411" spans="1:1" x14ac:dyDescent="0.3">
      <c r="A2411" s="6"/>
    </row>
    <row r="2412" spans="1:1" x14ac:dyDescent="0.3">
      <c r="A2412" s="6"/>
    </row>
    <row r="2413" spans="1:1" x14ac:dyDescent="0.3">
      <c r="A2413" s="6"/>
    </row>
    <row r="2414" spans="1:1" x14ac:dyDescent="0.3">
      <c r="A2414" s="6"/>
    </row>
    <row r="2415" spans="1:1" x14ac:dyDescent="0.3">
      <c r="A2415" s="6"/>
    </row>
    <row r="2416" spans="1:1" x14ac:dyDescent="0.3">
      <c r="A2416" s="6"/>
    </row>
    <row r="2417" spans="1:1" x14ac:dyDescent="0.3">
      <c r="A2417" s="6"/>
    </row>
    <row r="2418" spans="1:1" x14ac:dyDescent="0.3">
      <c r="A2418" s="6"/>
    </row>
    <row r="2419" spans="1:1" x14ac:dyDescent="0.3">
      <c r="A2419" s="6"/>
    </row>
    <row r="2420" spans="1:1" x14ac:dyDescent="0.3">
      <c r="A2420" s="6"/>
    </row>
    <row r="2421" spans="1:1" x14ac:dyDescent="0.3">
      <c r="A2421" s="6"/>
    </row>
    <row r="2422" spans="1:1" x14ac:dyDescent="0.3">
      <c r="A2422" s="6"/>
    </row>
    <row r="2423" spans="1:1" x14ac:dyDescent="0.3">
      <c r="A2423" s="6"/>
    </row>
    <row r="2424" spans="1:1" x14ac:dyDescent="0.3">
      <c r="A2424" s="6"/>
    </row>
    <row r="2425" spans="1:1" x14ac:dyDescent="0.3">
      <c r="A2425" s="6"/>
    </row>
    <row r="2426" spans="1:1" x14ac:dyDescent="0.3">
      <c r="A2426" s="6"/>
    </row>
    <row r="2427" spans="1:1" x14ac:dyDescent="0.3">
      <c r="A2427" s="6"/>
    </row>
    <row r="2428" spans="1:1" x14ac:dyDescent="0.3">
      <c r="A2428" s="6"/>
    </row>
    <row r="2429" spans="1:1" x14ac:dyDescent="0.3">
      <c r="A2429" s="6"/>
    </row>
    <row r="2430" spans="1:1" x14ac:dyDescent="0.3">
      <c r="A2430" s="6"/>
    </row>
    <row r="2431" spans="1:1" x14ac:dyDescent="0.3">
      <c r="A2431" s="6"/>
    </row>
    <row r="2432" spans="1:1" x14ac:dyDescent="0.3">
      <c r="A2432" s="6"/>
    </row>
    <row r="2433" spans="1:1" x14ac:dyDescent="0.3">
      <c r="A2433" s="6"/>
    </row>
    <row r="2434" spans="1:1" x14ac:dyDescent="0.3">
      <c r="A2434" s="6"/>
    </row>
    <row r="2435" spans="1:1" x14ac:dyDescent="0.3">
      <c r="A2435" s="6"/>
    </row>
    <row r="2436" spans="1:1" x14ac:dyDescent="0.3">
      <c r="A2436" s="6"/>
    </row>
    <row r="2437" spans="1:1" x14ac:dyDescent="0.3">
      <c r="A2437" s="6"/>
    </row>
    <row r="2438" spans="1:1" x14ac:dyDescent="0.3">
      <c r="A2438" s="6"/>
    </row>
    <row r="2439" spans="1:1" x14ac:dyDescent="0.3">
      <c r="A2439" s="6"/>
    </row>
    <row r="2440" spans="1:1" x14ac:dyDescent="0.3">
      <c r="A2440" s="6"/>
    </row>
    <row r="2441" spans="1:1" x14ac:dyDescent="0.3">
      <c r="A2441" s="6"/>
    </row>
    <row r="2442" spans="1:1" x14ac:dyDescent="0.3">
      <c r="A2442" s="6"/>
    </row>
    <row r="2443" spans="1:1" x14ac:dyDescent="0.3">
      <c r="A2443" s="6"/>
    </row>
    <row r="2444" spans="1:1" x14ac:dyDescent="0.3">
      <c r="A2444" s="6"/>
    </row>
    <row r="2445" spans="1:1" x14ac:dyDescent="0.3">
      <c r="A2445" s="6"/>
    </row>
    <row r="2446" spans="1:1" x14ac:dyDescent="0.3">
      <c r="A2446" s="6"/>
    </row>
    <row r="2447" spans="1:1" x14ac:dyDescent="0.3">
      <c r="A2447" s="6"/>
    </row>
    <row r="2448" spans="1:1" x14ac:dyDescent="0.3">
      <c r="A2448" s="6"/>
    </row>
    <row r="2449" spans="1:1" x14ac:dyDescent="0.3">
      <c r="A2449" s="6"/>
    </row>
    <row r="2450" spans="1:1" x14ac:dyDescent="0.3">
      <c r="A2450" s="6"/>
    </row>
    <row r="2451" spans="1:1" x14ac:dyDescent="0.3">
      <c r="A2451" s="6"/>
    </row>
    <row r="2452" spans="1:1" x14ac:dyDescent="0.3">
      <c r="A2452" s="6"/>
    </row>
    <row r="2453" spans="1:1" x14ac:dyDescent="0.3">
      <c r="A2453" s="6"/>
    </row>
    <row r="2454" spans="1:1" x14ac:dyDescent="0.3">
      <c r="A2454" s="6"/>
    </row>
    <row r="2455" spans="1:1" x14ac:dyDescent="0.3">
      <c r="A2455" s="6"/>
    </row>
    <row r="2456" spans="1:1" x14ac:dyDescent="0.3">
      <c r="A2456" s="6"/>
    </row>
    <row r="2457" spans="1:1" x14ac:dyDescent="0.3">
      <c r="A2457" s="6"/>
    </row>
    <row r="2458" spans="1:1" x14ac:dyDescent="0.3">
      <c r="A2458" s="6"/>
    </row>
    <row r="2459" spans="1:1" x14ac:dyDescent="0.3">
      <c r="A2459" s="6"/>
    </row>
    <row r="2460" spans="1:1" x14ac:dyDescent="0.3">
      <c r="A2460" s="6"/>
    </row>
    <row r="2461" spans="1:1" x14ac:dyDescent="0.3">
      <c r="A2461" s="6"/>
    </row>
    <row r="2462" spans="1:1" x14ac:dyDescent="0.3">
      <c r="A2462" s="6"/>
    </row>
    <row r="2463" spans="1:1" x14ac:dyDescent="0.3">
      <c r="A2463" s="6"/>
    </row>
    <row r="2464" spans="1:1" x14ac:dyDescent="0.3">
      <c r="A2464" s="6"/>
    </row>
    <row r="2465" spans="1:1" x14ac:dyDescent="0.3">
      <c r="A2465" s="6"/>
    </row>
    <row r="2466" spans="1:1" x14ac:dyDescent="0.3">
      <c r="A2466" s="6"/>
    </row>
    <row r="2467" spans="1:1" x14ac:dyDescent="0.3">
      <c r="A2467" s="6"/>
    </row>
    <row r="2468" spans="1:1" x14ac:dyDescent="0.3">
      <c r="A2468" s="6"/>
    </row>
    <row r="2469" spans="1:1" x14ac:dyDescent="0.3">
      <c r="A2469" s="6"/>
    </row>
    <row r="2470" spans="1:1" x14ac:dyDescent="0.3">
      <c r="A2470" s="6"/>
    </row>
    <row r="2471" spans="1:1" x14ac:dyDescent="0.3">
      <c r="A2471" s="6"/>
    </row>
    <row r="2472" spans="1:1" x14ac:dyDescent="0.3">
      <c r="A2472" s="6"/>
    </row>
    <row r="2473" spans="1:1" x14ac:dyDescent="0.3">
      <c r="A2473" s="6"/>
    </row>
    <row r="2474" spans="1:1" x14ac:dyDescent="0.3">
      <c r="A2474" s="6"/>
    </row>
    <row r="2475" spans="1:1" x14ac:dyDescent="0.3">
      <c r="A2475" s="6"/>
    </row>
    <row r="2476" spans="1:1" x14ac:dyDescent="0.3">
      <c r="A2476" s="6"/>
    </row>
    <row r="2477" spans="1:1" x14ac:dyDescent="0.3">
      <c r="A2477" s="6"/>
    </row>
    <row r="2478" spans="1:1" x14ac:dyDescent="0.3">
      <c r="A2478" s="6"/>
    </row>
    <row r="2479" spans="1:1" x14ac:dyDescent="0.3">
      <c r="A2479" s="6"/>
    </row>
    <row r="2480" spans="1:1" x14ac:dyDescent="0.3">
      <c r="A2480" s="6"/>
    </row>
    <row r="2481" spans="1:1" x14ac:dyDescent="0.3">
      <c r="A2481" s="6"/>
    </row>
    <row r="2482" spans="1:1" x14ac:dyDescent="0.3">
      <c r="A2482" s="6"/>
    </row>
    <row r="2483" spans="1:1" x14ac:dyDescent="0.3">
      <c r="A2483" s="6"/>
    </row>
    <row r="2484" spans="1:1" x14ac:dyDescent="0.3">
      <c r="A2484" s="6"/>
    </row>
    <row r="2485" spans="1:1" x14ac:dyDescent="0.3">
      <c r="A2485" s="6"/>
    </row>
    <row r="2486" spans="1:1" x14ac:dyDescent="0.3">
      <c r="A2486" s="6"/>
    </row>
    <row r="2487" spans="1:1" x14ac:dyDescent="0.3">
      <c r="A2487" s="6"/>
    </row>
    <row r="2488" spans="1:1" x14ac:dyDescent="0.3">
      <c r="A2488" s="6"/>
    </row>
    <row r="2489" spans="1:1" x14ac:dyDescent="0.3">
      <c r="A2489" s="6"/>
    </row>
    <row r="2490" spans="1:1" x14ac:dyDescent="0.3">
      <c r="A2490" s="6"/>
    </row>
    <row r="2491" spans="1:1" x14ac:dyDescent="0.3">
      <c r="A2491" s="6"/>
    </row>
    <row r="2492" spans="1:1" x14ac:dyDescent="0.3">
      <c r="A2492" s="6"/>
    </row>
    <row r="2493" spans="1:1" x14ac:dyDescent="0.3">
      <c r="A2493" s="6"/>
    </row>
    <row r="2494" spans="1:1" x14ac:dyDescent="0.3">
      <c r="A2494" s="6"/>
    </row>
    <row r="2495" spans="1:1" x14ac:dyDescent="0.3">
      <c r="A2495" s="6"/>
    </row>
    <row r="2496" spans="1:1" x14ac:dyDescent="0.3">
      <c r="A2496" s="6"/>
    </row>
    <row r="2497" spans="1:1" x14ac:dyDescent="0.3">
      <c r="A2497" s="6"/>
    </row>
    <row r="2498" spans="1:1" x14ac:dyDescent="0.3">
      <c r="A2498" s="6"/>
    </row>
    <row r="2499" spans="1:1" x14ac:dyDescent="0.3">
      <c r="A2499" s="6"/>
    </row>
    <row r="2500" spans="1:1" x14ac:dyDescent="0.3">
      <c r="A2500" s="6"/>
    </row>
    <row r="2501" spans="1:1" x14ac:dyDescent="0.3">
      <c r="A2501" s="6"/>
    </row>
    <row r="2502" spans="1:1" x14ac:dyDescent="0.3">
      <c r="A2502" s="6"/>
    </row>
    <row r="2503" spans="1:1" x14ac:dyDescent="0.3">
      <c r="A2503" s="6"/>
    </row>
    <row r="2504" spans="1:1" x14ac:dyDescent="0.3">
      <c r="A2504" s="6"/>
    </row>
    <row r="2505" spans="1:1" x14ac:dyDescent="0.3">
      <c r="A2505" s="6"/>
    </row>
    <row r="2506" spans="1:1" x14ac:dyDescent="0.3">
      <c r="A2506" s="6"/>
    </row>
    <row r="2507" spans="1:1" x14ac:dyDescent="0.3">
      <c r="A2507" s="6"/>
    </row>
    <row r="2508" spans="1:1" x14ac:dyDescent="0.3">
      <c r="A2508" s="6"/>
    </row>
    <row r="2509" spans="1:1" x14ac:dyDescent="0.3">
      <c r="A2509" s="6"/>
    </row>
    <row r="2510" spans="1:1" x14ac:dyDescent="0.3">
      <c r="A2510" s="6"/>
    </row>
    <row r="2511" spans="1:1" x14ac:dyDescent="0.3">
      <c r="A2511" s="6"/>
    </row>
    <row r="2512" spans="1:1" x14ac:dyDescent="0.3">
      <c r="A2512" s="6"/>
    </row>
    <row r="2513" spans="1:1" x14ac:dyDescent="0.3">
      <c r="A2513" s="6"/>
    </row>
    <row r="2514" spans="1:1" x14ac:dyDescent="0.3">
      <c r="A2514" s="6"/>
    </row>
    <row r="2515" spans="1:1" x14ac:dyDescent="0.3">
      <c r="A2515" s="6"/>
    </row>
    <row r="2516" spans="1:1" x14ac:dyDescent="0.3">
      <c r="A2516" s="6"/>
    </row>
    <row r="2517" spans="1:1" x14ac:dyDescent="0.3">
      <c r="A2517" s="6"/>
    </row>
    <row r="2518" spans="1:1" x14ac:dyDescent="0.3">
      <c r="A2518" s="6"/>
    </row>
    <row r="2519" spans="1:1" x14ac:dyDescent="0.3">
      <c r="A2519" s="6"/>
    </row>
    <row r="2520" spans="1:1" x14ac:dyDescent="0.3">
      <c r="A2520" s="6"/>
    </row>
    <row r="2521" spans="1:1" x14ac:dyDescent="0.3">
      <c r="A2521" s="6"/>
    </row>
    <row r="2522" spans="1:1" x14ac:dyDescent="0.3">
      <c r="A2522" s="6"/>
    </row>
    <row r="2523" spans="1:1" x14ac:dyDescent="0.3">
      <c r="A2523" s="6"/>
    </row>
    <row r="2524" spans="1:1" x14ac:dyDescent="0.3">
      <c r="A2524" s="6"/>
    </row>
    <row r="2525" spans="1:1" x14ac:dyDescent="0.3">
      <c r="A2525" s="6"/>
    </row>
    <row r="2526" spans="1:1" x14ac:dyDescent="0.3">
      <c r="A2526" s="6"/>
    </row>
    <row r="2527" spans="1:1" x14ac:dyDescent="0.3">
      <c r="A2527" s="6"/>
    </row>
    <row r="2528" spans="1:1" x14ac:dyDescent="0.3">
      <c r="A2528" s="6"/>
    </row>
    <row r="2529" spans="1:1" x14ac:dyDescent="0.3">
      <c r="A2529" s="6"/>
    </row>
    <row r="2530" spans="1:1" x14ac:dyDescent="0.3">
      <c r="A2530" s="6"/>
    </row>
    <row r="2531" spans="1:1" x14ac:dyDescent="0.3">
      <c r="A2531" s="6"/>
    </row>
    <row r="2532" spans="1:1" x14ac:dyDescent="0.3">
      <c r="A2532" s="6"/>
    </row>
    <row r="2533" spans="1:1" x14ac:dyDescent="0.3">
      <c r="A2533" s="6"/>
    </row>
    <row r="2534" spans="1:1" x14ac:dyDescent="0.3">
      <c r="A2534" s="6"/>
    </row>
    <row r="2535" spans="1:1" x14ac:dyDescent="0.3">
      <c r="A2535" s="6"/>
    </row>
    <row r="2536" spans="1:1" x14ac:dyDescent="0.3">
      <c r="A2536" s="6"/>
    </row>
    <row r="2537" spans="1:1" x14ac:dyDescent="0.3">
      <c r="A2537" s="6"/>
    </row>
    <row r="2538" spans="1:1" x14ac:dyDescent="0.3">
      <c r="A2538" s="6"/>
    </row>
    <row r="2539" spans="1:1" x14ac:dyDescent="0.3">
      <c r="A2539" s="6"/>
    </row>
    <row r="2540" spans="1:1" x14ac:dyDescent="0.3">
      <c r="A2540" s="6"/>
    </row>
    <row r="2541" spans="1:1" x14ac:dyDescent="0.3">
      <c r="A2541" s="6"/>
    </row>
    <row r="2542" spans="1:1" x14ac:dyDescent="0.3">
      <c r="A2542" s="6"/>
    </row>
    <row r="2543" spans="1:1" x14ac:dyDescent="0.3">
      <c r="A2543" s="6"/>
    </row>
    <row r="2544" spans="1:1" x14ac:dyDescent="0.3">
      <c r="A2544" s="6"/>
    </row>
    <row r="2545" spans="1:1" x14ac:dyDescent="0.3">
      <c r="A2545" s="6"/>
    </row>
    <row r="2546" spans="1:1" x14ac:dyDescent="0.3">
      <c r="A2546" s="6"/>
    </row>
    <row r="2547" spans="1:1" x14ac:dyDescent="0.3">
      <c r="A2547" s="6"/>
    </row>
    <row r="2548" spans="1:1" x14ac:dyDescent="0.3">
      <c r="A2548" s="6"/>
    </row>
    <row r="2549" spans="1:1" x14ac:dyDescent="0.3">
      <c r="A2549" s="6"/>
    </row>
    <row r="2550" spans="1:1" x14ac:dyDescent="0.3">
      <c r="A2550" s="6"/>
    </row>
    <row r="2551" spans="1:1" x14ac:dyDescent="0.3">
      <c r="A2551" s="6"/>
    </row>
    <row r="2552" spans="1:1" x14ac:dyDescent="0.3">
      <c r="A2552" s="6"/>
    </row>
    <row r="2553" spans="1:1" x14ac:dyDescent="0.3">
      <c r="A2553" s="6"/>
    </row>
    <row r="2554" spans="1:1" x14ac:dyDescent="0.3">
      <c r="A2554" s="6"/>
    </row>
    <row r="2555" spans="1:1" x14ac:dyDescent="0.3">
      <c r="A2555" s="6"/>
    </row>
    <row r="2556" spans="1:1" x14ac:dyDescent="0.3">
      <c r="A2556" s="6"/>
    </row>
    <row r="2557" spans="1:1" x14ac:dyDescent="0.3">
      <c r="A2557" s="6"/>
    </row>
    <row r="2558" spans="1:1" x14ac:dyDescent="0.3">
      <c r="A2558" s="6"/>
    </row>
    <row r="2559" spans="1:1" x14ac:dyDescent="0.3">
      <c r="A2559" s="6"/>
    </row>
    <row r="2560" spans="1:1" x14ac:dyDescent="0.3">
      <c r="A2560" s="6"/>
    </row>
    <row r="2561" spans="1:1" x14ac:dyDescent="0.3">
      <c r="A2561" s="6"/>
    </row>
    <row r="2562" spans="1:1" x14ac:dyDescent="0.3">
      <c r="A2562" s="6"/>
    </row>
    <row r="2563" spans="1:1" x14ac:dyDescent="0.3">
      <c r="A2563" s="6"/>
    </row>
    <row r="2564" spans="1:1" x14ac:dyDescent="0.3">
      <c r="A2564" s="6"/>
    </row>
    <row r="2565" spans="1:1" x14ac:dyDescent="0.3">
      <c r="A2565" s="6"/>
    </row>
    <row r="2566" spans="1:1" x14ac:dyDescent="0.3">
      <c r="A2566" s="6"/>
    </row>
    <row r="2567" spans="1:1" x14ac:dyDescent="0.3">
      <c r="A2567" s="6"/>
    </row>
    <row r="2568" spans="1:1" x14ac:dyDescent="0.3">
      <c r="A2568" s="6"/>
    </row>
    <row r="2569" spans="1:1" x14ac:dyDescent="0.3">
      <c r="A2569" s="6"/>
    </row>
    <row r="2570" spans="1:1" x14ac:dyDescent="0.3">
      <c r="A2570" s="6"/>
    </row>
    <row r="2571" spans="1:1" x14ac:dyDescent="0.3">
      <c r="A2571" s="6"/>
    </row>
    <row r="2572" spans="1:1" x14ac:dyDescent="0.3">
      <c r="A2572" s="6"/>
    </row>
    <row r="2573" spans="1:1" x14ac:dyDescent="0.3">
      <c r="A2573" s="6"/>
    </row>
    <row r="2574" spans="1:1" x14ac:dyDescent="0.3">
      <c r="A2574" s="6"/>
    </row>
    <row r="2575" spans="1:1" x14ac:dyDescent="0.3">
      <c r="A2575" s="6"/>
    </row>
    <row r="2576" spans="1:1" x14ac:dyDescent="0.3">
      <c r="A2576" s="6"/>
    </row>
    <row r="2577" spans="1:1" x14ac:dyDescent="0.3">
      <c r="A2577" s="6"/>
    </row>
    <row r="2578" spans="1:1" x14ac:dyDescent="0.3">
      <c r="A2578" s="6"/>
    </row>
    <row r="2579" spans="1:1" x14ac:dyDescent="0.3">
      <c r="A2579" s="6"/>
    </row>
    <row r="2580" spans="1:1" x14ac:dyDescent="0.3">
      <c r="A2580" s="6"/>
    </row>
    <row r="2581" spans="1:1" x14ac:dyDescent="0.3">
      <c r="A2581" s="6"/>
    </row>
    <row r="2582" spans="1:1" x14ac:dyDescent="0.3">
      <c r="A2582" s="6"/>
    </row>
    <row r="2583" spans="1:1" x14ac:dyDescent="0.3">
      <c r="A2583" s="6"/>
    </row>
    <row r="2584" spans="1:1" x14ac:dyDescent="0.3">
      <c r="A2584" s="6"/>
    </row>
    <row r="2585" spans="1:1" x14ac:dyDescent="0.3">
      <c r="A2585" s="6"/>
    </row>
    <row r="2586" spans="1:1" x14ac:dyDescent="0.3">
      <c r="A2586" s="6"/>
    </row>
    <row r="2587" spans="1:1" x14ac:dyDescent="0.3">
      <c r="A2587" s="6"/>
    </row>
    <row r="2588" spans="1:1" x14ac:dyDescent="0.3">
      <c r="A2588" s="6"/>
    </row>
    <row r="2589" spans="1:1" x14ac:dyDescent="0.3">
      <c r="A2589" s="6"/>
    </row>
    <row r="2590" spans="1:1" x14ac:dyDescent="0.3">
      <c r="A2590" s="6"/>
    </row>
    <row r="2591" spans="1:1" x14ac:dyDescent="0.3">
      <c r="A2591" s="6"/>
    </row>
    <row r="2592" spans="1:1" x14ac:dyDescent="0.3">
      <c r="A2592" s="6"/>
    </row>
    <row r="2593" spans="1:1" x14ac:dyDescent="0.3">
      <c r="A2593" s="6"/>
    </row>
    <row r="2594" spans="1:1" x14ac:dyDescent="0.3">
      <c r="A2594" s="6"/>
    </row>
    <row r="2595" spans="1:1" x14ac:dyDescent="0.3">
      <c r="A2595" s="6"/>
    </row>
    <row r="2596" spans="1:1" x14ac:dyDescent="0.3">
      <c r="A2596" s="6"/>
    </row>
    <row r="2597" spans="1:1" x14ac:dyDescent="0.3">
      <c r="A2597" s="6"/>
    </row>
    <row r="2598" spans="1:1" x14ac:dyDescent="0.3">
      <c r="A2598" s="6"/>
    </row>
    <row r="2599" spans="1:1" x14ac:dyDescent="0.3">
      <c r="A2599" s="6"/>
    </row>
    <row r="2600" spans="1:1" x14ac:dyDescent="0.3">
      <c r="A2600" s="6"/>
    </row>
    <row r="2601" spans="1:1" x14ac:dyDescent="0.3">
      <c r="A2601" s="6"/>
    </row>
    <row r="2602" spans="1:1" x14ac:dyDescent="0.3">
      <c r="A2602" s="6"/>
    </row>
    <row r="2603" spans="1:1" x14ac:dyDescent="0.3">
      <c r="A2603" s="6"/>
    </row>
    <row r="2604" spans="1:1" x14ac:dyDescent="0.3">
      <c r="A2604" s="6"/>
    </row>
    <row r="2605" spans="1:1" x14ac:dyDescent="0.3">
      <c r="A2605" s="6"/>
    </row>
    <row r="2606" spans="1:1" x14ac:dyDescent="0.3">
      <c r="A2606" s="6"/>
    </row>
    <row r="2607" spans="1:1" x14ac:dyDescent="0.3">
      <c r="A2607" s="6"/>
    </row>
    <row r="2608" spans="1:1" x14ac:dyDescent="0.3">
      <c r="A2608" s="6"/>
    </row>
    <row r="2609" spans="1:1" x14ac:dyDescent="0.3">
      <c r="A2609" s="6"/>
    </row>
    <row r="2610" spans="1:1" x14ac:dyDescent="0.3">
      <c r="A2610" s="6"/>
    </row>
    <row r="2611" spans="1:1" x14ac:dyDescent="0.3">
      <c r="A2611" s="6"/>
    </row>
    <row r="2612" spans="1:1" x14ac:dyDescent="0.3">
      <c r="A2612" s="6"/>
    </row>
    <row r="2613" spans="1:1" x14ac:dyDescent="0.3">
      <c r="A2613" s="6"/>
    </row>
    <row r="2614" spans="1:1" x14ac:dyDescent="0.3">
      <c r="A2614" s="6"/>
    </row>
    <row r="2615" spans="1:1" x14ac:dyDescent="0.3">
      <c r="A2615" s="6"/>
    </row>
    <row r="2616" spans="1:1" x14ac:dyDescent="0.3">
      <c r="A2616" s="6"/>
    </row>
    <row r="2617" spans="1:1" x14ac:dyDescent="0.3">
      <c r="A2617" s="6"/>
    </row>
    <row r="2618" spans="1:1" x14ac:dyDescent="0.3">
      <c r="A2618" s="6"/>
    </row>
    <row r="2619" spans="1:1" x14ac:dyDescent="0.3">
      <c r="A2619" s="6"/>
    </row>
    <row r="2620" spans="1:1" x14ac:dyDescent="0.3">
      <c r="A2620" s="6"/>
    </row>
    <row r="2621" spans="1:1" x14ac:dyDescent="0.3">
      <c r="A2621" s="6"/>
    </row>
    <row r="2622" spans="1:1" x14ac:dyDescent="0.3">
      <c r="A2622" s="6"/>
    </row>
    <row r="2623" spans="1:1" x14ac:dyDescent="0.3">
      <c r="A2623" s="6"/>
    </row>
    <row r="2624" spans="1:1" x14ac:dyDescent="0.3">
      <c r="A2624" s="6"/>
    </row>
    <row r="2625" spans="1:1" x14ac:dyDescent="0.3">
      <c r="A2625" s="6"/>
    </row>
    <row r="2626" spans="1:1" x14ac:dyDescent="0.3">
      <c r="A2626" s="6"/>
    </row>
    <row r="2627" spans="1:1" x14ac:dyDescent="0.3">
      <c r="A2627" s="6"/>
    </row>
    <row r="2628" spans="1:1" x14ac:dyDescent="0.3">
      <c r="A2628" s="6"/>
    </row>
    <row r="2629" spans="1:1" x14ac:dyDescent="0.3">
      <c r="A2629" s="6"/>
    </row>
    <row r="2630" spans="1:1" x14ac:dyDescent="0.3">
      <c r="A2630" s="6"/>
    </row>
    <row r="2631" spans="1:1" x14ac:dyDescent="0.3">
      <c r="A2631" s="6"/>
    </row>
    <row r="2632" spans="1:1" x14ac:dyDescent="0.3">
      <c r="A2632" s="6"/>
    </row>
    <row r="2633" spans="1:1" x14ac:dyDescent="0.3">
      <c r="A2633" s="6"/>
    </row>
    <row r="2634" spans="1:1" x14ac:dyDescent="0.3">
      <c r="A2634" s="6"/>
    </row>
    <row r="2635" spans="1:1" x14ac:dyDescent="0.3">
      <c r="A2635" s="6"/>
    </row>
    <row r="2636" spans="1:1" x14ac:dyDescent="0.3">
      <c r="A2636" s="6"/>
    </row>
    <row r="2637" spans="1:1" x14ac:dyDescent="0.3">
      <c r="A2637" s="6"/>
    </row>
    <row r="2638" spans="1:1" x14ac:dyDescent="0.3">
      <c r="A2638" s="6"/>
    </row>
    <row r="2639" spans="1:1" x14ac:dyDescent="0.3">
      <c r="A2639" s="6"/>
    </row>
    <row r="2640" spans="1:1" x14ac:dyDescent="0.3">
      <c r="A2640" s="6"/>
    </row>
    <row r="2641" spans="1:1" x14ac:dyDescent="0.3">
      <c r="A2641" s="6"/>
    </row>
    <row r="2642" spans="1:1" x14ac:dyDescent="0.3">
      <c r="A2642" s="6"/>
    </row>
    <row r="2643" spans="1:1" x14ac:dyDescent="0.3">
      <c r="A2643" s="6"/>
    </row>
    <row r="2644" spans="1:1" x14ac:dyDescent="0.3">
      <c r="A2644" s="6"/>
    </row>
    <row r="2645" spans="1:1" x14ac:dyDescent="0.3">
      <c r="A2645" s="6"/>
    </row>
    <row r="2646" spans="1:1" x14ac:dyDescent="0.3">
      <c r="A2646" s="6"/>
    </row>
    <row r="2647" spans="1:1" x14ac:dyDescent="0.3">
      <c r="A2647" s="6"/>
    </row>
    <row r="2648" spans="1:1" x14ac:dyDescent="0.3">
      <c r="A2648" s="6"/>
    </row>
    <row r="2649" spans="1:1" x14ac:dyDescent="0.3">
      <c r="A2649" s="6"/>
    </row>
    <row r="2650" spans="1:1" x14ac:dyDescent="0.3">
      <c r="A2650" s="6"/>
    </row>
    <row r="2651" spans="1:1" x14ac:dyDescent="0.3">
      <c r="A2651" s="6"/>
    </row>
    <row r="2652" spans="1:1" x14ac:dyDescent="0.3">
      <c r="A2652" s="6"/>
    </row>
    <row r="2653" spans="1:1" x14ac:dyDescent="0.3">
      <c r="A2653" s="6"/>
    </row>
    <row r="2654" spans="1:1" x14ac:dyDescent="0.3">
      <c r="A2654" s="6"/>
    </row>
    <row r="2655" spans="1:1" x14ac:dyDescent="0.3">
      <c r="A2655" s="6"/>
    </row>
    <row r="2656" spans="1:1" x14ac:dyDescent="0.3">
      <c r="A2656" s="6"/>
    </row>
    <row r="2657" spans="1:1" x14ac:dyDescent="0.3">
      <c r="A2657" s="6"/>
    </row>
    <row r="2658" spans="1:1" x14ac:dyDescent="0.3">
      <c r="A2658" s="6"/>
    </row>
    <row r="2659" spans="1:1" x14ac:dyDescent="0.3">
      <c r="A2659" s="6"/>
    </row>
    <row r="2660" spans="1:1" x14ac:dyDescent="0.3">
      <c r="A2660" s="6"/>
    </row>
    <row r="2661" spans="1:1" x14ac:dyDescent="0.3">
      <c r="A2661" s="6"/>
    </row>
    <row r="2662" spans="1:1" x14ac:dyDescent="0.3">
      <c r="A2662" s="6"/>
    </row>
    <row r="2663" spans="1:1" x14ac:dyDescent="0.3">
      <c r="A2663" s="6"/>
    </row>
    <row r="2664" spans="1:1" x14ac:dyDescent="0.3">
      <c r="A2664" s="6"/>
    </row>
    <row r="2665" spans="1:1" x14ac:dyDescent="0.3">
      <c r="A2665" s="6"/>
    </row>
    <row r="2666" spans="1:1" x14ac:dyDescent="0.3">
      <c r="A2666" s="6"/>
    </row>
    <row r="2667" spans="1:1" x14ac:dyDescent="0.3">
      <c r="A2667" s="6"/>
    </row>
    <row r="2668" spans="1:1" x14ac:dyDescent="0.3">
      <c r="A2668" s="6"/>
    </row>
    <row r="2669" spans="1:1" x14ac:dyDescent="0.3">
      <c r="A2669" s="6"/>
    </row>
    <row r="2670" spans="1:1" x14ac:dyDescent="0.3">
      <c r="A2670" s="6"/>
    </row>
    <row r="2671" spans="1:1" x14ac:dyDescent="0.3">
      <c r="A2671" s="6"/>
    </row>
    <row r="2672" spans="1:1" x14ac:dyDescent="0.3">
      <c r="A2672" s="6"/>
    </row>
    <row r="2673" spans="1:1" x14ac:dyDescent="0.3">
      <c r="A2673" s="6"/>
    </row>
    <row r="2674" spans="1:1" x14ac:dyDescent="0.3">
      <c r="A2674" s="6"/>
    </row>
    <row r="2675" spans="1:1" x14ac:dyDescent="0.3">
      <c r="A2675" s="6"/>
    </row>
    <row r="2676" spans="1:1" x14ac:dyDescent="0.3">
      <c r="A2676" s="6"/>
    </row>
    <row r="2677" spans="1:1" x14ac:dyDescent="0.3">
      <c r="A2677" s="6"/>
    </row>
    <row r="2678" spans="1:1" x14ac:dyDescent="0.3">
      <c r="A2678" s="6"/>
    </row>
    <row r="2679" spans="1:1" x14ac:dyDescent="0.3">
      <c r="A2679" s="6"/>
    </row>
    <row r="2680" spans="1:1" x14ac:dyDescent="0.3">
      <c r="A2680" s="6"/>
    </row>
    <row r="2681" spans="1:1" x14ac:dyDescent="0.3">
      <c r="A2681" s="6"/>
    </row>
    <row r="2682" spans="1:1" x14ac:dyDescent="0.3">
      <c r="A2682" s="6"/>
    </row>
    <row r="2683" spans="1:1" x14ac:dyDescent="0.3">
      <c r="A2683" s="6"/>
    </row>
    <row r="2684" spans="1:1" x14ac:dyDescent="0.3">
      <c r="A2684" s="6"/>
    </row>
    <row r="2685" spans="1:1" x14ac:dyDescent="0.3">
      <c r="A2685" s="6"/>
    </row>
    <row r="2686" spans="1:1" x14ac:dyDescent="0.3">
      <c r="A2686" s="6"/>
    </row>
    <row r="2687" spans="1:1" x14ac:dyDescent="0.3">
      <c r="A2687" s="6"/>
    </row>
    <row r="2688" spans="1:1" x14ac:dyDescent="0.3">
      <c r="A2688" s="6"/>
    </row>
    <row r="2689" spans="1:1" x14ac:dyDescent="0.3">
      <c r="A2689" s="6"/>
    </row>
    <row r="2690" spans="1:1" x14ac:dyDescent="0.3">
      <c r="A2690" s="6"/>
    </row>
    <row r="2691" spans="1:1" x14ac:dyDescent="0.3">
      <c r="A2691" s="6"/>
    </row>
    <row r="2692" spans="1:1" x14ac:dyDescent="0.3">
      <c r="A2692" s="6"/>
    </row>
    <row r="2693" spans="1:1" x14ac:dyDescent="0.3">
      <c r="A2693" s="6"/>
    </row>
    <row r="2694" spans="1:1" x14ac:dyDescent="0.3">
      <c r="A2694" s="6"/>
    </row>
    <row r="2695" spans="1:1" x14ac:dyDescent="0.3">
      <c r="A2695" s="6"/>
    </row>
    <row r="2696" spans="1:1" x14ac:dyDescent="0.3">
      <c r="A2696" s="6"/>
    </row>
    <row r="2697" spans="1:1" x14ac:dyDescent="0.3">
      <c r="A2697" s="6"/>
    </row>
    <row r="2698" spans="1:1" x14ac:dyDescent="0.3">
      <c r="A2698" s="6"/>
    </row>
    <row r="2699" spans="1:1" x14ac:dyDescent="0.3">
      <c r="A2699" s="6"/>
    </row>
    <row r="2700" spans="1:1" x14ac:dyDescent="0.3">
      <c r="A2700" s="6"/>
    </row>
    <row r="2701" spans="1:1" x14ac:dyDescent="0.3">
      <c r="A2701" s="6"/>
    </row>
    <row r="2702" spans="1:1" x14ac:dyDescent="0.3">
      <c r="A2702" s="6"/>
    </row>
    <row r="2703" spans="1:1" x14ac:dyDescent="0.3">
      <c r="A2703" s="6"/>
    </row>
    <row r="2704" spans="1:1" x14ac:dyDescent="0.3">
      <c r="A2704" s="6"/>
    </row>
    <row r="2705" spans="1:1" x14ac:dyDescent="0.3">
      <c r="A2705" s="6"/>
    </row>
    <row r="2706" spans="1:1" x14ac:dyDescent="0.3">
      <c r="A2706" s="6"/>
    </row>
    <row r="2707" spans="1:1" x14ac:dyDescent="0.3">
      <c r="A2707" s="6"/>
    </row>
    <row r="2708" spans="1:1" x14ac:dyDescent="0.3">
      <c r="A2708" s="6"/>
    </row>
    <row r="2709" spans="1:1" x14ac:dyDescent="0.3">
      <c r="A2709" s="6"/>
    </row>
    <row r="2710" spans="1:1" x14ac:dyDescent="0.3">
      <c r="A2710" s="6"/>
    </row>
    <row r="2711" spans="1:1" x14ac:dyDescent="0.3">
      <c r="A2711" s="6"/>
    </row>
    <row r="2712" spans="1:1" x14ac:dyDescent="0.3">
      <c r="A2712" s="6"/>
    </row>
    <row r="2713" spans="1:1" x14ac:dyDescent="0.3">
      <c r="A2713" s="6"/>
    </row>
    <row r="2714" spans="1:1" x14ac:dyDescent="0.3">
      <c r="A2714" s="6"/>
    </row>
    <row r="2715" spans="1:1" x14ac:dyDescent="0.3">
      <c r="A2715" s="6"/>
    </row>
    <row r="2716" spans="1:1" x14ac:dyDescent="0.3">
      <c r="A2716" s="6"/>
    </row>
    <row r="2717" spans="1:1" x14ac:dyDescent="0.3">
      <c r="A2717" s="6"/>
    </row>
    <row r="2718" spans="1:1" x14ac:dyDescent="0.3">
      <c r="A2718" s="6"/>
    </row>
    <row r="2719" spans="1:1" x14ac:dyDescent="0.3">
      <c r="A2719" s="6"/>
    </row>
    <row r="2720" spans="1:1" x14ac:dyDescent="0.3">
      <c r="A2720" s="6"/>
    </row>
    <row r="2721" spans="1:1" x14ac:dyDescent="0.3">
      <c r="A2721" s="6"/>
    </row>
    <row r="2722" spans="1:1" x14ac:dyDescent="0.3">
      <c r="A2722" s="6"/>
    </row>
    <row r="2723" spans="1:1" x14ac:dyDescent="0.3">
      <c r="A2723" s="6"/>
    </row>
    <row r="2724" spans="1:1" x14ac:dyDescent="0.3">
      <c r="A2724" s="6"/>
    </row>
    <row r="2725" spans="1:1" x14ac:dyDescent="0.3">
      <c r="A2725" s="6"/>
    </row>
    <row r="2726" spans="1:1" x14ac:dyDescent="0.3">
      <c r="A2726" s="6"/>
    </row>
    <row r="2727" spans="1:1" x14ac:dyDescent="0.3">
      <c r="A2727" s="6"/>
    </row>
    <row r="2728" spans="1:1" x14ac:dyDescent="0.3">
      <c r="A2728" s="6"/>
    </row>
    <row r="2729" spans="1:1" x14ac:dyDescent="0.3">
      <c r="A2729" s="6"/>
    </row>
    <row r="2730" spans="1:1" x14ac:dyDescent="0.3">
      <c r="A2730" s="6"/>
    </row>
    <row r="2731" spans="1:1" x14ac:dyDescent="0.3">
      <c r="A2731" s="6"/>
    </row>
    <row r="2732" spans="1:1" x14ac:dyDescent="0.3">
      <c r="A2732" s="6"/>
    </row>
    <row r="2733" spans="1:1" x14ac:dyDescent="0.3">
      <c r="A2733" s="6"/>
    </row>
    <row r="2734" spans="1:1" x14ac:dyDescent="0.3">
      <c r="A2734" s="6"/>
    </row>
    <row r="2735" spans="1:1" x14ac:dyDescent="0.3">
      <c r="A2735" s="6"/>
    </row>
    <row r="2736" spans="1:1" x14ac:dyDescent="0.3">
      <c r="A2736" s="6"/>
    </row>
    <row r="2737" spans="1:1" x14ac:dyDescent="0.3">
      <c r="A2737" s="6"/>
    </row>
    <row r="2738" spans="1:1" x14ac:dyDescent="0.3">
      <c r="A2738" s="6"/>
    </row>
    <row r="2739" spans="1:1" x14ac:dyDescent="0.3">
      <c r="A2739" s="6"/>
    </row>
    <row r="2740" spans="1:1" x14ac:dyDescent="0.3">
      <c r="A2740" s="6"/>
    </row>
    <row r="2741" spans="1:1" x14ac:dyDescent="0.3">
      <c r="A2741" s="6"/>
    </row>
    <row r="2742" spans="1:1" x14ac:dyDescent="0.3">
      <c r="A2742" s="6"/>
    </row>
    <row r="2743" spans="1:1" x14ac:dyDescent="0.3">
      <c r="A2743" s="6"/>
    </row>
    <row r="2744" spans="1:1" x14ac:dyDescent="0.3">
      <c r="A2744" s="6"/>
    </row>
    <row r="2745" spans="1:1" x14ac:dyDescent="0.3">
      <c r="A2745" s="6"/>
    </row>
    <row r="2746" spans="1:1" x14ac:dyDescent="0.3">
      <c r="A2746" s="6"/>
    </row>
    <row r="2747" spans="1:1" x14ac:dyDescent="0.3">
      <c r="A2747" s="6"/>
    </row>
    <row r="2748" spans="1:1" x14ac:dyDescent="0.3">
      <c r="A2748" s="6"/>
    </row>
    <row r="2749" spans="1:1" x14ac:dyDescent="0.3">
      <c r="A2749" s="6"/>
    </row>
    <row r="2750" spans="1:1" x14ac:dyDescent="0.3">
      <c r="A2750" s="6"/>
    </row>
    <row r="2751" spans="1:1" x14ac:dyDescent="0.3">
      <c r="A2751" s="6"/>
    </row>
    <row r="2752" spans="1:1" x14ac:dyDescent="0.3">
      <c r="A2752" s="6"/>
    </row>
    <row r="2753" spans="1:1" x14ac:dyDescent="0.3">
      <c r="A2753" s="6"/>
    </row>
    <row r="2754" spans="1:1" x14ac:dyDescent="0.3">
      <c r="A2754" s="6"/>
    </row>
    <row r="2755" spans="1:1" x14ac:dyDescent="0.3">
      <c r="A2755" s="6"/>
    </row>
    <row r="2756" spans="1:1" x14ac:dyDescent="0.3">
      <c r="A2756" s="6"/>
    </row>
    <row r="2757" spans="1:1" x14ac:dyDescent="0.3">
      <c r="A2757" s="6"/>
    </row>
    <row r="2758" spans="1:1" x14ac:dyDescent="0.3">
      <c r="A2758" s="6"/>
    </row>
    <row r="2759" spans="1:1" x14ac:dyDescent="0.3">
      <c r="A2759" s="6"/>
    </row>
    <row r="2760" spans="1:1" x14ac:dyDescent="0.3">
      <c r="A2760" s="6"/>
    </row>
    <row r="2761" spans="1:1" x14ac:dyDescent="0.3">
      <c r="A2761" s="6"/>
    </row>
    <row r="2762" spans="1:1" x14ac:dyDescent="0.3">
      <c r="A2762" s="6"/>
    </row>
    <row r="2763" spans="1:1" x14ac:dyDescent="0.3">
      <c r="A2763" s="6"/>
    </row>
    <row r="2764" spans="1:1" x14ac:dyDescent="0.3">
      <c r="A2764" s="6"/>
    </row>
    <row r="2765" spans="1:1" x14ac:dyDescent="0.3">
      <c r="A2765" s="6"/>
    </row>
    <row r="2766" spans="1:1" x14ac:dyDescent="0.3">
      <c r="A2766" s="6"/>
    </row>
    <row r="2767" spans="1:1" x14ac:dyDescent="0.3">
      <c r="A2767" s="6"/>
    </row>
    <row r="2768" spans="1:1" x14ac:dyDescent="0.3">
      <c r="A2768" s="6"/>
    </row>
    <row r="2769" spans="1:1" x14ac:dyDescent="0.3">
      <c r="A2769" s="6"/>
    </row>
    <row r="2770" spans="1:1" x14ac:dyDescent="0.3">
      <c r="A2770" s="6"/>
    </row>
    <row r="2771" spans="1:1" x14ac:dyDescent="0.3">
      <c r="A2771" s="6"/>
    </row>
    <row r="2772" spans="1:1" x14ac:dyDescent="0.3">
      <c r="A2772" s="6"/>
    </row>
    <row r="2773" spans="1:1" x14ac:dyDescent="0.3">
      <c r="A2773" s="6"/>
    </row>
    <row r="2774" spans="1:1" x14ac:dyDescent="0.3">
      <c r="A2774" s="6"/>
    </row>
    <row r="2775" spans="1:1" x14ac:dyDescent="0.3">
      <c r="A2775" s="6"/>
    </row>
    <row r="2776" spans="1:1" x14ac:dyDescent="0.3">
      <c r="A2776" s="6"/>
    </row>
    <row r="2777" spans="1:1" x14ac:dyDescent="0.3">
      <c r="A2777" s="6"/>
    </row>
    <row r="2778" spans="1:1" x14ac:dyDescent="0.3">
      <c r="A2778" s="6"/>
    </row>
    <row r="2779" spans="1:1" x14ac:dyDescent="0.3">
      <c r="A2779" s="6"/>
    </row>
    <row r="2780" spans="1:1" x14ac:dyDescent="0.3">
      <c r="A2780" s="6"/>
    </row>
    <row r="2781" spans="1:1" x14ac:dyDescent="0.3">
      <c r="A2781" s="6"/>
    </row>
    <row r="2782" spans="1:1" x14ac:dyDescent="0.3">
      <c r="A2782" s="6"/>
    </row>
    <row r="2783" spans="1:1" x14ac:dyDescent="0.3">
      <c r="A2783" s="6"/>
    </row>
    <row r="2784" spans="1:1" x14ac:dyDescent="0.3">
      <c r="A2784" s="6"/>
    </row>
    <row r="2785" spans="1:1" x14ac:dyDescent="0.3">
      <c r="A2785" s="6"/>
    </row>
    <row r="2786" spans="1:1" x14ac:dyDescent="0.3">
      <c r="A2786" s="6"/>
    </row>
    <row r="2787" spans="1:1" x14ac:dyDescent="0.3">
      <c r="A2787" s="6"/>
    </row>
    <row r="2788" spans="1:1" x14ac:dyDescent="0.3">
      <c r="A2788" s="6"/>
    </row>
    <row r="2789" spans="1:1" x14ac:dyDescent="0.3">
      <c r="A2789" s="6"/>
    </row>
    <row r="2790" spans="1:1" x14ac:dyDescent="0.3">
      <c r="A2790" s="6"/>
    </row>
    <row r="2791" spans="1:1" x14ac:dyDescent="0.3">
      <c r="A2791" s="6"/>
    </row>
    <row r="2792" spans="1:1" x14ac:dyDescent="0.3">
      <c r="A2792" s="6"/>
    </row>
    <row r="2793" spans="1:1" x14ac:dyDescent="0.3">
      <c r="A2793" s="6"/>
    </row>
    <row r="2794" spans="1:1" x14ac:dyDescent="0.3">
      <c r="A2794" s="6"/>
    </row>
    <row r="2795" spans="1:1" x14ac:dyDescent="0.3">
      <c r="A2795" s="6"/>
    </row>
    <row r="2796" spans="1:1" x14ac:dyDescent="0.3">
      <c r="A2796" s="6"/>
    </row>
    <row r="2797" spans="1:1" x14ac:dyDescent="0.3">
      <c r="A2797" s="6"/>
    </row>
    <row r="2798" spans="1:1" x14ac:dyDescent="0.3">
      <c r="A2798" s="6"/>
    </row>
    <row r="2799" spans="1:1" x14ac:dyDescent="0.3">
      <c r="A2799" s="6"/>
    </row>
    <row r="2800" spans="1:1" x14ac:dyDescent="0.3">
      <c r="A2800" s="6"/>
    </row>
    <row r="2801" spans="1:1" x14ac:dyDescent="0.3">
      <c r="A2801" s="6"/>
    </row>
    <row r="2802" spans="1:1" x14ac:dyDescent="0.3">
      <c r="A2802" s="6"/>
    </row>
    <row r="2803" spans="1:1" x14ac:dyDescent="0.3">
      <c r="A2803" s="6"/>
    </row>
    <row r="2804" spans="1:1" x14ac:dyDescent="0.3">
      <c r="A2804" s="6"/>
    </row>
    <row r="2805" spans="1:1" x14ac:dyDescent="0.3">
      <c r="A2805" s="6"/>
    </row>
    <row r="2806" spans="1:1" x14ac:dyDescent="0.3">
      <c r="A2806" s="6"/>
    </row>
    <row r="2807" spans="1:1" x14ac:dyDescent="0.3">
      <c r="A2807" s="6"/>
    </row>
    <row r="2808" spans="1:1" x14ac:dyDescent="0.3">
      <c r="A2808" s="6"/>
    </row>
    <row r="2809" spans="1:1" x14ac:dyDescent="0.3">
      <c r="A2809" s="6"/>
    </row>
    <row r="2810" spans="1:1" x14ac:dyDescent="0.3">
      <c r="A2810" s="6"/>
    </row>
    <row r="2811" spans="1:1" x14ac:dyDescent="0.3">
      <c r="A2811" s="6"/>
    </row>
    <row r="2812" spans="1:1" x14ac:dyDescent="0.3">
      <c r="A2812" s="6"/>
    </row>
    <row r="2813" spans="1:1" x14ac:dyDescent="0.3">
      <c r="A2813" s="6"/>
    </row>
    <row r="2814" spans="1:1" x14ac:dyDescent="0.3">
      <c r="A2814" s="6"/>
    </row>
    <row r="2815" spans="1:1" x14ac:dyDescent="0.3">
      <c r="A2815" s="6"/>
    </row>
    <row r="2816" spans="1:1" x14ac:dyDescent="0.3">
      <c r="A2816" s="6"/>
    </row>
    <row r="2817" spans="1:1" x14ac:dyDescent="0.3">
      <c r="A2817" s="6"/>
    </row>
    <row r="2818" spans="1:1" x14ac:dyDescent="0.3">
      <c r="A2818" s="6"/>
    </row>
    <row r="2819" spans="1:1" x14ac:dyDescent="0.3">
      <c r="A2819" s="6"/>
    </row>
    <row r="2820" spans="1:1" x14ac:dyDescent="0.3">
      <c r="A2820" s="6"/>
    </row>
    <row r="2821" spans="1:1" x14ac:dyDescent="0.3">
      <c r="A2821" s="6"/>
    </row>
    <row r="2822" spans="1:1" x14ac:dyDescent="0.3">
      <c r="A2822" s="6"/>
    </row>
    <row r="2823" spans="1:1" x14ac:dyDescent="0.3">
      <c r="A2823" s="6"/>
    </row>
    <row r="2824" spans="1:1" x14ac:dyDescent="0.3">
      <c r="A2824" s="6"/>
    </row>
    <row r="2825" spans="1:1" x14ac:dyDescent="0.3">
      <c r="A2825" s="6"/>
    </row>
    <row r="2826" spans="1:1" x14ac:dyDescent="0.3">
      <c r="A2826" s="6"/>
    </row>
    <row r="2827" spans="1:1" x14ac:dyDescent="0.3">
      <c r="A2827" s="6"/>
    </row>
    <row r="2828" spans="1:1" x14ac:dyDescent="0.3">
      <c r="A2828" s="6"/>
    </row>
    <row r="2829" spans="1:1" x14ac:dyDescent="0.3">
      <c r="A2829" s="6"/>
    </row>
    <row r="2830" spans="1:1" x14ac:dyDescent="0.3">
      <c r="A2830" s="6"/>
    </row>
    <row r="2831" spans="1:1" x14ac:dyDescent="0.3">
      <c r="A2831" s="6"/>
    </row>
    <row r="2832" spans="1:1" x14ac:dyDescent="0.3">
      <c r="A2832" s="6"/>
    </row>
    <row r="2833" spans="1:1" x14ac:dyDescent="0.3">
      <c r="A2833" s="6"/>
    </row>
    <row r="2834" spans="1:1" x14ac:dyDescent="0.3">
      <c r="A2834" s="6"/>
    </row>
    <row r="2835" spans="1:1" x14ac:dyDescent="0.3">
      <c r="A2835" s="6"/>
    </row>
    <row r="2836" spans="1:1" x14ac:dyDescent="0.3">
      <c r="A2836" s="6"/>
    </row>
    <row r="2837" spans="1:1" x14ac:dyDescent="0.3">
      <c r="A2837" s="6"/>
    </row>
    <row r="2838" spans="1:1" x14ac:dyDescent="0.3">
      <c r="A2838" s="6"/>
    </row>
    <row r="2839" spans="1:1" x14ac:dyDescent="0.3">
      <c r="A2839" s="6"/>
    </row>
    <row r="2840" spans="1:1" x14ac:dyDescent="0.3">
      <c r="A2840" s="6"/>
    </row>
    <row r="2841" spans="1:1" x14ac:dyDescent="0.3">
      <c r="A2841" s="6"/>
    </row>
    <row r="2842" spans="1:1" x14ac:dyDescent="0.3">
      <c r="A2842" s="6"/>
    </row>
    <row r="2843" spans="1:1" x14ac:dyDescent="0.3">
      <c r="A2843" s="6"/>
    </row>
    <row r="2844" spans="1:1" x14ac:dyDescent="0.3">
      <c r="A2844" s="6"/>
    </row>
    <row r="2845" spans="1:1" x14ac:dyDescent="0.3">
      <c r="A2845" s="6"/>
    </row>
    <row r="2846" spans="1:1" x14ac:dyDescent="0.3">
      <c r="A2846" s="6"/>
    </row>
    <row r="2847" spans="1:1" x14ac:dyDescent="0.3">
      <c r="A2847" s="6"/>
    </row>
    <row r="2848" spans="1:1" x14ac:dyDescent="0.3">
      <c r="A2848" s="6"/>
    </row>
    <row r="2849" spans="1:1" x14ac:dyDescent="0.3">
      <c r="A2849" s="6"/>
    </row>
    <row r="2850" spans="1:1" x14ac:dyDescent="0.3">
      <c r="A2850" s="6"/>
    </row>
    <row r="2851" spans="1:1" x14ac:dyDescent="0.3">
      <c r="A2851" s="6"/>
    </row>
    <row r="2852" spans="1:1" x14ac:dyDescent="0.3">
      <c r="A2852" s="6"/>
    </row>
    <row r="2853" spans="1:1" x14ac:dyDescent="0.3">
      <c r="A2853" s="6"/>
    </row>
    <row r="2854" spans="1:1" x14ac:dyDescent="0.3">
      <c r="A2854" s="6"/>
    </row>
    <row r="2855" spans="1:1" x14ac:dyDescent="0.3">
      <c r="A2855" s="6"/>
    </row>
    <row r="2856" spans="1:1" x14ac:dyDescent="0.3">
      <c r="A2856" s="6"/>
    </row>
    <row r="2857" spans="1:1" x14ac:dyDescent="0.3">
      <c r="A2857" s="6"/>
    </row>
    <row r="2858" spans="1:1" x14ac:dyDescent="0.3">
      <c r="A2858" s="6"/>
    </row>
    <row r="2859" spans="1:1" x14ac:dyDescent="0.3">
      <c r="A2859" s="6"/>
    </row>
    <row r="2860" spans="1:1" x14ac:dyDescent="0.3">
      <c r="A2860" s="6"/>
    </row>
    <row r="2861" spans="1:1" x14ac:dyDescent="0.3">
      <c r="A2861" s="6"/>
    </row>
    <row r="2862" spans="1:1" x14ac:dyDescent="0.3">
      <c r="A2862" s="6"/>
    </row>
    <row r="2863" spans="1:1" x14ac:dyDescent="0.3">
      <c r="A2863" s="6"/>
    </row>
    <row r="2864" spans="1:1" x14ac:dyDescent="0.3">
      <c r="A2864" s="6"/>
    </row>
    <row r="2865" spans="1:1" x14ac:dyDescent="0.3">
      <c r="A2865" s="6"/>
    </row>
    <row r="2866" spans="1:1" x14ac:dyDescent="0.3">
      <c r="A2866" s="6"/>
    </row>
    <row r="2867" spans="1:1" x14ac:dyDescent="0.3">
      <c r="A2867" s="6"/>
    </row>
    <row r="2868" spans="1:1" x14ac:dyDescent="0.3">
      <c r="A2868" s="6"/>
    </row>
    <row r="2869" spans="1:1" x14ac:dyDescent="0.3">
      <c r="A2869" s="6"/>
    </row>
    <row r="2870" spans="1:1" x14ac:dyDescent="0.3">
      <c r="A2870" s="6"/>
    </row>
    <row r="2871" spans="1:1" x14ac:dyDescent="0.3">
      <c r="A2871" s="6"/>
    </row>
    <row r="2872" spans="1:1" x14ac:dyDescent="0.3">
      <c r="A2872" s="6"/>
    </row>
    <row r="2873" spans="1:1" x14ac:dyDescent="0.3">
      <c r="A2873" s="6"/>
    </row>
    <row r="2874" spans="1:1" x14ac:dyDescent="0.3">
      <c r="A2874" s="6"/>
    </row>
    <row r="2875" spans="1:1" x14ac:dyDescent="0.3">
      <c r="A2875" s="6"/>
    </row>
    <row r="2876" spans="1:1" x14ac:dyDescent="0.3">
      <c r="A2876" s="6"/>
    </row>
    <row r="2877" spans="1:1" x14ac:dyDescent="0.3">
      <c r="A2877" s="6"/>
    </row>
    <row r="2878" spans="1:1" x14ac:dyDescent="0.3">
      <c r="A2878" s="6"/>
    </row>
    <row r="2879" spans="1:1" x14ac:dyDescent="0.3">
      <c r="A2879" s="6"/>
    </row>
    <row r="2880" spans="1:1" x14ac:dyDescent="0.3">
      <c r="A2880" s="6"/>
    </row>
    <row r="2881" spans="1:1" x14ac:dyDescent="0.3">
      <c r="A2881" s="6"/>
    </row>
    <row r="2882" spans="1:1" x14ac:dyDescent="0.3">
      <c r="A2882" s="6"/>
    </row>
    <row r="2883" spans="1:1" x14ac:dyDescent="0.3">
      <c r="A2883" s="6"/>
    </row>
    <row r="2884" spans="1:1" x14ac:dyDescent="0.3">
      <c r="A2884" s="6"/>
    </row>
    <row r="2885" spans="1:1" x14ac:dyDescent="0.3">
      <c r="A2885" s="6"/>
    </row>
    <row r="2886" spans="1:1" x14ac:dyDescent="0.3">
      <c r="A2886" s="6"/>
    </row>
    <row r="2887" spans="1:1" x14ac:dyDescent="0.3">
      <c r="A2887" s="6"/>
    </row>
    <row r="2888" spans="1:1" x14ac:dyDescent="0.3">
      <c r="A2888" s="6"/>
    </row>
    <row r="2889" spans="1:1" x14ac:dyDescent="0.3">
      <c r="A2889" s="6"/>
    </row>
    <row r="2890" spans="1:1" x14ac:dyDescent="0.3">
      <c r="A2890" s="6"/>
    </row>
    <row r="2891" spans="1:1" x14ac:dyDescent="0.3">
      <c r="A2891" s="6"/>
    </row>
    <row r="2892" spans="1:1" x14ac:dyDescent="0.3">
      <c r="A2892" s="6"/>
    </row>
    <row r="2893" spans="1:1" x14ac:dyDescent="0.3">
      <c r="A2893" s="6"/>
    </row>
    <row r="2894" spans="1:1" x14ac:dyDescent="0.3">
      <c r="A2894" s="6"/>
    </row>
    <row r="2895" spans="1:1" x14ac:dyDescent="0.3">
      <c r="A2895" s="6"/>
    </row>
    <row r="2896" spans="1:1" x14ac:dyDescent="0.3">
      <c r="A2896" s="6"/>
    </row>
    <row r="2897" spans="1:1" x14ac:dyDescent="0.3">
      <c r="A2897" s="6"/>
    </row>
    <row r="2898" spans="1:1" x14ac:dyDescent="0.3">
      <c r="A2898" s="6"/>
    </row>
    <row r="2899" spans="1:1" x14ac:dyDescent="0.3">
      <c r="A2899" s="6"/>
    </row>
    <row r="2900" spans="1:1" x14ac:dyDescent="0.3">
      <c r="A2900" s="6"/>
    </row>
    <row r="2901" spans="1:1" x14ac:dyDescent="0.3">
      <c r="A2901" s="6"/>
    </row>
    <row r="2902" spans="1:1" x14ac:dyDescent="0.3">
      <c r="A2902" s="6"/>
    </row>
    <row r="2903" spans="1:1" x14ac:dyDescent="0.3">
      <c r="A2903" s="6"/>
    </row>
    <row r="2904" spans="1:1" x14ac:dyDescent="0.3">
      <c r="A2904" s="6"/>
    </row>
    <row r="2905" spans="1:1" x14ac:dyDescent="0.3">
      <c r="A2905" s="6"/>
    </row>
    <row r="2906" spans="1:1" x14ac:dyDescent="0.3">
      <c r="A2906" s="6"/>
    </row>
    <row r="2907" spans="1:1" x14ac:dyDescent="0.3">
      <c r="A2907" s="6"/>
    </row>
    <row r="2908" spans="1:1" x14ac:dyDescent="0.3">
      <c r="A2908" s="6"/>
    </row>
    <row r="2909" spans="1:1" x14ac:dyDescent="0.3">
      <c r="A2909" s="6"/>
    </row>
    <row r="2910" spans="1:1" x14ac:dyDescent="0.3">
      <c r="A2910" s="6"/>
    </row>
    <row r="2911" spans="1:1" x14ac:dyDescent="0.3">
      <c r="A2911" s="6"/>
    </row>
    <row r="2912" spans="1:1" x14ac:dyDescent="0.3">
      <c r="A2912" s="6"/>
    </row>
    <row r="2913" spans="1:1" x14ac:dyDescent="0.3">
      <c r="A2913" s="6"/>
    </row>
    <row r="2914" spans="1:1" x14ac:dyDescent="0.3">
      <c r="A2914" s="6"/>
    </row>
    <row r="2915" spans="1:1" x14ac:dyDescent="0.3">
      <c r="A2915" s="6"/>
    </row>
    <row r="2916" spans="1:1" x14ac:dyDescent="0.3">
      <c r="A2916" s="6"/>
    </row>
    <row r="2917" spans="1:1" x14ac:dyDescent="0.3">
      <c r="A2917" s="6"/>
    </row>
    <row r="2918" spans="1:1" x14ac:dyDescent="0.3">
      <c r="A2918" s="6"/>
    </row>
    <row r="2919" spans="1:1" x14ac:dyDescent="0.3">
      <c r="A2919" s="6"/>
    </row>
    <row r="2920" spans="1:1" x14ac:dyDescent="0.3">
      <c r="A2920" s="6"/>
    </row>
    <row r="2921" spans="1:1" x14ac:dyDescent="0.3">
      <c r="A2921" s="6"/>
    </row>
    <row r="2922" spans="1:1" x14ac:dyDescent="0.3">
      <c r="A2922" s="6"/>
    </row>
    <row r="2923" spans="1:1" x14ac:dyDescent="0.3">
      <c r="A2923" s="6"/>
    </row>
    <row r="2924" spans="1:1" x14ac:dyDescent="0.3">
      <c r="A2924" s="6"/>
    </row>
    <row r="2925" spans="1:1" x14ac:dyDescent="0.3">
      <c r="A2925" s="6"/>
    </row>
    <row r="2926" spans="1:1" x14ac:dyDescent="0.3">
      <c r="A2926" s="6"/>
    </row>
    <row r="2927" spans="1:1" x14ac:dyDescent="0.3">
      <c r="A2927" s="6"/>
    </row>
    <row r="2928" spans="1:1" x14ac:dyDescent="0.3">
      <c r="A2928" s="6"/>
    </row>
    <row r="2929" spans="1:1" x14ac:dyDescent="0.3">
      <c r="A2929" s="6"/>
    </row>
    <row r="2930" spans="1:1" x14ac:dyDescent="0.3">
      <c r="A2930" s="6"/>
    </row>
    <row r="2931" spans="1:1" x14ac:dyDescent="0.3">
      <c r="A2931" s="6"/>
    </row>
    <row r="2932" spans="1:1" x14ac:dyDescent="0.3">
      <c r="A2932" s="6"/>
    </row>
    <row r="2933" spans="1:1" x14ac:dyDescent="0.3">
      <c r="A2933" s="6"/>
    </row>
    <row r="2934" spans="1:1" x14ac:dyDescent="0.3">
      <c r="A2934" s="6"/>
    </row>
    <row r="2935" spans="1:1" x14ac:dyDescent="0.3">
      <c r="A2935" s="6"/>
    </row>
    <row r="2936" spans="1:1" x14ac:dyDescent="0.3">
      <c r="A2936" s="6"/>
    </row>
    <row r="2937" spans="1:1" x14ac:dyDescent="0.3">
      <c r="A2937" s="6"/>
    </row>
    <row r="2938" spans="1:1" x14ac:dyDescent="0.3">
      <c r="A2938" s="6"/>
    </row>
    <row r="2939" spans="1:1" x14ac:dyDescent="0.3">
      <c r="A2939" s="6"/>
    </row>
    <row r="2940" spans="1:1" x14ac:dyDescent="0.3">
      <c r="A2940" s="6"/>
    </row>
    <row r="2941" spans="1:1" x14ac:dyDescent="0.3">
      <c r="A2941" s="6"/>
    </row>
    <row r="2942" spans="1:1" x14ac:dyDescent="0.3">
      <c r="A2942" s="6"/>
    </row>
    <row r="2943" spans="1:1" x14ac:dyDescent="0.3">
      <c r="A2943" s="6"/>
    </row>
    <row r="2944" spans="1:1" x14ac:dyDescent="0.3">
      <c r="A2944" s="6"/>
    </row>
    <row r="2945" spans="1:1" x14ac:dyDescent="0.3">
      <c r="A2945" s="6"/>
    </row>
    <row r="2946" spans="1:1" x14ac:dyDescent="0.3">
      <c r="A2946" s="6"/>
    </row>
    <row r="2947" spans="1:1" x14ac:dyDescent="0.3">
      <c r="A2947" s="6"/>
    </row>
    <row r="2948" spans="1:1" x14ac:dyDescent="0.3">
      <c r="A2948" s="6"/>
    </row>
    <row r="2949" spans="1:1" x14ac:dyDescent="0.3">
      <c r="A2949" s="6"/>
    </row>
    <row r="2950" spans="1:1" x14ac:dyDescent="0.3">
      <c r="A2950" s="6"/>
    </row>
    <row r="2951" spans="1:1" x14ac:dyDescent="0.3">
      <c r="A2951" s="6"/>
    </row>
    <row r="2952" spans="1:1" x14ac:dyDescent="0.3">
      <c r="A2952" s="6"/>
    </row>
    <row r="2953" spans="1:1" x14ac:dyDescent="0.3">
      <c r="A2953" s="6"/>
    </row>
    <row r="2954" spans="1:1" x14ac:dyDescent="0.3">
      <c r="A2954" s="6"/>
    </row>
    <row r="2955" spans="1:1" x14ac:dyDescent="0.3">
      <c r="A2955" s="6"/>
    </row>
    <row r="2956" spans="1:1" x14ac:dyDescent="0.3">
      <c r="A2956" s="6"/>
    </row>
    <row r="2957" spans="1:1" x14ac:dyDescent="0.3">
      <c r="A2957" s="6"/>
    </row>
    <row r="2958" spans="1:1" x14ac:dyDescent="0.3">
      <c r="A2958" s="6"/>
    </row>
    <row r="2959" spans="1:1" x14ac:dyDescent="0.3">
      <c r="A2959" s="6"/>
    </row>
    <row r="2960" spans="1:1" x14ac:dyDescent="0.3">
      <c r="A2960" s="6"/>
    </row>
    <row r="2961" spans="1:1" x14ac:dyDescent="0.3">
      <c r="A2961" s="6"/>
    </row>
    <row r="2962" spans="1:1" x14ac:dyDescent="0.3">
      <c r="A2962" s="6"/>
    </row>
    <row r="2963" spans="1:1" x14ac:dyDescent="0.3">
      <c r="A2963" s="6"/>
    </row>
    <row r="2964" spans="1:1" x14ac:dyDescent="0.3">
      <c r="A2964" s="6"/>
    </row>
    <row r="2965" spans="1:1" x14ac:dyDescent="0.3">
      <c r="A2965" s="6"/>
    </row>
    <row r="2966" spans="1:1" x14ac:dyDescent="0.3">
      <c r="A2966" s="6"/>
    </row>
    <row r="2967" spans="1:1" x14ac:dyDescent="0.3">
      <c r="A2967" s="6"/>
    </row>
    <row r="2968" spans="1:1" x14ac:dyDescent="0.3">
      <c r="A2968" s="6"/>
    </row>
    <row r="2969" spans="1:1" x14ac:dyDescent="0.3">
      <c r="A2969" s="6"/>
    </row>
    <row r="2970" spans="1:1" x14ac:dyDescent="0.3">
      <c r="A2970" s="6"/>
    </row>
    <row r="2971" spans="1:1" x14ac:dyDescent="0.3">
      <c r="A2971" s="6"/>
    </row>
    <row r="2972" spans="1:1" x14ac:dyDescent="0.3">
      <c r="A2972" s="6"/>
    </row>
    <row r="2973" spans="1:1" x14ac:dyDescent="0.3">
      <c r="A2973" s="6"/>
    </row>
    <row r="2974" spans="1:1" x14ac:dyDescent="0.3">
      <c r="A2974" s="6"/>
    </row>
    <row r="2975" spans="1:1" x14ac:dyDescent="0.3">
      <c r="A2975" s="6"/>
    </row>
    <row r="2976" spans="1:1" x14ac:dyDescent="0.3">
      <c r="A2976" s="6"/>
    </row>
    <row r="2977" spans="1:1" x14ac:dyDescent="0.3">
      <c r="A2977" s="6"/>
    </row>
    <row r="2978" spans="1:1" x14ac:dyDescent="0.3">
      <c r="A2978" s="6"/>
    </row>
    <row r="2979" spans="1:1" x14ac:dyDescent="0.3">
      <c r="A2979" s="6"/>
    </row>
    <row r="2980" spans="1:1" x14ac:dyDescent="0.3">
      <c r="A2980" s="6"/>
    </row>
    <row r="2981" spans="1:1" x14ac:dyDescent="0.3">
      <c r="A2981" s="6"/>
    </row>
    <row r="2982" spans="1:1" x14ac:dyDescent="0.3">
      <c r="A2982" s="6"/>
    </row>
    <row r="2983" spans="1:1" x14ac:dyDescent="0.3">
      <c r="A2983" s="6"/>
    </row>
    <row r="2984" spans="1:1" x14ac:dyDescent="0.3">
      <c r="A2984" s="6"/>
    </row>
    <row r="2985" spans="1:1" x14ac:dyDescent="0.3">
      <c r="A2985" s="6"/>
    </row>
    <row r="2986" spans="1:1" x14ac:dyDescent="0.3">
      <c r="A2986" s="6"/>
    </row>
    <row r="2987" spans="1:1" x14ac:dyDescent="0.3">
      <c r="A2987" s="6"/>
    </row>
    <row r="2988" spans="1:1" x14ac:dyDescent="0.3">
      <c r="A2988" s="6"/>
    </row>
    <row r="2989" spans="1:1" x14ac:dyDescent="0.3">
      <c r="A2989" s="6"/>
    </row>
    <row r="2990" spans="1:1" x14ac:dyDescent="0.3">
      <c r="A2990" s="6"/>
    </row>
    <row r="2991" spans="1:1" x14ac:dyDescent="0.3">
      <c r="A2991" s="6"/>
    </row>
    <row r="2992" spans="1:1" x14ac:dyDescent="0.3">
      <c r="A2992" s="6"/>
    </row>
    <row r="2993" spans="1:1" x14ac:dyDescent="0.3">
      <c r="A2993" s="6"/>
    </row>
    <row r="2994" spans="1:1" x14ac:dyDescent="0.3">
      <c r="A2994" s="6"/>
    </row>
    <row r="2995" spans="1:1" x14ac:dyDescent="0.3">
      <c r="A2995" s="6"/>
    </row>
    <row r="2996" spans="1:1" x14ac:dyDescent="0.3">
      <c r="A2996" s="6"/>
    </row>
    <row r="2997" spans="1:1" x14ac:dyDescent="0.3">
      <c r="A2997" s="6"/>
    </row>
    <row r="2998" spans="1:1" x14ac:dyDescent="0.3">
      <c r="A2998" s="6"/>
    </row>
    <row r="2999" spans="1:1" x14ac:dyDescent="0.3">
      <c r="A2999" s="6"/>
    </row>
    <row r="3000" spans="1:1" x14ac:dyDescent="0.3">
      <c r="A3000" s="6"/>
    </row>
    <row r="3001" spans="1:1" x14ac:dyDescent="0.3">
      <c r="A3001" s="6"/>
    </row>
    <row r="3002" spans="1:1" x14ac:dyDescent="0.3">
      <c r="A3002" s="6"/>
    </row>
    <row r="3003" spans="1:1" x14ac:dyDescent="0.3">
      <c r="A3003" s="6"/>
    </row>
    <row r="3004" spans="1:1" x14ac:dyDescent="0.3">
      <c r="A3004" s="6"/>
    </row>
    <row r="3005" spans="1:1" x14ac:dyDescent="0.3">
      <c r="A3005" s="6"/>
    </row>
    <row r="3006" spans="1:1" x14ac:dyDescent="0.3">
      <c r="A3006" s="6"/>
    </row>
    <row r="3007" spans="1:1" x14ac:dyDescent="0.3">
      <c r="A3007" s="6"/>
    </row>
    <row r="3008" spans="1:1" x14ac:dyDescent="0.3">
      <c r="A3008" s="6"/>
    </row>
    <row r="3009" spans="1:1" x14ac:dyDescent="0.3">
      <c r="A3009" s="6"/>
    </row>
    <row r="3010" spans="1:1" x14ac:dyDescent="0.3">
      <c r="A3010" s="6"/>
    </row>
    <row r="3011" spans="1:1" x14ac:dyDescent="0.3">
      <c r="A3011" s="6"/>
    </row>
    <row r="3012" spans="1:1" x14ac:dyDescent="0.3">
      <c r="A3012" s="6"/>
    </row>
    <row r="3013" spans="1:1" x14ac:dyDescent="0.3">
      <c r="A3013" s="6"/>
    </row>
    <row r="3014" spans="1:1" x14ac:dyDescent="0.3">
      <c r="A3014" s="6"/>
    </row>
    <row r="3015" spans="1:1" x14ac:dyDescent="0.3">
      <c r="A3015" s="6"/>
    </row>
    <row r="3016" spans="1:1" x14ac:dyDescent="0.3">
      <c r="A3016" s="6"/>
    </row>
    <row r="3017" spans="1:1" x14ac:dyDescent="0.3">
      <c r="A3017" s="6"/>
    </row>
    <row r="3018" spans="1:1" x14ac:dyDescent="0.3">
      <c r="A3018" s="6"/>
    </row>
    <row r="3019" spans="1:1" x14ac:dyDescent="0.3">
      <c r="A3019" s="6"/>
    </row>
    <row r="3020" spans="1:1" x14ac:dyDescent="0.3">
      <c r="A3020" s="6"/>
    </row>
    <row r="3021" spans="1:1" x14ac:dyDescent="0.3">
      <c r="A3021" s="6"/>
    </row>
    <row r="3022" spans="1:1" x14ac:dyDescent="0.3">
      <c r="A3022" s="6"/>
    </row>
    <row r="3023" spans="1:1" x14ac:dyDescent="0.3">
      <c r="A3023" s="6"/>
    </row>
    <row r="3024" spans="1:1" x14ac:dyDescent="0.3">
      <c r="A3024" s="6"/>
    </row>
    <row r="3025" spans="1:1" x14ac:dyDescent="0.3">
      <c r="A3025" s="6"/>
    </row>
    <row r="3026" spans="1:1" x14ac:dyDescent="0.3">
      <c r="A3026" s="6"/>
    </row>
    <row r="3027" spans="1:1" x14ac:dyDescent="0.3">
      <c r="A3027" s="6"/>
    </row>
    <row r="3028" spans="1:1" x14ac:dyDescent="0.3">
      <c r="A3028" s="6"/>
    </row>
    <row r="3029" spans="1:1" x14ac:dyDescent="0.3">
      <c r="A3029" s="6"/>
    </row>
    <row r="3030" spans="1:1" x14ac:dyDescent="0.3">
      <c r="A3030" s="6"/>
    </row>
    <row r="3031" spans="1:1" x14ac:dyDescent="0.3">
      <c r="A3031" s="6"/>
    </row>
    <row r="3032" spans="1:1" x14ac:dyDescent="0.3">
      <c r="A3032" s="6"/>
    </row>
    <row r="3033" spans="1:1" x14ac:dyDescent="0.3">
      <c r="A3033" s="6"/>
    </row>
    <row r="3034" spans="1:1" x14ac:dyDescent="0.3">
      <c r="A3034" s="6"/>
    </row>
    <row r="3035" spans="1:1" x14ac:dyDescent="0.3">
      <c r="A3035" s="6"/>
    </row>
    <row r="3036" spans="1:1" x14ac:dyDescent="0.3">
      <c r="A3036" s="6"/>
    </row>
    <row r="3037" spans="1:1" x14ac:dyDescent="0.3">
      <c r="A3037" s="6"/>
    </row>
    <row r="3038" spans="1:1" x14ac:dyDescent="0.3">
      <c r="A3038" s="6"/>
    </row>
    <row r="3039" spans="1:1" x14ac:dyDescent="0.3">
      <c r="A3039" s="6"/>
    </row>
    <row r="3040" spans="1:1" x14ac:dyDescent="0.3">
      <c r="A3040" s="6"/>
    </row>
    <row r="3041" spans="1:1" x14ac:dyDescent="0.3">
      <c r="A3041" s="6"/>
    </row>
    <row r="3042" spans="1:1" x14ac:dyDescent="0.3">
      <c r="A3042" s="6"/>
    </row>
    <row r="3043" spans="1:1" x14ac:dyDescent="0.3">
      <c r="A3043" s="6"/>
    </row>
    <row r="3044" spans="1:1" x14ac:dyDescent="0.3">
      <c r="A3044" s="6"/>
    </row>
    <row r="3045" spans="1:1" x14ac:dyDescent="0.3">
      <c r="A3045" s="6"/>
    </row>
    <row r="3046" spans="1:1" x14ac:dyDescent="0.3">
      <c r="A3046" s="6"/>
    </row>
    <row r="3047" spans="1:1" x14ac:dyDescent="0.3">
      <c r="A3047" s="6"/>
    </row>
    <row r="3048" spans="1:1" x14ac:dyDescent="0.3">
      <c r="A3048" s="6"/>
    </row>
    <row r="3049" spans="1:1" x14ac:dyDescent="0.3">
      <c r="A3049" s="6"/>
    </row>
    <row r="3050" spans="1:1" x14ac:dyDescent="0.3">
      <c r="A3050" s="6"/>
    </row>
    <row r="3051" spans="1:1" x14ac:dyDescent="0.3">
      <c r="A3051" s="6"/>
    </row>
    <row r="3052" spans="1:1" x14ac:dyDescent="0.3">
      <c r="A3052" s="6"/>
    </row>
    <row r="3053" spans="1:1" x14ac:dyDescent="0.3">
      <c r="A3053" s="6"/>
    </row>
    <row r="3054" spans="1:1" x14ac:dyDescent="0.3">
      <c r="A3054" s="6"/>
    </row>
    <row r="3055" spans="1:1" x14ac:dyDescent="0.3">
      <c r="A3055" s="6"/>
    </row>
    <row r="3056" spans="1:1" x14ac:dyDescent="0.3">
      <c r="A3056" s="6"/>
    </row>
    <row r="3057" spans="1:1" x14ac:dyDescent="0.3">
      <c r="A3057" s="6"/>
    </row>
    <row r="3058" spans="1:1" x14ac:dyDescent="0.3">
      <c r="A3058" s="6"/>
    </row>
    <row r="3059" spans="1:1" x14ac:dyDescent="0.3">
      <c r="A3059" s="6"/>
    </row>
    <row r="3060" spans="1:1" x14ac:dyDescent="0.3">
      <c r="A3060" s="6"/>
    </row>
    <row r="3061" spans="1:1" x14ac:dyDescent="0.3">
      <c r="A3061" s="6"/>
    </row>
    <row r="3062" spans="1:1" x14ac:dyDescent="0.3">
      <c r="A3062" s="6"/>
    </row>
    <row r="3063" spans="1:1" x14ac:dyDescent="0.3">
      <c r="A3063" s="6"/>
    </row>
    <row r="3064" spans="1:1" x14ac:dyDescent="0.3">
      <c r="A3064" s="6"/>
    </row>
    <row r="3065" spans="1:1" x14ac:dyDescent="0.3">
      <c r="A3065" s="6"/>
    </row>
    <row r="3066" spans="1:1" x14ac:dyDescent="0.3">
      <c r="A3066" s="6"/>
    </row>
    <row r="3067" spans="1:1" x14ac:dyDescent="0.3">
      <c r="A3067" s="6"/>
    </row>
    <row r="3068" spans="1:1" x14ac:dyDescent="0.3">
      <c r="A3068" s="6"/>
    </row>
    <row r="3069" spans="1:1" x14ac:dyDescent="0.3">
      <c r="A3069" s="6"/>
    </row>
    <row r="3070" spans="1:1" x14ac:dyDescent="0.3">
      <c r="A3070" s="6"/>
    </row>
    <row r="3071" spans="1:1" x14ac:dyDescent="0.3">
      <c r="A3071" s="6"/>
    </row>
    <row r="3072" spans="1:1" x14ac:dyDescent="0.3">
      <c r="A3072" s="6"/>
    </row>
    <row r="3073" spans="1:1" x14ac:dyDescent="0.3">
      <c r="A3073" s="6"/>
    </row>
    <row r="3074" spans="1:1" x14ac:dyDescent="0.3">
      <c r="A3074" s="6"/>
    </row>
    <row r="3075" spans="1:1" x14ac:dyDescent="0.3">
      <c r="A3075" s="6"/>
    </row>
    <row r="3076" spans="1:1" x14ac:dyDescent="0.3">
      <c r="A3076" s="6"/>
    </row>
    <row r="3077" spans="1:1" x14ac:dyDescent="0.3">
      <c r="A3077" s="6"/>
    </row>
    <row r="3078" spans="1:1" x14ac:dyDescent="0.3">
      <c r="A3078" s="6"/>
    </row>
    <row r="3079" spans="1:1" x14ac:dyDescent="0.3">
      <c r="A3079" s="6"/>
    </row>
    <row r="3080" spans="1:1" x14ac:dyDescent="0.3">
      <c r="A3080" s="6"/>
    </row>
    <row r="3081" spans="1:1" x14ac:dyDescent="0.3">
      <c r="A3081" s="6"/>
    </row>
    <row r="3082" spans="1:1" x14ac:dyDescent="0.3">
      <c r="A3082" s="6"/>
    </row>
    <row r="3083" spans="1:1" x14ac:dyDescent="0.3">
      <c r="A3083" s="6"/>
    </row>
    <row r="3084" spans="1:1" x14ac:dyDescent="0.3">
      <c r="A3084" s="6"/>
    </row>
    <row r="3085" spans="1:1" x14ac:dyDescent="0.3">
      <c r="A3085" s="6"/>
    </row>
    <row r="3086" spans="1:1" x14ac:dyDescent="0.3">
      <c r="A3086" s="6"/>
    </row>
    <row r="3087" spans="1:1" x14ac:dyDescent="0.3">
      <c r="A3087" s="6"/>
    </row>
    <row r="3088" spans="1:1" x14ac:dyDescent="0.3">
      <c r="A3088" s="6"/>
    </row>
    <row r="3089" spans="1:1" x14ac:dyDescent="0.3">
      <c r="A3089" s="6"/>
    </row>
    <row r="3090" spans="1:1" x14ac:dyDescent="0.3">
      <c r="A3090" s="6"/>
    </row>
    <row r="3091" spans="1:1" x14ac:dyDescent="0.3">
      <c r="A3091" s="6"/>
    </row>
    <row r="3092" spans="1:1" x14ac:dyDescent="0.3">
      <c r="A3092" s="6"/>
    </row>
    <row r="3093" spans="1:1" x14ac:dyDescent="0.3">
      <c r="A3093" s="6"/>
    </row>
    <row r="3094" spans="1:1" x14ac:dyDescent="0.3">
      <c r="A3094" s="6"/>
    </row>
    <row r="3095" spans="1:1" x14ac:dyDescent="0.3">
      <c r="A3095" s="6"/>
    </row>
    <row r="3096" spans="1:1" x14ac:dyDescent="0.3">
      <c r="A3096" s="6"/>
    </row>
    <row r="3097" spans="1:1" x14ac:dyDescent="0.3">
      <c r="A3097" s="6"/>
    </row>
    <row r="3098" spans="1:1" x14ac:dyDescent="0.3">
      <c r="A3098" s="6"/>
    </row>
    <row r="3099" spans="1:1" x14ac:dyDescent="0.3">
      <c r="A3099" s="6"/>
    </row>
    <row r="3100" spans="1:1" x14ac:dyDescent="0.3">
      <c r="A3100" s="6"/>
    </row>
    <row r="3101" spans="1:1" x14ac:dyDescent="0.3">
      <c r="A3101" s="6"/>
    </row>
    <row r="3102" spans="1:1" x14ac:dyDescent="0.3">
      <c r="A3102" s="6"/>
    </row>
    <row r="3103" spans="1:1" x14ac:dyDescent="0.3">
      <c r="A3103" s="6"/>
    </row>
    <row r="3104" spans="1:1" x14ac:dyDescent="0.3">
      <c r="A3104" s="6"/>
    </row>
    <row r="3105" spans="1:1" x14ac:dyDescent="0.3">
      <c r="A3105" s="6"/>
    </row>
    <row r="3106" spans="1:1" x14ac:dyDescent="0.3">
      <c r="A3106" s="6"/>
    </row>
    <row r="3107" spans="1:1" x14ac:dyDescent="0.3">
      <c r="A3107" s="6"/>
    </row>
    <row r="3108" spans="1:1" x14ac:dyDescent="0.3">
      <c r="A3108" s="6"/>
    </row>
    <row r="3109" spans="1:1" x14ac:dyDescent="0.3">
      <c r="A3109" s="6"/>
    </row>
    <row r="3110" spans="1:1" x14ac:dyDescent="0.3">
      <c r="A3110" s="6"/>
    </row>
    <row r="3111" spans="1:1" x14ac:dyDescent="0.3">
      <c r="A3111" s="6"/>
    </row>
    <row r="3112" spans="1:1" x14ac:dyDescent="0.3">
      <c r="A3112" s="6"/>
    </row>
    <row r="3113" spans="1:1" x14ac:dyDescent="0.3">
      <c r="A3113" s="6"/>
    </row>
    <row r="3114" spans="1:1" x14ac:dyDescent="0.3">
      <c r="A3114" s="6"/>
    </row>
    <row r="3115" spans="1:1" x14ac:dyDescent="0.3">
      <c r="A3115" s="6"/>
    </row>
    <row r="3116" spans="1:1" x14ac:dyDescent="0.3">
      <c r="A3116" s="6"/>
    </row>
    <row r="3117" spans="1:1" x14ac:dyDescent="0.3">
      <c r="A3117" s="6"/>
    </row>
    <row r="3118" spans="1:1" x14ac:dyDescent="0.3">
      <c r="A3118" s="6"/>
    </row>
    <row r="3119" spans="1:1" x14ac:dyDescent="0.3">
      <c r="A3119" s="6"/>
    </row>
    <row r="3120" spans="1:1" x14ac:dyDescent="0.3">
      <c r="A3120" s="6"/>
    </row>
    <row r="3121" spans="1:1" x14ac:dyDescent="0.3">
      <c r="A3121" s="6"/>
    </row>
    <row r="3122" spans="1:1" x14ac:dyDescent="0.3">
      <c r="A3122" s="6"/>
    </row>
    <row r="3123" spans="1:1" x14ac:dyDescent="0.3">
      <c r="A3123" s="6"/>
    </row>
    <row r="3124" spans="1:1" x14ac:dyDescent="0.3">
      <c r="A3124" s="6"/>
    </row>
    <row r="3125" spans="1:1" x14ac:dyDescent="0.3">
      <c r="A3125" s="6"/>
    </row>
    <row r="3126" spans="1:1" x14ac:dyDescent="0.3">
      <c r="A3126" s="6"/>
    </row>
    <row r="3127" spans="1:1" x14ac:dyDescent="0.3">
      <c r="A3127" s="6"/>
    </row>
    <row r="3128" spans="1:1" x14ac:dyDescent="0.3">
      <c r="A3128" s="6"/>
    </row>
    <row r="3129" spans="1:1" x14ac:dyDescent="0.3">
      <c r="A3129" s="6"/>
    </row>
    <row r="3130" spans="1:1" x14ac:dyDescent="0.3">
      <c r="A3130" s="6"/>
    </row>
    <row r="3131" spans="1:1" x14ac:dyDescent="0.3">
      <c r="A3131" s="6"/>
    </row>
    <row r="3132" spans="1:1" x14ac:dyDescent="0.3">
      <c r="A3132" s="6"/>
    </row>
    <row r="3133" spans="1:1" x14ac:dyDescent="0.3">
      <c r="A3133" s="6"/>
    </row>
    <row r="3134" spans="1:1" x14ac:dyDescent="0.3">
      <c r="A3134" s="6"/>
    </row>
    <row r="3135" spans="1:1" x14ac:dyDescent="0.3">
      <c r="A3135" s="6"/>
    </row>
    <row r="3136" spans="1:1" x14ac:dyDescent="0.3">
      <c r="A3136" s="6"/>
    </row>
    <row r="3137" spans="1:1" x14ac:dyDescent="0.3">
      <c r="A3137" s="6"/>
    </row>
    <row r="3138" spans="1:1" x14ac:dyDescent="0.3">
      <c r="A3138" s="6"/>
    </row>
    <row r="3139" spans="1:1" x14ac:dyDescent="0.3">
      <c r="A3139" s="6"/>
    </row>
    <row r="3140" spans="1:1" x14ac:dyDescent="0.3">
      <c r="A3140" s="6"/>
    </row>
    <row r="3141" spans="1:1" x14ac:dyDescent="0.3">
      <c r="A3141" s="6"/>
    </row>
    <row r="3142" spans="1:1" x14ac:dyDescent="0.3">
      <c r="A3142" s="6"/>
    </row>
    <row r="3143" spans="1:1" x14ac:dyDescent="0.3">
      <c r="A3143" s="6"/>
    </row>
    <row r="3144" spans="1:1" x14ac:dyDescent="0.3">
      <c r="A3144" s="6"/>
    </row>
    <row r="3145" spans="1:1" x14ac:dyDescent="0.3">
      <c r="A3145" s="6"/>
    </row>
    <row r="3146" spans="1:1" x14ac:dyDescent="0.3">
      <c r="A3146" s="6"/>
    </row>
    <row r="3147" spans="1:1" x14ac:dyDescent="0.3">
      <c r="A3147" s="6"/>
    </row>
    <row r="3148" spans="1:1" x14ac:dyDescent="0.3">
      <c r="A3148" s="6"/>
    </row>
    <row r="3149" spans="1:1" x14ac:dyDescent="0.3">
      <c r="A3149" s="6"/>
    </row>
    <row r="3150" spans="1:1" x14ac:dyDescent="0.3">
      <c r="A3150" s="6"/>
    </row>
    <row r="3151" spans="1:1" x14ac:dyDescent="0.3">
      <c r="A3151" s="6"/>
    </row>
    <row r="3152" spans="1:1" x14ac:dyDescent="0.3">
      <c r="A3152" s="6"/>
    </row>
    <row r="3153" spans="1:1" x14ac:dyDescent="0.3">
      <c r="A3153" s="6"/>
    </row>
    <row r="3154" spans="1:1" x14ac:dyDescent="0.3">
      <c r="A3154" s="6"/>
    </row>
    <row r="3155" spans="1:1" x14ac:dyDescent="0.3">
      <c r="A3155" s="6"/>
    </row>
    <row r="3156" spans="1:1" x14ac:dyDescent="0.3">
      <c r="A3156" s="6"/>
    </row>
    <row r="3157" spans="1:1" x14ac:dyDescent="0.3">
      <c r="A3157" s="6"/>
    </row>
    <row r="3158" spans="1:1" x14ac:dyDescent="0.3">
      <c r="A3158" s="6"/>
    </row>
    <row r="3159" spans="1:1" x14ac:dyDescent="0.3">
      <c r="A3159" s="6"/>
    </row>
    <row r="3160" spans="1:1" x14ac:dyDescent="0.3">
      <c r="A3160" s="6"/>
    </row>
    <row r="3161" spans="1:1" x14ac:dyDescent="0.3">
      <c r="A3161" s="6"/>
    </row>
    <row r="3162" spans="1:1" x14ac:dyDescent="0.3">
      <c r="A3162" s="6"/>
    </row>
    <row r="3163" spans="1:1" x14ac:dyDescent="0.3">
      <c r="A3163" s="6"/>
    </row>
    <row r="3164" spans="1:1" x14ac:dyDescent="0.3">
      <c r="A3164" s="6"/>
    </row>
    <row r="3165" spans="1:1" x14ac:dyDescent="0.3">
      <c r="A3165" s="6"/>
    </row>
    <row r="3166" spans="1:1" x14ac:dyDescent="0.3">
      <c r="A3166" s="6"/>
    </row>
    <row r="3167" spans="1:1" x14ac:dyDescent="0.3">
      <c r="A3167" s="6"/>
    </row>
    <row r="3168" spans="1:1" x14ac:dyDescent="0.3">
      <c r="A3168" s="6"/>
    </row>
    <row r="3169" spans="1:1" x14ac:dyDescent="0.3">
      <c r="A3169" s="6"/>
    </row>
    <row r="3170" spans="1:1" x14ac:dyDescent="0.3">
      <c r="A3170" s="6"/>
    </row>
    <row r="3171" spans="1:1" x14ac:dyDescent="0.3">
      <c r="A3171" s="6"/>
    </row>
    <row r="3172" spans="1:1" x14ac:dyDescent="0.3">
      <c r="A3172" s="6"/>
    </row>
    <row r="3173" spans="1:1" x14ac:dyDescent="0.3">
      <c r="A3173" s="6"/>
    </row>
    <row r="3174" spans="1:1" x14ac:dyDescent="0.3">
      <c r="A3174" s="6"/>
    </row>
    <row r="3175" spans="1:1" x14ac:dyDescent="0.3">
      <c r="A3175" s="6"/>
    </row>
    <row r="3176" spans="1:1" x14ac:dyDescent="0.3">
      <c r="A3176" s="6"/>
    </row>
    <row r="3177" spans="1:1" x14ac:dyDescent="0.3">
      <c r="A3177" s="6"/>
    </row>
    <row r="3178" spans="1:1" x14ac:dyDescent="0.3">
      <c r="A3178" s="6"/>
    </row>
    <row r="3179" spans="1:1" x14ac:dyDescent="0.3">
      <c r="A3179" s="6"/>
    </row>
    <row r="3180" spans="1:1" x14ac:dyDescent="0.3">
      <c r="A3180" s="6"/>
    </row>
    <row r="3181" spans="1:1" x14ac:dyDescent="0.3">
      <c r="A3181" s="6"/>
    </row>
    <row r="3182" spans="1:1" x14ac:dyDescent="0.3">
      <c r="A3182" s="6"/>
    </row>
    <row r="3183" spans="1:1" x14ac:dyDescent="0.3">
      <c r="A3183" s="6"/>
    </row>
    <row r="3184" spans="1:1" x14ac:dyDescent="0.3">
      <c r="A3184" s="6"/>
    </row>
    <row r="3185" spans="1:1" x14ac:dyDescent="0.3">
      <c r="A3185" s="6"/>
    </row>
    <row r="3186" spans="1:1" x14ac:dyDescent="0.3">
      <c r="A3186" s="6"/>
    </row>
    <row r="3187" spans="1:1" x14ac:dyDescent="0.3">
      <c r="A3187" s="6"/>
    </row>
    <row r="3188" spans="1:1" x14ac:dyDescent="0.3">
      <c r="A3188" s="6"/>
    </row>
    <row r="3189" spans="1:1" x14ac:dyDescent="0.3">
      <c r="A3189" s="6"/>
    </row>
    <row r="3190" spans="1:1" x14ac:dyDescent="0.3">
      <c r="A3190" s="6"/>
    </row>
    <row r="3191" spans="1:1" x14ac:dyDescent="0.3">
      <c r="A3191" s="6"/>
    </row>
    <row r="3192" spans="1:1" x14ac:dyDescent="0.3">
      <c r="A3192" s="6"/>
    </row>
    <row r="3193" spans="1:1" x14ac:dyDescent="0.3">
      <c r="A3193" s="6"/>
    </row>
    <row r="3194" spans="1:1" x14ac:dyDescent="0.3">
      <c r="A3194" s="6"/>
    </row>
    <row r="3195" spans="1:1" x14ac:dyDescent="0.3">
      <c r="A3195" s="6"/>
    </row>
    <row r="3196" spans="1:1" x14ac:dyDescent="0.3">
      <c r="A3196" s="6"/>
    </row>
    <row r="3197" spans="1:1" x14ac:dyDescent="0.3">
      <c r="A3197" s="6"/>
    </row>
    <row r="3198" spans="1:1" x14ac:dyDescent="0.3">
      <c r="A3198" s="6"/>
    </row>
    <row r="3199" spans="1:1" x14ac:dyDescent="0.3">
      <c r="A3199" s="6"/>
    </row>
    <row r="3200" spans="1:1" x14ac:dyDescent="0.3">
      <c r="A3200" s="6"/>
    </row>
    <row r="3201" spans="1:1" x14ac:dyDescent="0.3">
      <c r="A3201" s="6"/>
    </row>
    <row r="3202" spans="1:1" x14ac:dyDescent="0.3">
      <c r="A3202" s="6"/>
    </row>
    <row r="3203" spans="1:1" x14ac:dyDescent="0.3">
      <c r="A3203" s="6"/>
    </row>
    <row r="3204" spans="1:1" x14ac:dyDescent="0.3">
      <c r="A3204" s="6"/>
    </row>
    <row r="3205" spans="1:1" x14ac:dyDescent="0.3">
      <c r="A3205" s="6"/>
    </row>
    <row r="3206" spans="1:1" x14ac:dyDescent="0.3">
      <c r="A3206" s="6"/>
    </row>
    <row r="3207" spans="1:1" x14ac:dyDescent="0.3">
      <c r="A3207" s="6"/>
    </row>
    <row r="3208" spans="1:1" x14ac:dyDescent="0.3">
      <c r="A3208" s="6"/>
    </row>
    <row r="3209" spans="1:1" x14ac:dyDescent="0.3">
      <c r="A3209" s="6"/>
    </row>
    <row r="3210" spans="1:1" x14ac:dyDescent="0.3">
      <c r="A3210" s="6"/>
    </row>
    <row r="3211" spans="1:1" x14ac:dyDescent="0.3">
      <c r="A3211" s="6"/>
    </row>
    <row r="3212" spans="1:1" x14ac:dyDescent="0.3">
      <c r="A3212" s="6"/>
    </row>
    <row r="3213" spans="1:1" x14ac:dyDescent="0.3">
      <c r="A3213" s="6"/>
    </row>
    <row r="3214" spans="1:1" x14ac:dyDescent="0.3">
      <c r="A3214" s="6"/>
    </row>
    <row r="3215" spans="1:1" x14ac:dyDescent="0.3">
      <c r="A3215" s="6"/>
    </row>
    <row r="3216" spans="1:1" x14ac:dyDescent="0.3">
      <c r="A3216" s="6"/>
    </row>
    <row r="3217" spans="1:1" x14ac:dyDescent="0.3">
      <c r="A3217" s="6"/>
    </row>
    <row r="3218" spans="1:1" x14ac:dyDescent="0.3">
      <c r="A3218" s="6"/>
    </row>
    <row r="3219" spans="1:1" x14ac:dyDescent="0.3">
      <c r="A3219" s="6"/>
    </row>
    <row r="3220" spans="1:1" x14ac:dyDescent="0.3">
      <c r="A3220" s="6"/>
    </row>
    <row r="3221" spans="1:1" x14ac:dyDescent="0.3">
      <c r="A3221" s="6"/>
    </row>
    <row r="3222" spans="1:1" x14ac:dyDescent="0.3">
      <c r="A3222" s="6"/>
    </row>
    <row r="3223" spans="1:1" x14ac:dyDescent="0.3">
      <c r="A3223" s="6"/>
    </row>
    <row r="3224" spans="1:1" x14ac:dyDescent="0.3">
      <c r="A3224" s="6"/>
    </row>
    <row r="3225" spans="1:1" x14ac:dyDescent="0.3">
      <c r="A3225" s="6"/>
    </row>
    <row r="3226" spans="1:1" x14ac:dyDescent="0.3">
      <c r="A3226" s="6"/>
    </row>
    <row r="3227" spans="1:1" x14ac:dyDescent="0.3">
      <c r="A3227" s="6"/>
    </row>
    <row r="3228" spans="1:1" x14ac:dyDescent="0.3">
      <c r="A3228" s="6"/>
    </row>
    <row r="3229" spans="1:1" x14ac:dyDescent="0.3">
      <c r="A3229" s="6"/>
    </row>
    <row r="3230" spans="1:1" x14ac:dyDescent="0.3">
      <c r="A3230" s="6"/>
    </row>
    <row r="3231" spans="1:1" x14ac:dyDescent="0.3">
      <c r="A3231" s="6"/>
    </row>
    <row r="3232" spans="1:1" x14ac:dyDescent="0.3">
      <c r="A3232" s="6"/>
    </row>
    <row r="3233" spans="1:1" x14ac:dyDescent="0.3">
      <c r="A3233" s="6"/>
    </row>
    <row r="3234" spans="1:1" x14ac:dyDescent="0.3">
      <c r="A3234" s="6"/>
    </row>
    <row r="3235" spans="1:1" x14ac:dyDescent="0.3">
      <c r="A3235" s="6"/>
    </row>
    <row r="3236" spans="1:1" x14ac:dyDescent="0.3">
      <c r="A3236" s="6"/>
    </row>
    <row r="3237" spans="1:1" x14ac:dyDescent="0.3">
      <c r="A3237" s="6"/>
    </row>
    <row r="3238" spans="1:1" x14ac:dyDescent="0.3">
      <c r="A3238" s="6"/>
    </row>
    <row r="3239" spans="1:1" x14ac:dyDescent="0.3">
      <c r="A3239" s="6"/>
    </row>
    <row r="3240" spans="1:1" x14ac:dyDescent="0.3">
      <c r="A3240" s="6"/>
    </row>
    <row r="3241" spans="1:1" x14ac:dyDescent="0.3">
      <c r="A3241" s="6"/>
    </row>
    <row r="3242" spans="1:1" x14ac:dyDescent="0.3">
      <c r="A3242" s="6"/>
    </row>
    <row r="3243" spans="1:1" x14ac:dyDescent="0.3">
      <c r="A3243" s="6"/>
    </row>
    <row r="3244" spans="1:1" x14ac:dyDescent="0.3">
      <c r="A3244" s="6"/>
    </row>
    <row r="3245" spans="1:1" x14ac:dyDescent="0.3">
      <c r="A3245" s="6"/>
    </row>
    <row r="3246" spans="1:1" x14ac:dyDescent="0.3">
      <c r="A3246" s="6"/>
    </row>
    <row r="3247" spans="1:1" x14ac:dyDescent="0.3">
      <c r="A3247" s="6"/>
    </row>
    <row r="3248" spans="1:1" x14ac:dyDescent="0.3">
      <c r="A3248" s="6"/>
    </row>
    <row r="3249" spans="1:1" x14ac:dyDescent="0.3">
      <c r="A3249" s="6"/>
    </row>
    <row r="3250" spans="1:1" x14ac:dyDescent="0.3">
      <c r="A3250" s="6"/>
    </row>
    <row r="3251" spans="1:1" x14ac:dyDescent="0.3">
      <c r="A3251" s="6"/>
    </row>
    <row r="3252" spans="1:1" x14ac:dyDescent="0.3">
      <c r="A3252" s="6"/>
    </row>
    <row r="3253" spans="1:1" x14ac:dyDescent="0.3">
      <c r="A3253" s="6"/>
    </row>
    <row r="3254" spans="1:1" x14ac:dyDescent="0.3">
      <c r="A3254" s="6"/>
    </row>
    <row r="3255" spans="1:1" x14ac:dyDescent="0.3">
      <c r="A3255" s="6"/>
    </row>
    <row r="3256" spans="1:1" x14ac:dyDescent="0.3">
      <c r="A3256" s="6"/>
    </row>
    <row r="3257" spans="1:1" x14ac:dyDescent="0.3">
      <c r="A3257" s="6"/>
    </row>
    <row r="3258" spans="1:1" x14ac:dyDescent="0.3">
      <c r="A3258" s="6"/>
    </row>
    <row r="3259" spans="1:1" x14ac:dyDescent="0.3">
      <c r="A3259" s="6"/>
    </row>
    <row r="3260" spans="1:1" x14ac:dyDescent="0.3">
      <c r="A3260" s="6"/>
    </row>
    <row r="3261" spans="1:1" x14ac:dyDescent="0.3">
      <c r="A3261" s="6"/>
    </row>
    <row r="3262" spans="1:1" x14ac:dyDescent="0.3">
      <c r="A3262" s="6"/>
    </row>
    <row r="3263" spans="1:1" x14ac:dyDescent="0.3">
      <c r="A3263" s="6"/>
    </row>
    <row r="3264" spans="1:1" x14ac:dyDescent="0.3">
      <c r="A3264" s="6"/>
    </row>
    <row r="3265" spans="1:1" x14ac:dyDescent="0.3">
      <c r="A3265" s="6"/>
    </row>
    <row r="3266" spans="1:1" x14ac:dyDescent="0.3">
      <c r="A3266" s="6"/>
    </row>
    <row r="3267" spans="1:1" x14ac:dyDescent="0.3">
      <c r="A3267" s="6"/>
    </row>
    <row r="3268" spans="1:1" x14ac:dyDescent="0.3">
      <c r="A3268" s="6"/>
    </row>
    <row r="3269" spans="1:1" x14ac:dyDescent="0.3">
      <c r="A3269" s="6"/>
    </row>
    <row r="3270" spans="1:1" x14ac:dyDescent="0.3">
      <c r="A3270" s="6"/>
    </row>
    <row r="3271" spans="1:1" x14ac:dyDescent="0.3">
      <c r="A3271" s="6"/>
    </row>
    <row r="3272" spans="1:1" x14ac:dyDescent="0.3">
      <c r="A3272" s="6"/>
    </row>
    <row r="3273" spans="1:1" x14ac:dyDescent="0.3">
      <c r="A3273" s="6"/>
    </row>
    <row r="3274" spans="1:1" x14ac:dyDescent="0.3">
      <c r="A3274" s="6"/>
    </row>
    <row r="3275" spans="1:1" x14ac:dyDescent="0.3">
      <c r="A3275" s="6"/>
    </row>
    <row r="3276" spans="1:1" x14ac:dyDescent="0.3">
      <c r="A3276" s="6"/>
    </row>
    <row r="3277" spans="1:1" x14ac:dyDescent="0.3">
      <c r="A3277" s="6"/>
    </row>
    <row r="3278" spans="1:1" x14ac:dyDescent="0.3">
      <c r="A3278" s="6"/>
    </row>
    <row r="3279" spans="1:1" x14ac:dyDescent="0.3">
      <c r="A3279" s="6"/>
    </row>
    <row r="3280" spans="1:1" x14ac:dyDescent="0.3">
      <c r="A3280" s="6"/>
    </row>
    <row r="3281" spans="1:1" x14ac:dyDescent="0.3">
      <c r="A3281" s="6"/>
    </row>
    <row r="3282" spans="1:1" x14ac:dyDescent="0.3">
      <c r="A3282" s="6"/>
    </row>
    <row r="3283" spans="1:1" x14ac:dyDescent="0.3">
      <c r="A3283" s="6"/>
    </row>
    <row r="3284" spans="1:1" x14ac:dyDescent="0.3">
      <c r="A3284" s="6"/>
    </row>
    <row r="3285" spans="1:1" x14ac:dyDescent="0.3">
      <c r="A3285" s="6"/>
    </row>
    <row r="3286" spans="1:1" x14ac:dyDescent="0.3">
      <c r="A3286" s="6"/>
    </row>
    <row r="3287" spans="1:1" x14ac:dyDescent="0.3">
      <c r="A3287" s="6"/>
    </row>
    <row r="3288" spans="1:1" x14ac:dyDescent="0.3">
      <c r="A3288" s="6"/>
    </row>
    <row r="3289" spans="1:1" x14ac:dyDescent="0.3">
      <c r="A3289" s="6"/>
    </row>
    <row r="3290" spans="1:1" x14ac:dyDescent="0.3">
      <c r="A3290" s="6"/>
    </row>
    <row r="3291" spans="1:1" x14ac:dyDescent="0.3">
      <c r="A3291" s="6"/>
    </row>
    <row r="3292" spans="1:1" x14ac:dyDescent="0.3">
      <c r="A3292" s="6"/>
    </row>
    <row r="3293" spans="1:1" x14ac:dyDescent="0.3">
      <c r="A3293" s="6"/>
    </row>
    <row r="3294" spans="1:1" x14ac:dyDescent="0.3">
      <c r="A3294" s="6"/>
    </row>
    <row r="3295" spans="1:1" x14ac:dyDescent="0.3">
      <c r="A3295" s="6"/>
    </row>
    <row r="3296" spans="1:1" x14ac:dyDescent="0.3">
      <c r="A3296" s="6"/>
    </row>
    <row r="3297" spans="1:1" x14ac:dyDescent="0.3">
      <c r="A3297" s="6"/>
    </row>
    <row r="3298" spans="1:1" x14ac:dyDescent="0.3">
      <c r="A3298" s="6"/>
    </row>
    <row r="3299" spans="1:1" x14ac:dyDescent="0.3">
      <c r="A3299" s="6"/>
    </row>
    <row r="3300" spans="1:1" x14ac:dyDescent="0.3">
      <c r="A3300" s="6"/>
    </row>
    <row r="3301" spans="1:1" x14ac:dyDescent="0.3">
      <c r="A3301" s="6"/>
    </row>
    <row r="3302" spans="1:1" x14ac:dyDescent="0.3">
      <c r="A3302" s="6"/>
    </row>
    <row r="3303" spans="1:1" x14ac:dyDescent="0.3">
      <c r="A3303" s="6"/>
    </row>
    <row r="3304" spans="1:1" x14ac:dyDescent="0.3">
      <c r="A3304" s="6"/>
    </row>
    <row r="3305" spans="1:1" x14ac:dyDescent="0.3">
      <c r="A3305" s="6"/>
    </row>
    <row r="3306" spans="1:1" x14ac:dyDescent="0.3">
      <c r="A3306" s="6"/>
    </row>
    <row r="3307" spans="1:1" x14ac:dyDescent="0.3">
      <c r="A3307" s="6"/>
    </row>
    <row r="3308" spans="1:1" x14ac:dyDescent="0.3">
      <c r="A3308" s="6"/>
    </row>
    <row r="3309" spans="1:1" x14ac:dyDescent="0.3">
      <c r="A3309" s="6"/>
    </row>
    <row r="3310" spans="1:1" x14ac:dyDescent="0.3">
      <c r="A3310" s="6"/>
    </row>
    <row r="3311" spans="1:1" x14ac:dyDescent="0.3">
      <c r="A3311" s="6"/>
    </row>
    <row r="3312" spans="1:1" x14ac:dyDescent="0.3">
      <c r="A3312" s="6"/>
    </row>
    <row r="3313" spans="1:1" x14ac:dyDescent="0.3">
      <c r="A3313" s="6"/>
    </row>
    <row r="3314" spans="1:1" x14ac:dyDescent="0.3">
      <c r="A3314" s="6"/>
    </row>
    <row r="3315" spans="1:1" x14ac:dyDescent="0.3">
      <c r="A3315" s="6"/>
    </row>
    <row r="3316" spans="1:1" x14ac:dyDescent="0.3">
      <c r="A3316" s="6"/>
    </row>
    <row r="3317" spans="1:1" x14ac:dyDescent="0.3">
      <c r="A3317" s="6"/>
    </row>
    <row r="3318" spans="1:1" x14ac:dyDescent="0.3">
      <c r="A3318" s="6"/>
    </row>
    <row r="3319" spans="1:1" x14ac:dyDescent="0.3">
      <c r="A3319" s="6"/>
    </row>
    <row r="3320" spans="1:1" x14ac:dyDescent="0.3">
      <c r="A3320" s="6"/>
    </row>
    <row r="3321" spans="1:1" x14ac:dyDescent="0.3">
      <c r="A3321" s="6"/>
    </row>
    <row r="3322" spans="1:1" x14ac:dyDescent="0.3">
      <c r="A3322" s="6"/>
    </row>
    <row r="3323" spans="1:1" x14ac:dyDescent="0.3">
      <c r="A3323" s="6"/>
    </row>
    <row r="3324" spans="1:1" x14ac:dyDescent="0.3">
      <c r="A3324" s="6"/>
    </row>
    <row r="3325" spans="1:1" x14ac:dyDescent="0.3">
      <c r="A3325" s="6"/>
    </row>
    <row r="3326" spans="1:1" x14ac:dyDescent="0.3">
      <c r="A3326" s="6"/>
    </row>
    <row r="3327" spans="1:1" x14ac:dyDescent="0.3">
      <c r="A3327" s="6"/>
    </row>
    <row r="3328" spans="1:1" x14ac:dyDescent="0.3">
      <c r="A3328" s="6"/>
    </row>
    <row r="3329" spans="1:1" x14ac:dyDescent="0.3">
      <c r="A3329" s="6"/>
    </row>
    <row r="3330" spans="1:1" x14ac:dyDescent="0.3">
      <c r="A3330" s="6"/>
    </row>
    <row r="3331" spans="1:1" x14ac:dyDescent="0.3">
      <c r="A3331" s="6"/>
    </row>
    <row r="3332" spans="1:1" x14ac:dyDescent="0.3">
      <c r="A3332" s="6"/>
    </row>
    <row r="3333" spans="1:1" x14ac:dyDescent="0.3">
      <c r="A3333" s="6"/>
    </row>
    <row r="3334" spans="1:1" x14ac:dyDescent="0.3">
      <c r="A3334" s="6"/>
    </row>
    <row r="3335" spans="1:1" x14ac:dyDescent="0.3">
      <c r="A3335" s="6"/>
    </row>
    <row r="3336" spans="1:1" x14ac:dyDescent="0.3">
      <c r="A3336" s="6"/>
    </row>
    <row r="3337" spans="1:1" x14ac:dyDescent="0.3">
      <c r="A3337" s="6"/>
    </row>
    <row r="3338" spans="1:1" x14ac:dyDescent="0.3">
      <c r="A3338" s="6"/>
    </row>
    <row r="3339" spans="1:1" x14ac:dyDescent="0.3">
      <c r="A3339" s="6"/>
    </row>
    <row r="3340" spans="1:1" x14ac:dyDescent="0.3">
      <c r="A3340" s="6"/>
    </row>
    <row r="3341" spans="1:1" x14ac:dyDescent="0.3">
      <c r="A3341" s="6"/>
    </row>
    <row r="3342" spans="1:1" x14ac:dyDescent="0.3">
      <c r="A3342" s="6"/>
    </row>
    <row r="3343" spans="1:1" x14ac:dyDescent="0.3">
      <c r="A3343" s="6"/>
    </row>
    <row r="3344" spans="1:1" x14ac:dyDescent="0.3">
      <c r="A3344" s="6"/>
    </row>
    <row r="3345" spans="1:1" x14ac:dyDescent="0.3">
      <c r="A3345" s="6"/>
    </row>
    <row r="3346" spans="1:1" x14ac:dyDescent="0.3">
      <c r="A3346" s="6"/>
    </row>
    <row r="3347" spans="1:1" x14ac:dyDescent="0.3">
      <c r="A3347" s="6"/>
    </row>
    <row r="3348" spans="1:1" x14ac:dyDescent="0.3">
      <c r="A3348" s="6"/>
    </row>
    <row r="3349" spans="1:1" x14ac:dyDescent="0.3">
      <c r="A3349" s="6"/>
    </row>
    <row r="3350" spans="1:1" x14ac:dyDescent="0.3">
      <c r="A3350" s="6"/>
    </row>
    <row r="3351" spans="1:1" x14ac:dyDescent="0.3">
      <c r="A3351" s="6"/>
    </row>
    <row r="3352" spans="1:1" x14ac:dyDescent="0.3">
      <c r="A3352" s="6"/>
    </row>
    <row r="3353" spans="1:1" x14ac:dyDescent="0.3">
      <c r="A3353" s="6"/>
    </row>
    <row r="3354" spans="1:1" x14ac:dyDescent="0.3">
      <c r="A3354" s="6"/>
    </row>
    <row r="3355" spans="1:1" x14ac:dyDescent="0.3">
      <c r="A3355" s="6"/>
    </row>
    <row r="3356" spans="1:1" x14ac:dyDescent="0.3">
      <c r="A3356" s="6"/>
    </row>
    <row r="3357" spans="1:1" x14ac:dyDescent="0.3">
      <c r="A3357" s="6"/>
    </row>
    <row r="3358" spans="1:1" x14ac:dyDescent="0.3">
      <c r="A3358" s="6"/>
    </row>
    <row r="3359" spans="1:1" x14ac:dyDescent="0.3">
      <c r="A3359" s="6"/>
    </row>
    <row r="3360" spans="1:1" x14ac:dyDescent="0.3">
      <c r="A3360" s="6"/>
    </row>
    <row r="3361" spans="1:1" x14ac:dyDescent="0.3">
      <c r="A3361" s="6"/>
    </row>
    <row r="3362" spans="1:1" x14ac:dyDescent="0.3">
      <c r="A3362" s="6"/>
    </row>
    <row r="3363" spans="1:1" x14ac:dyDescent="0.3">
      <c r="A3363" s="6"/>
    </row>
    <row r="3364" spans="1:1" x14ac:dyDescent="0.3">
      <c r="A3364" s="6"/>
    </row>
    <row r="3365" spans="1:1" x14ac:dyDescent="0.3">
      <c r="A3365" s="6"/>
    </row>
    <row r="3366" spans="1:1" x14ac:dyDescent="0.3">
      <c r="A3366" s="6"/>
    </row>
    <row r="3367" spans="1:1" x14ac:dyDescent="0.3">
      <c r="A3367" s="6"/>
    </row>
    <row r="3368" spans="1:1" x14ac:dyDescent="0.3">
      <c r="A3368" s="6"/>
    </row>
    <row r="3369" spans="1:1" x14ac:dyDescent="0.3">
      <c r="A3369" s="6"/>
    </row>
    <row r="3370" spans="1:1" x14ac:dyDescent="0.3">
      <c r="A3370" s="6"/>
    </row>
    <row r="3371" spans="1:1" x14ac:dyDescent="0.3">
      <c r="A3371" s="6"/>
    </row>
    <row r="3372" spans="1:1" x14ac:dyDescent="0.3">
      <c r="A3372" s="6"/>
    </row>
    <row r="3373" spans="1:1" x14ac:dyDescent="0.3">
      <c r="A3373" s="6"/>
    </row>
    <row r="3374" spans="1:1" x14ac:dyDescent="0.3">
      <c r="A3374" s="6"/>
    </row>
    <row r="3375" spans="1:1" x14ac:dyDescent="0.3">
      <c r="A3375" s="6"/>
    </row>
    <row r="3376" spans="1:1" x14ac:dyDescent="0.3">
      <c r="A3376" s="6"/>
    </row>
    <row r="3377" spans="1:1" x14ac:dyDescent="0.3">
      <c r="A3377" s="6"/>
    </row>
    <row r="3378" spans="1:1" x14ac:dyDescent="0.3">
      <c r="A3378" s="6"/>
    </row>
    <row r="3379" spans="1:1" x14ac:dyDescent="0.3">
      <c r="A3379" s="6"/>
    </row>
    <row r="3380" spans="1:1" x14ac:dyDescent="0.3">
      <c r="A3380" s="6"/>
    </row>
    <row r="3381" spans="1:1" x14ac:dyDescent="0.3">
      <c r="A3381" s="6"/>
    </row>
    <row r="3382" spans="1:1" x14ac:dyDescent="0.3">
      <c r="A3382" s="6"/>
    </row>
    <row r="3383" spans="1:1" x14ac:dyDescent="0.3">
      <c r="A3383" s="6"/>
    </row>
    <row r="3384" spans="1:1" x14ac:dyDescent="0.3">
      <c r="A3384" s="6"/>
    </row>
    <row r="3385" spans="1:1" x14ac:dyDescent="0.3">
      <c r="A3385" s="6"/>
    </row>
    <row r="3386" spans="1:1" x14ac:dyDescent="0.3">
      <c r="A3386" s="6"/>
    </row>
    <row r="3387" spans="1:1" x14ac:dyDescent="0.3">
      <c r="A3387" s="6"/>
    </row>
    <row r="3388" spans="1:1" x14ac:dyDescent="0.3">
      <c r="A3388" s="6"/>
    </row>
    <row r="3389" spans="1:1" x14ac:dyDescent="0.3">
      <c r="A3389" s="6"/>
    </row>
    <row r="3390" spans="1:1" x14ac:dyDescent="0.3">
      <c r="A3390" s="6"/>
    </row>
    <row r="3391" spans="1:1" x14ac:dyDescent="0.3">
      <c r="A3391" s="6"/>
    </row>
    <row r="3392" spans="1:1" x14ac:dyDescent="0.3">
      <c r="A3392" s="6"/>
    </row>
    <row r="3393" spans="1:1" x14ac:dyDescent="0.3">
      <c r="A3393" s="6"/>
    </row>
    <row r="3394" spans="1:1" x14ac:dyDescent="0.3">
      <c r="A3394" s="6"/>
    </row>
    <row r="3395" spans="1:1" x14ac:dyDescent="0.3">
      <c r="A3395" s="6"/>
    </row>
    <row r="3396" spans="1:1" x14ac:dyDescent="0.3">
      <c r="A3396" s="6"/>
    </row>
    <row r="3397" spans="1:1" x14ac:dyDescent="0.3">
      <c r="A3397" s="6"/>
    </row>
    <row r="3398" spans="1:1" x14ac:dyDescent="0.3">
      <c r="A3398" s="6"/>
    </row>
    <row r="3399" spans="1:1" x14ac:dyDescent="0.3">
      <c r="A3399" s="6"/>
    </row>
    <row r="3400" spans="1:1" x14ac:dyDescent="0.3">
      <c r="A3400" s="6"/>
    </row>
    <row r="3401" spans="1:1" x14ac:dyDescent="0.3">
      <c r="A3401" s="6"/>
    </row>
    <row r="3402" spans="1:1" x14ac:dyDescent="0.3">
      <c r="A3402" s="6"/>
    </row>
    <row r="3403" spans="1:1" x14ac:dyDescent="0.3">
      <c r="A3403" s="6"/>
    </row>
    <row r="3404" spans="1:1" x14ac:dyDescent="0.3">
      <c r="A3404" s="6"/>
    </row>
    <row r="3405" spans="1:1" x14ac:dyDescent="0.3">
      <c r="A3405" s="6"/>
    </row>
    <row r="3406" spans="1:1" x14ac:dyDescent="0.3">
      <c r="A3406" s="6"/>
    </row>
    <row r="3407" spans="1:1" x14ac:dyDescent="0.3">
      <c r="A3407" s="6"/>
    </row>
    <row r="3408" spans="1:1" x14ac:dyDescent="0.3">
      <c r="A3408" s="6"/>
    </row>
    <row r="3409" spans="1:1" x14ac:dyDescent="0.3">
      <c r="A3409" s="6"/>
    </row>
    <row r="3410" spans="1:1" x14ac:dyDescent="0.3">
      <c r="A3410" s="6"/>
    </row>
    <row r="3411" spans="1:1" x14ac:dyDescent="0.3">
      <c r="A3411" s="6"/>
    </row>
    <row r="3412" spans="1:1" x14ac:dyDescent="0.3">
      <c r="A3412" s="6"/>
    </row>
    <row r="3413" spans="1:1" x14ac:dyDescent="0.3">
      <c r="A3413" s="6"/>
    </row>
    <row r="3414" spans="1:1" x14ac:dyDescent="0.3">
      <c r="A3414" s="6"/>
    </row>
    <row r="3415" spans="1:1" x14ac:dyDescent="0.3">
      <c r="A3415" s="6"/>
    </row>
    <row r="3416" spans="1:1" x14ac:dyDescent="0.3">
      <c r="A3416" s="6"/>
    </row>
    <row r="3417" spans="1:1" x14ac:dyDescent="0.3">
      <c r="A3417" s="6"/>
    </row>
    <row r="3418" spans="1:1" x14ac:dyDescent="0.3">
      <c r="A3418" s="6"/>
    </row>
    <row r="3419" spans="1:1" x14ac:dyDescent="0.3">
      <c r="A3419" s="6"/>
    </row>
    <row r="3420" spans="1:1" x14ac:dyDescent="0.3">
      <c r="A3420" s="6"/>
    </row>
    <row r="3421" spans="1:1" x14ac:dyDescent="0.3">
      <c r="A3421" s="6"/>
    </row>
    <row r="3422" spans="1:1" x14ac:dyDescent="0.3">
      <c r="A3422" s="6"/>
    </row>
    <row r="3423" spans="1:1" x14ac:dyDescent="0.3">
      <c r="A3423" s="6"/>
    </row>
    <row r="3424" spans="1:1" x14ac:dyDescent="0.3">
      <c r="A3424" s="6"/>
    </row>
    <row r="3425" spans="1:1" x14ac:dyDescent="0.3">
      <c r="A3425" s="6"/>
    </row>
    <row r="3426" spans="1:1" x14ac:dyDescent="0.3">
      <c r="A3426" s="6"/>
    </row>
    <row r="3427" spans="1:1" x14ac:dyDescent="0.3">
      <c r="A3427" s="6"/>
    </row>
    <row r="3428" spans="1:1" x14ac:dyDescent="0.3">
      <c r="A3428" s="6"/>
    </row>
    <row r="3429" spans="1:1" x14ac:dyDescent="0.3">
      <c r="A3429" s="6"/>
    </row>
    <row r="3430" spans="1:1" x14ac:dyDescent="0.3">
      <c r="A3430" s="6"/>
    </row>
    <row r="3431" spans="1:1" x14ac:dyDescent="0.3">
      <c r="A3431" s="6"/>
    </row>
    <row r="3432" spans="1:1" x14ac:dyDescent="0.3">
      <c r="A3432" s="6"/>
    </row>
    <row r="3433" spans="1:1" x14ac:dyDescent="0.3">
      <c r="A3433" s="6"/>
    </row>
    <row r="3434" spans="1:1" x14ac:dyDescent="0.3">
      <c r="A3434" s="6"/>
    </row>
    <row r="3435" spans="1:1" x14ac:dyDescent="0.3">
      <c r="A3435" s="6"/>
    </row>
    <row r="3436" spans="1:1" x14ac:dyDescent="0.3">
      <c r="A3436" s="6"/>
    </row>
    <row r="3437" spans="1:1" x14ac:dyDescent="0.3">
      <c r="A3437" s="6"/>
    </row>
    <row r="3438" spans="1:1" x14ac:dyDescent="0.3">
      <c r="A3438" s="6"/>
    </row>
    <row r="3439" spans="1:1" x14ac:dyDescent="0.3">
      <c r="A3439" s="6"/>
    </row>
    <row r="3440" spans="1:1" x14ac:dyDescent="0.3">
      <c r="A3440" s="6"/>
    </row>
    <row r="3441" spans="1:1" x14ac:dyDescent="0.3">
      <c r="A3441" s="6"/>
    </row>
    <row r="3442" spans="1:1" x14ac:dyDescent="0.3">
      <c r="A3442" s="6"/>
    </row>
    <row r="3443" spans="1:1" x14ac:dyDescent="0.3">
      <c r="A3443" s="6"/>
    </row>
    <row r="3444" spans="1:1" x14ac:dyDescent="0.3">
      <c r="A3444" s="6"/>
    </row>
    <row r="3445" spans="1:1" x14ac:dyDescent="0.3">
      <c r="A3445" s="6"/>
    </row>
    <row r="3446" spans="1:1" x14ac:dyDescent="0.3">
      <c r="A3446" s="6"/>
    </row>
    <row r="3447" spans="1:1" x14ac:dyDescent="0.3">
      <c r="A3447" s="6"/>
    </row>
    <row r="3448" spans="1:1" x14ac:dyDescent="0.3">
      <c r="A3448" s="6"/>
    </row>
    <row r="3449" spans="1:1" x14ac:dyDescent="0.3">
      <c r="A3449" s="6"/>
    </row>
    <row r="3450" spans="1:1" x14ac:dyDescent="0.3">
      <c r="A3450" s="6"/>
    </row>
    <row r="3451" spans="1:1" x14ac:dyDescent="0.3">
      <c r="A3451" s="6"/>
    </row>
    <row r="3452" spans="1:1" x14ac:dyDescent="0.3">
      <c r="A3452" s="6"/>
    </row>
    <row r="3453" spans="1:1" x14ac:dyDescent="0.3">
      <c r="A3453" s="6"/>
    </row>
    <row r="3454" spans="1:1" x14ac:dyDescent="0.3">
      <c r="A3454" s="6"/>
    </row>
    <row r="3455" spans="1:1" x14ac:dyDescent="0.3">
      <c r="A3455" s="6"/>
    </row>
    <row r="3456" spans="1:1" x14ac:dyDescent="0.3">
      <c r="A3456" s="6"/>
    </row>
    <row r="3457" spans="1:1" x14ac:dyDescent="0.3">
      <c r="A3457" s="6"/>
    </row>
    <row r="3458" spans="1:1" x14ac:dyDescent="0.3">
      <c r="A3458" s="6"/>
    </row>
    <row r="3459" spans="1:1" x14ac:dyDescent="0.3">
      <c r="A3459" s="6"/>
    </row>
    <row r="3460" spans="1:1" x14ac:dyDescent="0.3">
      <c r="A3460" s="6"/>
    </row>
    <row r="3461" spans="1:1" x14ac:dyDescent="0.3">
      <c r="A3461" s="6"/>
    </row>
    <row r="3462" spans="1:1" x14ac:dyDescent="0.3">
      <c r="A3462" s="6"/>
    </row>
    <row r="3463" spans="1:1" x14ac:dyDescent="0.3">
      <c r="A3463" s="6"/>
    </row>
    <row r="3464" spans="1:1" x14ac:dyDescent="0.3">
      <c r="A3464" s="6"/>
    </row>
    <row r="3465" spans="1:1" x14ac:dyDescent="0.3">
      <c r="A3465" s="6"/>
    </row>
    <row r="3466" spans="1:1" x14ac:dyDescent="0.3">
      <c r="A3466" s="6"/>
    </row>
    <row r="3467" spans="1:1" x14ac:dyDescent="0.3">
      <c r="A3467" s="6"/>
    </row>
    <row r="3468" spans="1:1" x14ac:dyDescent="0.3">
      <c r="A3468" s="6"/>
    </row>
    <row r="3469" spans="1:1" x14ac:dyDescent="0.3">
      <c r="A3469" s="6"/>
    </row>
    <row r="3470" spans="1:1" x14ac:dyDescent="0.3">
      <c r="A3470" s="6"/>
    </row>
    <row r="3471" spans="1:1" x14ac:dyDescent="0.3">
      <c r="A3471" s="6"/>
    </row>
    <row r="3472" spans="1:1" x14ac:dyDescent="0.3">
      <c r="A3472" s="6"/>
    </row>
    <row r="3473" spans="1:1" x14ac:dyDescent="0.3">
      <c r="A3473" s="6"/>
    </row>
    <row r="3474" spans="1:1" x14ac:dyDescent="0.3">
      <c r="A3474" s="6"/>
    </row>
    <row r="3475" spans="1:1" x14ac:dyDescent="0.3">
      <c r="A3475" s="6"/>
    </row>
    <row r="3476" spans="1:1" x14ac:dyDescent="0.3">
      <c r="A3476" s="6"/>
    </row>
    <row r="3477" spans="1:1" x14ac:dyDescent="0.3">
      <c r="A3477" s="6"/>
    </row>
    <row r="3478" spans="1:1" x14ac:dyDescent="0.3">
      <c r="A3478" s="6"/>
    </row>
    <row r="3479" spans="1:1" x14ac:dyDescent="0.3">
      <c r="A3479" s="6"/>
    </row>
    <row r="3480" spans="1:1" x14ac:dyDescent="0.3">
      <c r="A3480" s="6"/>
    </row>
    <row r="3481" spans="1:1" x14ac:dyDescent="0.3">
      <c r="A3481" s="6"/>
    </row>
    <row r="3482" spans="1:1" x14ac:dyDescent="0.3">
      <c r="A3482" s="6"/>
    </row>
    <row r="3483" spans="1:1" x14ac:dyDescent="0.3">
      <c r="A3483" s="6"/>
    </row>
    <row r="3484" spans="1:1" x14ac:dyDescent="0.3">
      <c r="A3484" s="6"/>
    </row>
    <row r="3485" spans="1:1" x14ac:dyDescent="0.3">
      <c r="A3485" s="6"/>
    </row>
    <row r="3486" spans="1:1" x14ac:dyDescent="0.3">
      <c r="A3486" s="6"/>
    </row>
    <row r="3487" spans="1:1" x14ac:dyDescent="0.3">
      <c r="A3487" s="6"/>
    </row>
    <row r="3488" spans="1:1" x14ac:dyDescent="0.3">
      <c r="A3488" s="6"/>
    </row>
    <row r="3489" spans="1:1" x14ac:dyDescent="0.3">
      <c r="A3489" s="6"/>
    </row>
    <row r="3490" spans="1:1" x14ac:dyDescent="0.3">
      <c r="A3490" s="6"/>
    </row>
    <row r="3491" spans="1:1" x14ac:dyDescent="0.3">
      <c r="A3491" s="6"/>
    </row>
    <row r="3492" spans="1:1" x14ac:dyDescent="0.3">
      <c r="A3492" s="6"/>
    </row>
    <row r="3493" spans="1:1" x14ac:dyDescent="0.3">
      <c r="A3493" s="6"/>
    </row>
    <row r="3494" spans="1:1" x14ac:dyDescent="0.3">
      <c r="A3494" s="6"/>
    </row>
    <row r="3495" spans="1:1" x14ac:dyDescent="0.3">
      <c r="A3495" s="6"/>
    </row>
    <row r="3496" spans="1:1" x14ac:dyDescent="0.3">
      <c r="A3496" s="6"/>
    </row>
    <row r="3497" spans="1:1" x14ac:dyDescent="0.3">
      <c r="A3497" s="6"/>
    </row>
    <row r="3498" spans="1:1" x14ac:dyDescent="0.3">
      <c r="A3498" s="6"/>
    </row>
    <row r="3499" spans="1:1" x14ac:dyDescent="0.3">
      <c r="A3499" s="6"/>
    </row>
    <row r="3500" spans="1:1" x14ac:dyDescent="0.3">
      <c r="A3500" s="6"/>
    </row>
    <row r="3501" spans="1:1" x14ac:dyDescent="0.3">
      <c r="A3501" s="6"/>
    </row>
    <row r="3502" spans="1:1" x14ac:dyDescent="0.3">
      <c r="A3502" s="6"/>
    </row>
    <row r="3503" spans="1:1" x14ac:dyDescent="0.3">
      <c r="A3503" s="6"/>
    </row>
    <row r="3504" spans="1:1" x14ac:dyDescent="0.3">
      <c r="A3504" s="6"/>
    </row>
    <row r="3505" spans="1:1" x14ac:dyDescent="0.3">
      <c r="A3505" s="6"/>
    </row>
    <row r="3506" spans="1:1" x14ac:dyDescent="0.3">
      <c r="A3506" s="6"/>
    </row>
    <row r="3507" spans="1:1" x14ac:dyDescent="0.3">
      <c r="A3507" s="6"/>
    </row>
    <row r="3508" spans="1:1" x14ac:dyDescent="0.3">
      <c r="A3508" s="6"/>
    </row>
    <row r="3509" spans="1:1" x14ac:dyDescent="0.3">
      <c r="A3509" s="6"/>
    </row>
    <row r="3510" spans="1:1" x14ac:dyDescent="0.3">
      <c r="A3510" s="6"/>
    </row>
    <row r="3511" spans="1:1" x14ac:dyDescent="0.3">
      <c r="A3511" s="6"/>
    </row>
    <row r="3512" spans="1:1" x14ac:dyDescent="0.3">
      <c r="A3512" s="6"/>
    </row>
    <row r="3513" spans="1:1" x14ac:dyDescent="0.3">
      <c r="A3513" s="6"/>
    </row>
    <row r="3514" spans="1:1" x14ac:dyDescent="0.3">
      <c r="A3514" s="6"/>
    </row>
    <row r="3515" spans="1:1" x14ac:dyDescent="0.3">
      <c r="A3515" s="6"/>
    </row>
    <row r="3516" spans="1:1" x14ac:dyDescent="0.3">
      <c r="A3516" s="6"/>
    </row>
    <row r="3517" spans="1:1" x14ac:dyDescent="0.3">
      <c r="A3517" s="6"/>
    </row>
    <row r="3518" spans="1:1" x14ac:dyDescent="0.3">
      <c r="A3518" s="6"/>
    </row>
    <row r="3519" spans="1:1" x14ac:dyDescent="0.3">
      <c r="A3519" s="6"/>
    </row>
    <row r="3520" spans="1:1" x14ac:dyDescent="0.3">
      <c r="A3520" s="6"/>
    </row>
    <row r="3521" spans="1:1" x14ac:dyDescent="0.3">
      <c r="A3521" s="6"/>
    </row>
    <row r="3522" spans="1:1" x14ac:dyDescent="0.3">
      <c r="A3522" s="6"/>
    </row>
    <row r="3523" spans="1:1" x14ac:dyDescent="0.3">
      <c r="A3523" s="6"/>
    </row>
    <row r="3524" spans="1:1" x14ac:dyDescent="0.3">
      <c r="A3524" s="6"/>
    </row>
    <row r="3525" spans="1:1" x14ac:dyDescent="0.3">
      <c r="A3525" s="6"/>
    </row>
    <row r="3526" spans="1:1" x14ac:dyDescent="0.3">
      <c r="A3526" s="6"/>
    </row>
    <row r="3527" spans="1:1" x14ac:dyDescent="0.3">
      <c r="A3527" s="6"/>
    </row>
    <row r="3528" spans="1:1" x14ac:dyDescent="0.3">
      <c r="A3528" s="6"/>
    </row>
    <row r="3529" spans="1:1" x14ac:dyDescent="0.3">
      <c r="A3529" s="6"/>
    </row>
    <row r="3530" spans="1:1" x14ac:dyDescent="0.3">
      <c r="A3530" s="6"/>
    </row>
    <row r="3531" spans="1:1" x14ac:dyDescent="0.3">
      <c r="A3531" s="6"/>
    </row>
    <row r="3532" spans="1:1" x14ac:dyDescent="0.3">
      <c r="A3532" s="6"/>
    </row>
    <row r="3533" spans="1:1" x14ac:dyDescent="0.3">
      <c r="A3533" s="6"/>
    </row>
    <row r="3534" spans="1:1" x14ac:dyDescent="0.3">
      <c r="A3534" s="6"/>
    </row>
    <row r="3535" spans="1:1" x14ac:dyDescent="0.3">
      <c r="A3535" s="6"/>
    </row>
    <row r="3536" spans="1:1" x14ac:dyDescent="0.3">
      <c r="A3536" s="6"/>
    </row>
    <row r="3537" spans="1:1" x14ac:dyDescent="0.3">
      <c r="A3537" s="6"/>
    </row>
    <row r="3538" spans="1:1" x14ac:dyDescent="0.3">
      <c r="A3538" s="6"/>
    </row>
    <row r="3539" spans="1:1" x14ac:dyDescent="0.3">
      <c r="A3539" s="6"/>
    </row>
    <row r="3540" spans="1:1" x14ac:dyDescent="0.3">
      <c r="A3540" s="6"/>
    </row>
    <row r="3541" spans="1:1" x14ac:dyDescent="0.3">
      <c r="A3541" s="6"/>
    </row>
    <row r="3542" spans="1:1" x14ac:dyDescent="0.3">
      <c r="A3542" s="6"/>
    </row>
    <row r="3543" spans="1:1" x14ac:dyDescent="0.3">
      <c r="A3543" s="6"/>
    </row>
    <row r="3544" spans="1:1" x14ac:dyDescent="0.3">
      <c r="A3544" s="6"/>
    </row>
    <row r="3545" spans="1:1" x14ac:dyDescent="0.3">
      <c r="A3545" s="6"/>
    </row>
    <row r="3546" spans="1:1" x14ac:dyDescent="0.3">
      <c r="A3546" s="6"/>
    </row>
    <row r="3547" spans="1:1" x14ac:dyDescent="0.3">
      <c r="A3547" s="6"/>
    </row>
    <row r="3548" spans="1:1" x14ac:dyDescent="0.3">
      <c r="A3548" s="6"/>
    </row>
    <row r="3549" spans="1:1" x14ac:dyDescent="0.3">
      <c r="A3549" s="6"/>
    </row>
    <row r="3550" spans="1:1" x14ac:dyDescent="0.3">
      <c r="A3550" s="6"/>
    </row>
    <row r="3551" spans="1:1" x14ac:dyDescent="0.3">
      <c r="A3551" s="6"/>
    </row>
    <row r="3552" spans="1:1" x14ac:dyDescent="0.3">
      <c r="A3552" s="6"/>
    </row>
    <row r="3553" spans="1:1" x14ac:dyDescent="0.3">
      <c r="A3553" s="6"/>
    </row>
    <row r="3554" spans="1:1" x14ac:dyDescent="0.3">
      <c r="A3554" s="6"/>
    </row>
    <row r="3555" spans="1:1" x14ac:dyDescent="0.3">
      <c r="A3555" s="6"/>
    </row>
    <row r="3556" spans="1:1" x14ac:dyDescent="0.3">
      <c r="A3556" s="6"/>
    </row>
    <row r="3557" spans="1:1" x14ac:dyDescent="0.3">
      <c r="A3557" s="6"/>
    </row>
    <row r="3558" spans="1:1" x14ac:dyDescent="0.3">
      <c r="A3558" s="6"/>
    </row>
    <row r="3559" spans="1:1" x14ac:dyDescent="0.3">
      <c r="A3559" s="6"/>
    </row>
    <row r="3560" spans="1:1" x14ac:dyDescent="0.3">
      <c r="A3560" s="6"/>
    </row>
    <row r="3561" spans="1:1" x14ac:dyDescent="0.3">
      <c r="A3561" s="6"/>
    </row>
    <row r="3562" spans="1:1" x14ac:dyDescent="0.3">
      <c r="A3562" s="6"/>
    </row>
    <row r="3563" spans="1:1" x14ac:dyDescent="0.3">
      <c r="A3563" s="6"/>
    </row>
    <row r="3564" spans="1:1" x14ac:dyDescent="0.3">
      <c r="A3564" s="6"/>
    </row>
    <row r="3565" spans="1:1" x14ac:dyDescent="0.3">
      <c r="A3565" s="6"/>
    </row>
    <row r="3566" spans="1:1" x14ac:dyDescent="0.3">
      <c r="A3566" s="6"/>
    </row>
    <row r="3567" spans="1:1" x14ac:dyDescent="0.3">
      <c r="A3567" s="6"/>
    </row>
    <row r="3568" spans="1:1" x14ac:dyDescent="0.3">
      <c r="A3568" s="6"/>
    </row>
    <row r="3569" spans="1:1" x14ac:dyDescent="0.3">
      <c r="A3569" s="6"/>
    </row>
    <row r="3570" spans="1:1" x14ac:dyDescent="0.3">
      <c r="A3570" s="6"/>
    </row>
    <row r="3571" spans="1:1" x14ac:dyDescent="0.3">
      <c r="A3571" s="6"/>
    </row>
    <row r="3572" spans="1:1" x14ac:dyDescent="0.3">
      <c r="A3572" s="6"/>
    </row>
    <row r="3573" spans="1:1" x14ac:dyDescent="0.3">
      <c r="A3573" s="6"/>
    </row>
    <row r="3574" spans="1:1" x14ac:dyDescent="0.3">
      <c r="A3574" s="6"/>
    </row>
    <row r="3575" spans="1:1" x14ac:dyDescent="0.3">
      <c r="A3575" s="6"/>
    </row>
    <row r="3576" spans="1:1" x14ac:dyDescent="0.3">
      <c r="A3576" s="6"/>
    </row>
    <row r="3577" spans="1:1" x14ac:dyDescent="0.3">
      <c r="A3577" s="6"/>
    </row>
    <row r="3578" spans="1:1" x14ac:dyDescent="0.3">
      <c r="A3578" s="6"/>
    </row>
    <row r="3579" spans="1:1" x14ac:dyDescent="0.3">
      <c r="A3579" s="6"/>
    </row>
    <row r="3580" spans="1:1" x14ac:dyDescent="0.3">
      <c r="A3580" s="6"/>
    </row>
    <row r="3581" spans="1:1" x14ac:dyDescent="0.3">
      <c r="A3581" s="6"/>
    </row>
    <row r="3582" spans="1:1" x14ac:dyDescent="0.3">
      <c r="A3582" s="6"/>
    </row>
    <row r="3583" spans="1:1" x14ac:dyDescent="0.3">
      <c r="A3583" s="6"/>
    </row>
    <row r="3584" spans="1:1" x14ac:dyDescent="0.3">
      <c r="A3584" s="6"/>
    </row>
    <row r="3585" spans="1:1" x14ac:dyDescent="0.3">
      <c r="A3585" s="6"/>
    </row>
    <row r="3586" spans="1:1" x14ac:dyDescent="0.3">
      <c r="A3586" s="6"/>
    </row>
    <row r="3587" spans="1:1" x14ac:dyDescent="0.3">
      <c r="A3587" s="6"/>
    </row>
    <row r="3588" spans="1:1" x14ac:dyDescent="0.3">
      <c r="A3588" s="6"/>
    </row>
    <row r="3589" spans="1:1" x14ac:dyDescent="0.3">
      <c r="A3589" s="6"/>
    </row>
    <row r="3590" spans="1:1" x14ac:dyDescent="0.3">
      <c r="A3590" s="6"/>
    </row>
    <row r="3591" spans="1:1" x14ac:dyDescent="0.3">
      <c r="A3591" s="6"/>
    </row>
    <row r="3592" spans="1:1" x14ac:dyDescent="0.3">
      <c r="A3592" s="6"/>
    </row>
    <row r="3593" spans="1:1" x14ac:dyDescent="0.3">
      <c r="A3593" s="6"/>
    </row>
    <row r="3594" spans="1:1" x14ac:dyDescent="0.3">
      <c r="A3594" s="6"/>
    </row>
    <row r="3595" spans="1:1" x14ac:dyDescent="0.3">
      <c r="A3595" s="6"/>
    </row>
    <row r="3596" spans="1:1" x14ac:dyDescent="0.3">
      <c r="A3596" s="6"/>
    </row>
    <row r="3597" spans="1:1" x14ac:dyDescent="0.3">
      <c r="A3597" s="6"/>
    </row>
    <row r="3598" spans="1:1" x14ac:dyDescent="0.3">
      <c r="A3598" s="6"/>
    </row>
    <row r="3599" spans="1:1" x14ac:dyDescent="0.3">
      <c r="A3599" s="6"/>
    </row>
    <row r="3600" spans="1:1" x14ac:dyDescent="0.3">
      <c r="A3600" s="6"/>
    </row>
    <row r="3601" spans="1:1" x14ac:dyDescent="0.3">
      <c r="A3601" s="6"/>
    </row>
    <row r="3602" spans="1:1" x14ac:dyDescent="0.3">
      <c r="A3602" s="6"/>
    </row>
    <row r="3603" spans="1:1" x14ac:dyDescent="0.3">
      <c r="A3603" s="6"/>
    </row>
    <row r="3604" spans="1:1" x14ac:dyDescent="0.3">
      <c r="A3604" s="6"/>
    </row>
    <row r="3605" spans="1:1" x14ac:dyDescent="0.3">
      <c r="A3605" s="6"/>
    </row>
    <row r="3606" spans="1:1" x14ac:dyDescent="0.3">
      <c r="A3606" s="6"/>
    </row>
    <row r="3607" spans="1:1" x14ac:dyDescent="0.3">
      <c r="A3607" s="6"/>
    </row>
    <row r="3608" spans="1:1" x14ac:dyDescent="0.3">
      <c r="A3608" s="6"/>
    </row>
    <row r="3609" spans="1:1" x14ac:dyDescent="0.3">
      <c r="A3609" s="6"/>
    </row>
    <row r="3610" spans="1:1" x14ac:dyDescent="0.3">
      <c r="A3610" s="6"/>
    </row>
    <row r="3611" spans="1:1" x14ac:dyDescent="0.3">
      <c r="A3611" s="6"/>
    </row>
    <row r="3612" spans="1:1" x14ac:dyDescent="0.3">
      <c r="A3612" s="6"/>
    </row>
    <row r="3613" spans="1:1" x14ac:dyDescent="0.3">
      <c r="A3613" s="6"/>
    </row>
    <row r="3614" spans="1:1" x14ac:dyDescent="0.3">
      <c r="A3614" s="6"/>
    </row>
    <row r="3615" spans="1:1" x14ac:dyDescent="0.3">
      <c r="A3615" s="6"/>
    </row>
    <row r="3616" spans="1:1" x14ac:dyDescent="0.3">
      <c r="A3616" s="6"/>
    </row>
    <row r="3617" spans="1:1" x14ac:dyDescent="0.3">
      <c r="A3617" s="6"/>
    </row>
    <row r="3618" spans="1:1" x14ac:dyDescent="0.3">
      <c r="A3618" s="6"/>
    </row>
    <row r="3619" spans="1:1" x14ac:dyDescent="0.3">
      <c r="A3619" s="6"/>
    </row>
    <row r="3620" spans="1:1" x14ac:dyDescent="0.3">
      <c r="A3620" s="6"/>
    </row>
    <row r="3621" spans="1:1" x14ac:dyDescent="0.3">
      <c r="A3621" s="6"/>
    </row>
    <row r="3622" spans="1:1" x14ac:dyDescent="0.3">
      <c r="A3622" s="6"/>
    </row>
    <row r="3623" spans="1:1" x14ac:dyDescent="0.3">
      <c r="A3623" s="6"/>
    </row>
    <row r="3624" spans="1:1" x14ac:dyDescent="0.3">
      <c r="A3624" s="6"/>
    </row>
    <row r="3625" spans="1:1" x14ac:dyDescent="0.3">
      <c r="A3625" s="6"/>
    </row>
    <row r="3626" spans="1:1" x14ac:dyDescent="0.3">
      <c r="A3626" s="6"/>
    </row>
    <row r="3627" spans="1:1" x14ac:dyDescent="0.3">
      <c r="A3627" s="6"/>
    </row>
    <row r="3628" spans="1:1" x14ac:dyDescent="0.3">
      <c r="A3628" s="6"/>
    </row>
    <row r="3629" spans="1:1" x14ac:dyDescent="0.3">
      <c r="A3629" s="6"/>
    </row>
    <row r="3630" spans="1:1" x14ac:dyDescent="0.3">
      <c r="A3630" s="6"/>
    </row>
    <row r="3631" spans="1:1" x14ac:dyDescent="0.3">
      <c r="A3631" s="6"/>
    </row>
    <row r="3632" spans="1:1" x14ac:dyDescent="0.3">
      <c r="A3632" s="6"/>
    </row>
    <row r="3633" spans="1:1" x14ac:dyDescent="0.3">
      <c r="A3633" s="6"/>
    </row>
    <row r="3634" spans="1:1" x14ac:dyDescent="0.3">
      <c r="A3634" s="6"/>
    </row>
    <row r="3635" spans="1:1" x14ac:dyDescent="0.3">
      <c r="A3635" s="6"/>
    </row>
    <row r="3636" spans="1:1" x14ac:dyDescent="0.3">
      <c r="A3636" s="6"/>
    </row>
    <row r="3637" spans="1:1" x14ac:dyDescent="0.3">
      <c r="A3637" s="6"/>
    </row>
    <row r="3638" spans="1:1" x14ac:dyDescent="0.3">
      <c r="A3638" s="6"/>
    </row>
    <row r="3639" spans="1:1" x14ac:dyDescent="0.3">
      <c r="A3639" s="6"/>
    </row>
    <row r="3640" spans="1:1" x14ac:dyDescent="0.3">
      <c r="A3640" s="6"/>
    </row>
    <row r="3641" spans="1:1" x14ac:dyDescent="0.3">
      <c r="A3641" s="6"/>
    </row>
    <row r="3642" spans="1:1" x14ac:dyDescent="0.3">
      <c r="A3642" s="6"/>
    </row>
    <row r="3643" spans="1:1" x14ac:dyDescent="0.3">
      <c r="A3643" s="6"/>
    </row>
    <row r="3644" spans="1:1" x14ac:dyDescent="0.3">
      <c r="A3644" s="6"/>
    </row>
    <row r="3645" spans="1:1" x14ac:dyDescent="0.3">
      <c r="A3645" s="6"/>
    </row>
    <row r="3646" spans="1:1" x14ac:dyDescent="0.3">
      <c r="A3646" s="6"/>
    </row>
    <row r="3647" spans="1:1" x14ac:dyDescent="0.3">
      <c r="A3647" s="6"/>
    </row>
    <row r="3648" spans="1:1" x14ac:dyDescent="0.3">
      <c r="A3648" s="6"/>
    </row>
    <row r="3649" spans="1:1" x14ac:dyDescent="0.3">
      <c r="A3649" s="6"/>
    </row>
    <row r="3650" spans="1:1" x14ac:dyDescent="0.3">
      <c r="A3650" s="6"/>
    </row>
    <row r="3651" spans="1:1" x14ac:dyDescent="0.3">
      <c r="A3651" s="6"/>
    </row>
    <row r="3652" spans="1:1" x14ac:dyDescent="0.3">
      <c r="A3652" s="6"/>
    </row>
    <row r="3653" spans="1:1" x14ac:dyDescent="0.3">
      <c r="A3653" s="6"/>
    </row>
    <row r="3654" spans="1:1" x14ac:dyDescent="0.3">
      <c r="A3654" s="6"/>
    </row>
    <row r="3655" spans="1:1" x14ac:dyDescent="0.3">
      <c r="A3655" s="6"/>
    </row>
    <row r="3656" spans="1:1" x14ac:dyDescent="0.3">
      <c r="A3656" s="6"/>
    </row>
    <row r="3657" spans="1:1" x14ac:dyDescent="0.3">
      <c r="A3657" s="6"/>
    </row>
    <row r="3658" spans="1:1" x14ac:dyDescent="0.3">
      <c r="A3658" s="6"/>
    </row>
    <row r="3659" spans="1:1" x14ac:dyDescent="0.3">
      <c r="A3659" s="6"/>
    </row>
    <row r="3660" spans="1:1" x14ac:dyDescent="0.3">
      <c r="A3660" s="6"/>
    </row>
    <row r="3661" spans="1:1" x14ac:dyDescent="0.3">
      <c r="A3661" s="6"/>
    </row>
    <row r="3662" spans="1:1" x14ac:dyDescent="0.3">
      <c r="A3662" s="6"/>
    </row>
    <row r="3663" spans="1:1" x14ac:dyDescent="0.3">
      <c r="A3663" s="6"/>
    </row>
    <row r="3664" spans="1:1" x14ac:dyDescent="0.3">
      <c r="A3664" s="6"/>
    </row>
    <row r="3665" spans="1:1" x14ac:dyDescent="0.3">
      <c r="A3665" s="6"/>
    </row>
    <row r="3666" spans="1:1" x14ac:dyDescent="0.3">
      <c r="A3666" s="6"/>
    </row>
    <row r="3667" spans="1:1" x14ac:dyDescent="0.3">
      <c r="A3667" s="6"/>
    </row>
    <row r="3668" spans="1:1" x14ac:dyDescent="0.3">
      <c r="A3668" s="6"/>
    </row>
    <row r="3669" spans="1:1" x14ac:dyDescent="0.3">
      <c r="A3669" s="6"/>
    </row>
    <row r="3670" spans="1:1" x14ac:dyDescent="0.3">
      <c r="A3670" s="6"/>
    </row>
    <row r="3671" spans="1:1" x14ac:dyDescent="0.3">
      <c r="A3671" s="6"/>
    </row>
    <row r="3672" spans="1:1" x14ac:dyDescent="0.3">
      <c r="A3672" s="6"/>
    </row>
    <row r="3673" spans="1:1" x14ac:dyDescent="0.3">
      <c r="A3673" s="6"/>
    </row>
    <row r="3674" spans="1:1" x14ac:dyDescent="0.3">
      <c r="A3674" s="6"/>
    </row>
    <row r="3675" spans="1:1" x14ac:dyDescent="0.3">
      <c r="A3675" s="6"/>
    </row>
    <row r="3676" spans="1:1" x14ac:dyDescent="0.3">
      <c r="A3676" s="6"/>
    </row>
    <row r="3677" spans="1:1" x14ac:dyDescent="0.3">
      <c r="A3677" s="6"/>
    </row>
    <row r="3678" spans="1:1" x14ac:dyDescent="0.3">
      <c r="A3678" s="6"/>
    </row>
    <row r="3679" spans="1:1" x14ac:dyDescent="0.3">
      <c r="A3679" s="6"/>
    </row>
    <row r="3680" spans="1:1" x14ac:dyDescent="0.3">
      <c r="A3680" s="6"/>
    </row>
    <row r="3681" spans="1:1" x14ac:dyDescent="0.3">
      <c r="A3681" s="6"/>
    </row>
    <row r="3682" spans="1:1" x14ac:dyDescent="0.3">
      <c r="A3682" s="6"/>
    </row>
    <row r="3683" spans="1:1" x14ac:dyDescent="0.3">
      <c r="A3683" s="6"/>
    </row>
    <row r="3684" spans="1:1" x14ac:dyDescent="0.3">
      <c r="A3684" s="6"/>
    </row>
    <row r="3685" spans="1:1" x14ac:dyDescent="0.3">
      <c r="A3685" s="6"/>
    </row>
    <row r="3686" spans="1:1" x14ac:dyDescent="0.3">
      <c r="A3686" s="6"/>
    </row>
    <row r="3687" spans="1:1" x14ac:dyDescent="0.3">
      <c r="A3687" s="6"/>
    </row>
    <row r="3688" spans="1:1" x14ac:dyDescent="0.3">
      <c r="A3688" s="6"/>
    </row>
    <row r="3689" spans="1:1" x14ac:dyDescent="0.3">
      <c r="A3689" s="6"/>
    </row>
    <row r="3690" spans="1:1" x14ac:dyDescent="0.3">
      <c r="A3690" s="6"/>
    </row>
    <row r="3691" spans="1:1" x14ac:dyDescent="0.3">
      <c r="A3691" s="6"/>
    </row>
    <row r="3692" spans="1:1" x14ac:dyDescent="0.3">
      <c r="A3692" s="6"/>
    </row>
    <row r="3693" spans="1:1" x14ac:dyDescent="0.3">
      <c r="A3693" s="6"/>
    </row>
    <row r="3694" spans="1:1" x14ac:dyDescent="0.3">
      <c r="A3694" s="6"/>
    </row>
    <row r="3695" spans="1:1" x14ac:dyDescent="0.3">
      <c r="A3695" s="6"/>
    </row>
    <row r="3696" spans="1:1" x14ac:dyDescent="0.3">
      <c r="A3696" s="6"/>
    </row>
    <row r="3697" spans="1:1" x14ac:dyDescent="0.3">
      <c r="A3697" s="6"/>
    </row>
    <row r="3698" spans="1:1" x14ac:dyDescent="0.3">
      <c r="A3698" s="6"/>
    </row>
    <row r="3699" spans="1:1" x14ac:dyDescent="0.3">
      <c r="A3699" s="6"/>
    </row>
    <row r="3700" spans="1:1" x14ac:dyDescent="0.3">
      <c r="A3700" s="6"/>
    </row>
    <row r="3701" spans="1:1" x14ac:dyDescent="0.3">
      <c r="A3701" s="6"/>
    </row>
    <row r="3702" spans="1:1" x14ac:dyDescent="0.3">
      <c r="A3702" s="6"/>
    </row>
    <row r="3703" spans="1:1" x14ac:dyDescent="0.3">
      <c r="A3703" s="6"/>
    </row>
    <row r="3704" spans="1:1" x14ac:dyDescent="0.3">
      <c r="A3704" s="6"/>
    </row>
    <row r="3705" spans="1:1" x14ac:dyDescent="0.3">
      <c r="A3705" s="6"/>
    </row>
    <row r="3706" spans="1:1" x14ac:dyDescent="0.3">
      <c r="A3706" s="6"/>
    </row>
    <row r="3707" spans="1:1" x14ac:dyDescent="0.3">
      <c r="A3707" s="6"/>
    </row>
    <row r="3708" spans="1:1" x14ac:dyDescent="0.3">
      <c r="A3708" s="6"/>
    </row>
    <row r="3709" spans="1:1" x14ac:dyDescent="0.3">
      <c r="A3709" s="6"/>
    </row>
    <row r="3710" spans="1:1" x14ac:dyDescent="0.3">
      <c r="A3710" s="6"/>
    </row>
    <row r="3711" spans="1:1" x14ac:dyDescent="0.3">
      <c r="A3711" s="6"/>
    </row>
    <row r="3712" spans="1:1" x14ac:dyDescent="0.3">
      <c r="A3712" s="6"/>
    </row>
    <row r="3713" spans="1:1" x14ac:dyDescent="0.3">
      <c r="A3713" s="6"/>
    </row>
    <row r="3714" spans="1:1" x14ac:dyDescent="0.3">
      <c r="A3714" s="6"/>
    </row>
    <row r="3715" spans="1:1" x14ac:dyDescent="0.3">
      <c r="A3715" s="6"/>
    </row>
    <row r="3716" spans="1:1" x14ac:dyDescent="0.3">
      <c r="A3716" s="6"/>
    </row>
    <row r="3717" spans="1:1" x14ac:dyDescent="0.3">
      <c r="A3717" s="6"/>
    </row>
    <row r="3718" spans="1:1" x14ac:dyDescent="0.3">
      <c r="A3718" s="6"/>
    </row>
    <row r="3719" spans="1:1" x14ac:dyDescent="0.3">
      <c r="A3719" s="6"/>
    </row>
    <row r="3720" spans="1:1" x14ac:dyDescent="0.3">
      <c r="A3720" s="6"/>
    </row>
    <row r="3721" spans="1:1" x14ac:dyDescent="0.3">
      <c r="A3721" s="6"/>
    </row>
    <row r="3722" spans="1:1" x14ac:dyDescent="0.3">
      <c r="A3722" s="6"/>
    </row>
    <row r="3723" spans="1:1" x14ac:dyDescent="0.3">
      <c r="A3723" s="6"/>
    </row>
    <row r="3724" spans="1:1" x14ac:dyDescent="0.3">
      <c r="A3724" s="6"/>
    </row>
    <row r="3725" spans="1:1" x14ac:dyDescent="0.3">
      <c r="A3725" s="6"/>
    </row>
    <row r="3726" spans="1:1" x14ac:dyDescent="0.3">
      <c r="A3726" s="6"/>
    </row>
    <row r="3727" spans="1:1" x14ac:dyDescent="0.3">
      <c r="A3727" s="6"/>
    </row>
    <row r="3728" spans="1:1" x14ac:dyDescent="0.3">
      <c r="A3728" s="6"/>
    </row>
    <row r="3729" spans="1:1" x14ac:dyDescent="0.3">
      <c r="A3729" s="6"/>
    </row>
    <row r="3730" spans="1:1" x14ac:dyDescent="0.3">
      <c r="A3730" s="6"/>
    </row>
    <row r="3731" spans="1:1" x14ac:dyDescent="0.3">
      <c r="A3731" s="6"/>
    </row>
    <row r="3732" spans="1:1" x14ac:dyDescent="0.3">
      <c r="A3732" s="6"/>
    </row>
    <row r="3733" spans="1:1" x14ac:dyDescent="0.3">
      <c r="A3733" s="6"/>
    </row>
    <row r="3734" spans="1:1" x14ac:dyDescent="0.3">
      <c r="A3734" s="6"/>
    </row>
    <row r="3735" spans="1:1" x14ac:dyDescent="0.3">
      <c r="A3735" s="6"/>
    </row>
    <row r="3736" spans="1:1" x14ac:dyDescent="0.3">
      <c r="A3736" s="6"/>
    </row>
    <row r="3737" spans="1:1" x14ac:dyDescent="0.3">
      <c r="A3737" s="6"/>
    </row>
    <row r="3738" spans="1:1" x14ac:dyDescent="0.3">
      <c r="A3738" s="6"/>
    </row>
    <row r="3739" spans="1:1" x14ac:dyDescent="0.3">
      <c r="A3739" s="6"/>
    </row>
    <row r="3740" spans="1:1" x14ac:dyDescent="0.3">
      <c r="A3740" s="6"/>
    </row>
    <row r="3741" spans="1:1" x14ac:dyDescent="0.3">
      <c r="A3741" s="6"/>
    </row>
    <row r="3742" spans="1:1" x14ac:dyDescent="0.3">
      <c r="A3742" s="6"/>
    </row>
    <row r="3743" spans="1:1" x14ac:dyDescent="0.3">
      <c r="A3743" s="6"/>
    </row>
    <row r="3744" spans="1:1" x14ac:dyDescent="0.3">
      <c r="A3744" s="6"/>
    </row>
    <row r="3745" spans="1:1" x14ac:dyDescent="0.3">
      <c r="A3745" s="6"/>
    </row>
    <row r="3746" spans="1:1" x14ac:dyDescent="0.3">
      <c r="A3746" s="6"/>
    </row>
    <row r="3747" spans="1:1" x14ac:dyDescent="0.3">
      <c r="A3747" s="6"/>
    </row>
    <row r="3748" spans="1:1" x14ac:dyDescent="0.3">
      <c r="A3748" s="6"/>
    </row>
    <row r="3749" spans="1:1" x14ac:dyDescent="0.3">
      <c r="A3749" s="6"/>
    </row>
    <row r="3750" spans="1:1" x14ac:dyDescent="0.3">
      <c r="A3750" s="6"/>
    </row>
    <row r="3751" spans="1:1" x14ac:dyDescent="0.3">
      <c r="A3751" s="6"/>
    </row>
    <row r="3752" spans="1:1" x14ac:dyDescent="0.3">
      <c r="A3752" s="6"/>
    </row>
    <row r="3753" spans="1:1" x14ac:dyDescent="0.3">
      <c r="A3753" s="6"/>
    </row>
    <row r="3754" spans="1:1" x14ac:dyDescent="0.3">
      <c r="A3754" s="6"/>
    </row>
    <row r="3755" spans="1:1" x14ac:dyDescent="0.3">
      <c r="A3755" s="6"/>
    </row>
    <row r="3756" spans="1:1" x14ac:dyDescent="0.3">
      <c r="A3756" s="6"/>
    </row>
    <row r="3757" spans="1:1" x14ac:dyDescent="0.3">
      <c r="A3757" s="6"/>
    </row>
    <row r="3758" spans="1:1" x14ac:dyDescent="0.3">
      <c r="A3758" s="6"/>
    </row>
    <row r="3759" spans="1:1" x14ac:dyDescent="0.3">
      <c r="A3759" s="6"/>
    </row>
    <row r="3760" spans="1:1" x14ac:dyDescent="0.3">
      <c r="A3760" s="6"/>
    </row>
    <row r="3761" spans="1:1" x14ac:dyDescent="0.3">
      <c r="A3761" s="6"/>
    </row>
    <row r="3762" spans="1:1" x14ac:dyDescent="0.3">
      <c r="A3762" s="6"/>
    </row>
    <row r="3763" spans="1:1" x14ac:dyDescent="0.3">
      <c r="A3763" s="6"/>
    </row>
    <row r="3764" spans="1:1" x14ac:dyDescent="0.3">
      <c r="A3764" s="6"/>
    </row>
    <row r="3765" spans="1:1" x14ac:dyDescent="0.3">
      <c r="A3765" s="6"/>
    </row>
    <row r="3766" spans="1:1" x14ac:dyDescent="0.3">
      <c r="A3766" s="6"/>
    </row>
    <row r="3767" spans="1:1" x14ac:dyDescent="0.3">
      <c r="A3767" s="6"/>
    </row>
    <row r="3768" spans="1:1" x14ac:dyDescent="0.3">
      <c r="A3768" s="6"/>
    </row>
    <row r="3769" spans="1:1" x14ac:dyDescent="0.3">
      <c r="A3769" s="6"/>
    </row>
    <row r="3770" spans="1:1" x14ac:dyDescent="0.3">
      <c r="A3770" s="6"/>
    </row>
    <row r="3771" spans="1:1" x14ac:dyDescent="0.3">
      <c r="A3771" s="6"/>
    </row>
    <row r="3772" spans="1:1" x14ac:dyDescent="0.3">
      <c r="A3772" s="6"/>
    </row>
    <row r="3773" spans="1:1" x14ac:dyDescent="0.3">
      <c r="A3773" s="6"/>
    </row>
    <row r="3774" spans="1:1" x14ac:dyDescent="0.3">
      <c r="A3774" s="6"/>
    </row>
    <row r="3775" spans="1:1" x14ac:dyDescent="0.3">
      <c r="A3775" s="6"/>
    </row>
    <row r="3776" spans="1:1" x14ac:dyDescent="0.3">
      <c r="A3776" s="6"/>
    </row>
    <row r="3777" spans="1:1" x14ac:dyDescent="0.3">
      <c r="A3777" s="6"/>
    </row>
    <row r="3778" spans="1:1" x14ac:dyDescent="0.3">
      <c r="A3778" s="6"/>
    </row>
    <row r="3779" spans="1:1" x14ac:dyDescent="0.3">
      <c r="A3779" s="6"/>
    </row>
    <row r="3780" spans="1:1" x14ac:dyDescent="0.3">
      <c r="A3780" s="6"/>
    </row>
    <row r="3781" spans="1:1" x14ac:dyDescent="0.3">
      <c r="A3781" s="6"/>
    </row>
    <row r="3782" spans="1:1" x14ac:dyDescent="0.3">
      <c r="A3782" s="6"/>
    </row>
    <row r="3783" spans="1:1" x14ac:dyDescent="0.3">
      <c r="A3783" s="6"/>
    </row>
    <row r="3784" spans="1:1" x14ac:dyDescent="0.3">
      <c r="A3784" s="6"/>
    </row>
    <row r="3785" spans="1:1" x14ac:dyDescent="0.3">
      <c r="A3785" s="6"/>
    </row>
    <row r="3786" spans="1:1" x14ac:dyDescent="0.3">
      <c r="A3786" s="6"/>
    </row>
    <row r="3787" spans="1:1" x14ac:dyDescent="0.3">
      <c r="A3787" s="6"/>
    </row>
    <row r="3788" spans="1:1" x14ac:dyDescent="0.3">
      <c r="A3788" s="6"/>
    </row>
    <row r="3789" spans="1:1" x14ac:dyDescent="0.3">
      <c r="A3789" s="6"/>
    </row>
    <row r="3790" spans="1:1" x14ac:dyDescent="0.3">
      <c r="A3790" s="6"/>
    </row>
    <row r="3791" spans="1:1" x14ac:dyDescent="0.3">
      <c r="A3791" s="6"/>
    </row>
    <row r="3792" spans="1:1" x14ac:dyDescent="0.3">
      <c r="A3792" s="6"/>
    </row>
    <row r="3793" spans="1:1" x14ac:dyDescent="0.3">
      <c r="A3793" s="6"/>
    </row>
    <row r="3794" spans="1:1" x14ac:dyDescent="0.3">
      <c r="A3794" s="6"/>
    </row>
    <row r="3795" spans="1:1" x14ac:dyDescent="0.3">
      <c r="A3795" s="6"/>
    </row>
    <row r="3796" spans="1:1" x14ac:dyDescent="0.3">
      <c r="A3796" s="6"/>
    </row>
    <row r="3797" spans="1:1" x14ac:dyDescent="0.3">
      <c r="A3797" s="6"/>
    </row>
    <row r="3798" spans="1:1" x14ac:dyDescent="0.3">
      <c r="A3798" s="6"/>
    </row>
    <row r="3799" spans="1:1" x14ac:dyDescent="0.3">
      <c r="A3799" s="6"/>
    </row>
    <row r="3800" spans="1:1" x14ac:dyDescent="0.3">
      <c r="A3800" s="6"/>
    </row>
    <row r="3801" spans="1:1" x14ac:dyDescent="0.3">
      <c r="A3801" s="6"/>
    </row>
    <row r="3802" spans="1:1" x14ac:dyDescent="0.3">
      <c r="A3802" s="6"/>
    </row>
    <row r="3803" spans="1:1" x14ac:dyDescent="0.3">
      <c r="A3803" s="6"/>
    </row>
    <row r="3804" spans="1:1" x14ac:dyDescent="0.3">
      <c r="A3804" s="6"/>
    </row>
    <row r="3805" spans="1:1" x14ac:dyDescent="0.3">
      <c r="A3805" s="6"/>
    </row>
    <row r="3806" spans="1:1" x14ac:dyDescent="0.3">
      <c r="A3806" s="6"/>
    </row>
    <row r="3807" spans="1:1" x14ac:dyDescent="0.3">
      <c r="A3807" s="6"/>
    </row>
    <row r="3808" spans="1:1" x14ac:dyDescent="0.3">
      <c r="A3808" s="6"/>
    </row>
    <row r="3809" spans="1:1" x14ac:dyDescent="0.3">
      <c r="A3809" s="6"/>
    </row>
    <row r="3810" spans="1:1" x14ac:dyDescent="0.3">
      <c r="A3810" s="6"/>
    </row>
    <row r="3811" spans="1:1" x14ac:dyDescent="0.3">
      <c r="A3811" s="6"/>
    </row>
    <row r="3812" spans="1:1" x14ac:dyDescent="0.3">
      <c r="A3812" s="6"/>
    </row>
    <row r="3813" spans="1:1" x14ac:dyDescent="0.3">
      <c r="A3813" s="6"/>
    </row>
    <row r="3814" spans="1:1" x14ac:dyDescent="0.3">
      <c r="A3814" s="6"/>
    </row>
    <row r="3815" spans="1:1" x14ac:dyDescent="0.3">
      <c r="A3815" s="6"/>
    </row>
    <row r="3816" spans="1:1" x14ac:dyDescent="0.3">
      <c r="A3816" s="6"/>
    </row>
    <row r="3817" spans="1:1" x14ac:dyDescent="0.3">
      <c r="A3817" s="6"/>
    </row>
    <row r="3818" spans="1:1" x14ac:dyDescent="0.3">
      <c r="A3818" s="6"/>
    </row>
    <row r="3819" spans="1:1" x14ac:dyDescent="0.3">
      <c r="A3819" s="6"/>
    </row>
    <row r="3820" spans="1:1" x14ac:dyDescent="0.3">
      <c r="A3820" s="6"/>
    </row>
    <row r="3821" spans="1:1" x14ac:dyDescent="0.3">
      <c r="A3821" s="6"/>
    </row>
    <row r="3822" spans="1:1" x14ac:dyDescent="0.3">
      <c r="A3822" s="6"/>
    </row>
    <row r="3823" spans="1:1" x14ac:dyDescent="0.3">
      <c r="A3823" s="6"/>
    </row>
    <row r="3824" spans="1:1" x14ac:dyDescent="0.3">
      <c r="A3824" s="6"/>
    </row>
    <row r="3825" spans="1:1" x14ac:dyDescent="0.3">
      <c r="A3825" s="6"/>
    </row>
    <row r="3826" spans="1:1" x14ac:dyDescent="0.3">
      <c r="A3826" s="6"/>
    </row>
    <row r="3827" spans="1:1" x14ac:dyDescent="0.3">
      <c r="A3827" s="6"/>
    </row>
    <row r="3828" spans="1:1" x14ac:dyDescent="0.3">
      <c r="A3828" s="6"/>
    </row>
    <row r="3829" spans="1:1" x14ac:dyDescent="0.3">
      <c r="A3829" s="6"/>
    </row>
    <row r="3830" spans="1:1" x14ac:dyDescent="0.3">
      <c r="A3830" s="6"/>
    </row>
    <row r="3831" spans="1:1" x14ac:dyDescent="0.3">
      <c r="A3831" s="6"/>
    </row>
    <row r="3832" spans="1:1" x14ac:dyDescent="0.3">
      <c r="A3832" s="6"/>
    </row>
    <row r="3833" spans="1:1" x14ac:dyDescent="0.3">
      <c r="A3833" s="6"/>
    </row>
    <row r="3834" spans="1:1" x14ac:dyDescent="0.3">
      <c r="A3834" s="6"/>
    </row>
    <row r="3835" spans="1:1" x14ac:dyDescent="0.3">
      <c r="A3835" s="6"/>
    </row>
    <row r="3836" spans="1:1" x14ac:dyDescent="0.3">
      <c r="A3836" s="6"/>
    </row>
    <row r="3837" spans="1:1" x14ac:dyDescent="0.3">
      <c r="A3837" s="6"/>
    </row>
    <row r="3838" spans="1:1" x14ac:dyDescent="0.3">
      <c r="A3838" s="6"/>
    </row>
    <row r="3839" spans="1:1" x14ac:dyDescent="0.3">
      <c r="A3839" s="6"/>
    </row>
    <row r="3840" spans="1:1" x14ac:dyDescent="0.3">
      <c r="A3840" s="6"/>
    </row>
    <row r="3841" spans="1:1" x14ac:dyDescent="0.3">
      <c r="A3841" s="6"/>
    </row>
    <row r="3842" spans="1:1" x14ac:dyDescent="0.3">
      <c r="A3842" s="6"/>
    </row>
    <row r="3843" spans="1:1" x14ac:dyDescent="0.3">
      <c r="A3843" s="6"/>
    </row>
    <row r="3844" spans="1:1" x14ac:dyDescent="0.3">
      <c r="A3844" s="6"/>
    </row>
    <row r="3845" spans="1:1" x14ac:dyDescent="0.3">
      <c r="A3845" s="6"/>
    </row>
    <row r="3846" spans="1:1" x14ac:dyDescent="0.3">
      <c r="A3846" s="6"/>
    </row>
    <row r="3847" spans="1:1" x14ac:dyDescent="0.3">
      <c r="A3847" s="6"/>
    </row>
    <row r="3848" spans="1:1" x14ac:dyDescent="0.3">
      <c r="A3848" s="6"/>
    </row>
    <row r="3849" spans="1:1" x14ac:dyDescent="0.3">
      <c r="A3849" s="6"/>
    </row>
    <row r="3850" spans="1:1" x14ac:dyDescent="0.3">
      <c r="A3850" s="6"/>
    </row>
    <row r="3851" spans="1:1" x14ac:dyDescent="0.3">
      <c r="A3851" s="6"/>
    </row>
    <row r="3852" spans="1:1" x14ac:dyDescent="0.3">
      <c r="A3852" s="6"/>
    </row>
    <row r="3853" spans="1:1" x14ac:dyDescent="0.3">
      <c r="A3853" s="6"/>
    </row>
    <row r="3854" spans="1:1" x14ac:dyDescent="0.3">
      <c r="A3854" s="6"/>
    </row>
    <row r="3855" spans="1:1" x14ac:dyDescent="0.3">
      <c r="A3855" s="6"/>
    </row>
    <row r="3856" spans="1:1" x14ac:dyDescent="0.3">
      <c r="A3856" s="6"/>
    </row>
    <row r="3857" spans="1:1" x14ac:dyDescent="0.3">
      <c r="A3857" s="6"/>
    </row>
    <row r="3858" spans="1:1" x14ac:dyDescent="0.3">
      <c r="A3858" s="6"/>
    </row>
    <row r="3859" spans="1:1" x14ac:dyDescent="0.3">
      <c r="A3859" s="6"/>
    </row>
    <row r="3860" spans="1:1" x14ac:dyDescent="0.3">
      <c r="A3860" s="6"/>
    </row>
    <row r="3861" spans="1:1" x14ac:dyDescent="0.3">
      <c r="A3861" s="6"/>
    </row>
    <row r="3862" spans="1:1" x14ac:dyDescent="0.3">
      <c r="A3862" s="6"/>
    </row>
    <row r="3863" spans="1:1" x14ac:dyDescent="0.3">
      <c r="A3863" s="6"/>
    </row>
    <row r="3864" spans="1:1" x14ac:dyDescent="0.3">
      <c r="A3864" s="6"/>
    </row>
    <row r="3865" spans="1:1" x14ac:dyDescent="0.3">
      <c r="A3865" s="6"/>
    </row>
    <row r="3866" spans="1:1" x14ac:dyDescent="0.3">
      <c r="A3866" s="6"/>
    </row>
    <row r="3867" spans="1:1" x14ac:dyDescent="0.3">
      <c r="A3867" s="6"/>
    </row>
    <row r="3868" spans="1:1" x14ac:dyDescent="0.3">
      <c r="A3868" s="6"/>
    </row>
    <row r="3869" spans="1:1" x14ac:dyDescent="0.3">
      <c r="A3869" s="6"/>
    </row>
    <row r="3870" spans="1:1" x14ac:dyDescent="0.3">
      <c r="A3870" s="6"/>
    </row>
    <row r="3871" spans="1:1" x14ac:dyDescent="0.3">
      <c r="A3871" s="6"/>
    </row>
    <row r="3872" spans="1:1" x14ac:dyDescent="0.3">
      <c r="A3872" s="6"/>
    </row>
    <row r="3873" spans="1:1" x14ac:dyDescent="0.3">
      <c r="A3873" s="6"/>
    </row>
    <row r="3874" spans="1:1" x14ac:dyDescent="0.3">
      <c r="A3874" s="6"/>
    </row>
    <row r="3875" spans="1:1" x14ac:dyDescent="0.3">
      <c r="A3875" s="6"/>
    </row>
    <row r="3876" spans="1:1" x14ac:dyDescent="0.3">
      <c r="A3876" s="6"/>
    </row>
    <row r="3877" spans="1:1" x14ac:dyDescent="0.3">
      <c r="A3877" s="6"/>
    </row>
    <row r="3878" spans="1:1" x14ac:dyDescent="0.3">
      <c r="A3878" s="6"/>
    </row>
    <row r="3879" spans="1:1" x14ac:dyDescent="0.3">
      <c r="A3879" s="6"/>
    </row>
    <row r="3880" spans="1:1" x14ac:dyDescent="0.3">
      <c r="A3880" s="6"/>
    </row>
    <row r="3881" spans="1:1" x14ac:dyDescent="0.3">
      <c r="A3881" s="6"/>
    </row>
    <row r="3882" spans="1:1" x14ac:dyDescent="0.3">
      <c r="A3882" s="6"/>
    </row>
    <row r="3883" spans="1:1" x14ac:dyDescent="0.3">
      <c r="A3883" s="6"/>
    </row>
    <row r="3884" spans="1:1" x14ac:dyDescent="0.3">
      <c r="A3884" s="6"/>
    </row>
    <row r="3885" spans="1:1" x14ac:dyDescent="0.3">
      <c r="A3885" s="6"/>
    </row>
    <row r="3886" spans="1:1" x14ac:dyDescent="0.3">
      <c r="A3886" s="6"/>
    </row>
    <row r="3887" spans="1:1" x14ac:dyDescent="0.3">
      <c r="A3887" s="6"/>
    </row>
    <row r="3888" spans="1:1" x14ac:dyDescent="0.3">
      <c r="A3888" s="6"/>
    </row>
    <row r="3889" spans="1:1" x14ac:dyDescent="0.3">
      <c r="A3889" s="6"/>
    </row>
    <row r="3890" spans="1:1" x14ac:dyDescent="0.3">
      <c r="A3890" s="6"/>
    </row>
    <row r="3891" spans="1:1" x14ac:dyDescent="0.3">
      <c r="A3891" s="6"/>
    </row>
    <row r="3892" spans="1:1" x14ac:dyDescent="0.3">
      <c r="A3892" s="6"/>
    </row>
    <row r="3893" spans="1:1" x14ac:dyDescent="0.3">
      <c r="A3893" s="6"/>
    </row>
    <row r="3894" spans="1:1" x14ac:dyDescent="0.3">
      <c r="A3894" s="6"/>
    </row>
    <row r="3895" spans="1:1" x14ac:dyDescent="0.3">
      <c r="A3895" s="6"/>
    </row>
    <row r="3896" spans="1:1" x14ac:dyDescent="0.3">
      <c r="A3896" s="6"/>
    </row>
    <row r="3897" spans="1:1" x14ac:dyDescent="0.3">
      <c r="A3897" s="6"/>
    </row>
    <row r="3898" spans="1:1" x14ac:dyDescent="0.3">
      <c r="A3898" s="6"/>
    </row>
    <row r="3899" spans="1:1" x14ac:dyDescent="0.3">
      <c r="A3899" s="6"/>
    </row>
    <row r="3900" spans="1:1" x14ac:dyDescent="0.3">
      <c r="A3900" s="6"/>
    </row>
    <row r="3901" spans="1:1" x14ac:dyDescent="0.3">
      <c r="A3901" s="6"/>
    </row>
    <row r="3902" spans="1:1" x14ac:dyDescent="0.3">
      <c r="A3902" s="6"/>
    </row>
    <row r="3903" spans="1:1" x14ac:dyDescent="0.3">
      <c r="A3903" s="6"/>
    </row>
    <row r="3904" spans="1:1" x14ac:dyDescent="0.3">
      <c r="A3904" s="6"/>
    </row>
    <row r="3905" spans="1:1" x14ac:dyDescent="0.3">
      <c r="A3905" s="6"/>
    </row>
    <row r="3906" spans="1:1" x14ac:dyDescent="0.3">
      <c r="A3906" s="6"/>
    </row>
    <row r="3907" spans="1:1" x14ac:dyDescent="0.3">
      <c r="A3907" s="6"/>
    </row>
    <row r="3908" spans="1:1" x14ac:dyDescent="0.3">
      <c r="A3908" s="6"/>
    </row>
    <row r="3909" spans="1:1" x14ac:dyDescent="0.3">
      <c r="A3909" s="6"/>
    </row>
    <row r="3910" spans="1:1" x14ac:dyDescent="0.3">
      <c r="A3910" s="6"/>
    </row>
    <row r="3911" spans="1:1" x14ac:dyDescent="0.3">
      <c r="A3911" s="6"/>
    </row>
    <row r="3912" spans="1:1" x14ac:dyDescent="0.3">
      <c r="A3912" s="6"/>
    </row>
    <row r="3913" spans="1:1" x14ac:dyDescent="0.3">
      <c r="A3913" s="6"/>
    </row>
    <row r="3914" spans="1:1" x14ac:dyDescent="0.3">
      <c r="A3914" s="6"/>
    </row>
    <row r="3915" spans="1:1" x14ac:dyDescent="0.3">
      <c r="A3915" s="6"/>
    </row>
    <row r="3916" spans="1:1" x14ac:dyDescent="0.3">
      <c r="A3916" s="6"/>
    </row>
    <row r="3917" spans="1:1" x14ac:dyDescent="0.3">
      <c r="A3917" s="6"/>
    </row>
    <row r="3918" spans="1:1" x14ac:dyDescent="0.3">
      <c r="A3918" s="6"/>
    </row>
    <row r="3919" spans="1:1" x14ac:dyDescent="0.3">
      <c r="A3919" s="6"/>
    </row>
    <row r="3920" spans="1:1" x14ac:dyDescent="0.3">
      <c r="A3920" s="6"/>
    </row>
    <row r="3921" spans="1:1" x14ac:dyDescent="0.3">
      <c r="A3921" s="6"/>
    </row>
    <row r="3922" spans="1:1" x14ac:dyDescent="0.3">
      <c r="A3922" s="6"/>
    </row>
    <row r="3923" spans="1:1" x14ac:dyDescent="0.3">
      <c r="A3923" s="6"/>
    </row>
    <row r="3924" spans="1:1" x14ac:dyDescent="0.3">
      <c r="A3924" s="6"/>
    </row>
    <row r="3925" spans="1:1" x14ac:dyDescent="0.3">
      <c r="A3925" s="6"/>
    </row>
    <row r="3926" spans="1:1" x14ac:dyDescent="0.3">
      <c r="A3926" s="6"/>
    </row>
    <row r="3927" spans="1:1" x14ac:dyDescent="0.3">
      <c r="A3927" s="6"/>
    </row>
    <row r="3928" spans="1:1" x14ac:dyDescent="0.3">
      <c r="A3928" s="6"/>
    </row>
    <row r="3929" spans="1:1" x14ac:dyDescent="0.3">
      <c r="A3929" s="6"/>
    </row>
    <row r="3930" spans="1:1" x14ac:dyDescent="0.3">
      <c r="A3930" s="6"/>
    </row>
    <row r="3931" spans="1:1" x14ac:dyDescent="0.3">
      <c r="A3931" s="6"/>
    </row>
    <row r="3932" spans="1:1" x14ac:dyDescent="0.3">
      <c r="A3932" s="6"/>
    </row>
    <row r="3933" spans="1:1" x14ac:dyDescent="0.3">
      <c r="A3933" s="6"/>
    </row>
    <row r="3934" spans="1:1" x14ac:dyDescent="0.3">
      <c r="A3934" s="6"/>
    </row>
    <row r="3935" spans="1:1" x14ac:dyDescent="0.3">
      <c r="A3935" s="6"/>
    </row>
    <row r="3936" spans="1:1" x14ac:dyDescent="0.3">
      <c r="A3936" s="6"/>
    </row>
    <row r="3937" spans="1:1" x14ac:dyDescent="0.3">
      <c r="A3937" s="6"/>
    </row>
    <row r="3938" spans="1:1" x14ac:dyDescent="0.3">
      <c r="A3938" s="6"/>
    </row>
    <row r="3939" spans="1:1" x14ac:dyDescent="0.3">
      <c r="A3939" s="6"/>
    </row>
    <row r="3940" spans="1:1" x14ac:dyDescent="0.3">
      <c r="A3940" s="6"/>
    </row>
    <row r="3941" spans="1:1" x14ac:dyDescent="0.3">
      <c r="A3941" s="6"/>
    </row>
    <row r="3942" spans="1:1" x14ac:dyDescent="0.3">
      <c r="A3942" s="6"/>
    </row>
    <row r="3943" spans="1:1" x14ac:dyDescent="0.3">
      <c r="A3943" s="6"/>
    </row>
    <row r="3944" spans="1:1" x14ac:dyDescent="0.3">
      <c r="A3944" s="6"/>
    </row>
    <row r="3945" spans="1:1" x14ac:dyDescent="0.3">
      <c r="A3945" s="6"/>
    </row>
    <row r="3946" spans="1:1" x14ac:dyDescent="0.3">
      <c r="A3946" s="6"/>
    </row>
    <row r="3947" spans="1:1" x14ac:dyDescent="0.3">
      <c r="A3947" s="6"/>
    </row>
    <row r="3948" spans="1:1" x14ac:dyDescent="0.3">
      <c r="A3948" s="6"/>
    </row>
    <row r="3949" spans="1:1" x14ac:dyDescent="0.3">
      <c r="A3949" s="6"/>
    </row>
    <row r="3950" spans="1:1" x14ac:dyDescent="0.3">
      <c r="A3950" s="6"/>
    </row>
    <row r="3951" spans="1:1" x14ac:dyDescent="0.3">
      <c r="A3951" s="6"/>
    </row>
    <row r="3952" spans="1:1" x14ac:dyDescent="0.3">
      <c r="A3952" s="6"/>
    </row>
    <row r="3953" spans="1:1" x14ac:dyDescent="0.3">
      <c r="A3953" s="6"/>
    </row>
    <row r="3954" spans="1:1" x14ac:dyDescent="0.3">
      <c r="A3954" s="6"/>
    </row>
    <row r="3955" spans="1:1" x14ac:dyDescent="0.3">
      <c r="A3955" s="6"/>
    </row>
    <row r="3956" spans="1:1" x14ac:dyDescent="0.3">
      <c r="A3956" s="6"/>
    </row>
    <row r="3957" spans="1:1" x14ac:dyDescent="0.3">
      <c r="A3957" s="6"/>
    </row>
    <row r="3958" spans="1:1" x14ac:dyDescent="0.3">
      <c r="A3958" s="6"/>
    </row>
    <row r="3959" spans="1:1" x14ac:dyDescent="0.3">
      <c r="A3959" s="6"/>
    </row>
    <row r="3960" spans="1:1" x14ac:dyDescent="0.3">
      <c r="A3960" s="6"/>
    </row>
    <row r="3961" spans="1:1" x14ac:dyDescent="0.3">
      <c r="A3961" s="6"/>
    </row>
    <row r="3962" spans="1:1" x14ac:dyDescent="0.3">
      <c r="A3962" s="6"/>
    </row>
    <row r="3963" spans="1:1" x14ac:dyDescent="0.3">
      <c r="A3963" s="6"/>
    </row>
    <row r="3964" spans="1:1" x14ac:dyDescent="0.3">
      <c r="A3964" s="6"/>
    </row>
    <row r="3965" spans="1:1" x14ac:dyDescent="0.3">
      <c r="A3965" s="6"/>
    </row>
    <row r="3966" spans="1:1" x14ac:dyDescent="0.3">
      <c r="A3966" s="6"/>
    </row>
    <row r="3967" spans="1:1" x14ac:dyDescent="0.3">
      <c r="A3967" s="6"/>
    </row>
    <row r="3968" spans="1:1" x14ac:dyDescent="0.3">
      <c r="A3968" s="6"/>
    </row>
    <row r="3969" spans="1:1" x14ac:dyDescent="0.3">
      <c r="A3969" s="6"/>
    </row>
    <row r="3970" spans="1:1" x14ac:dyDescent="0.3">
      <c r="A3970" s="6"/>
    </row>
    <row r="3971" spans="1:1" x14ac:dyDescent="0.3">
      <c r="A3971" s="6"/>
    </row>
    <row r="3972" spans="1:1" x14ac:dyDescent="0.3">
      <c r="A3972" s="6"/>
    </row>
    <row r="3973" spans="1:1" x14ac:dyDescent="0.3">
      <c r="A3973" s="6"/>
    </row>
    <row r="3974" spans="1:1" x14ac:dyDescent="0.3">
      <c r="A3974" s="6"/>
    </row>
    <row r="3975" spans="1:1" x14ac:dyDescent="0.3">
      <c r="A3975" s="6"/>
    </row>
    <row r="3976" spans="1:1" x14ac:dyDescent="0.3">
      <c r="A3976" s="6"/>
    </row>
    <row r="3977" spans="1:1" x14ac:dyDescent="0.3">
      <c r="A3977" s="6"/>
    </row>
    <row r="3978" spans="1:1" x14ac:dyDescent="0.3">
      <c r="A3978" s="6"/>
    </row>
    <row r="3979" spans="1:1" x14ac:dyDescent="0.3">
      <c r="A3979" s="6"/>
    </row>
    <row r="3980" spans="1:1" x14ac:dyDescent="0.3">
      <c r="A3980" s="6"/>
    </row>
    <row r="3981" spans="1:1" x14ac:dyDescent="0.3">
      <c r="A3981" s="6"/>
    </row>
    <row r="3982" spans="1:1" x14ac:dyDescent="0.3">
      <c r="A3982" s="6"/>
    </row>
    <row r="3983" spans="1:1" x14ac:dyDescent="0.3">
      <c r="A3983" s="6"/>
    </row>
    <row r="3984" spans="1:1" x14ac:dyDescent="0.3">
      <c r="A3984" s="6"/>
    </row>
    <row r="3985" spans="1:1" x14ac:dyDescent="0.3">
      <c r="A3985" s="6"/>
    </row>
    <row r="3986" spans="1:1" x14ac:dyDescent="0.3">
      <c r="A3986" s="6"/>
    </row>
    <row r="3987" spans="1:1" x14ac:dyDescent="0.3">
      <c r="A3987" s="6"/>
    </row>
    <row r="3988" spans="1:1" x14ac:dyDescent="0.3">
      <c r="A3988" s="6"/>
    </row>
    <row r="3989" spans="1:1" x14ac:dyDescent="0.3">
      <c r="A3989" s="6"/>
    </row>
    <row r="3990" spans="1:1" x14ac:dyDescent="0.3">
      <c r="A3990" s="6"/>
    </row>
    <row r="3991" spans="1:1" x14ac:dyDescent="0.3">
      <c r="A3991" s="6"/>
    </row>
    <row r="3992" spans="1:1" x14ac:dyDescent="0.3">
      <c r="A3992" s="6"/>
    </row>
    <row r="3993" spans="1:1" x14ac:dyDescent="0.3">
      <c r="A3993" s="6"/>
    </row>
    <row r="3994" spans="1:1" x14ac:dyDescent="0.3">
      <c r="A3994" s="6"/>
    </row>
    <row r="3995" spans="1:1" x14ac:dyDescent="0.3">
      <c r="A3995" s="6"/>
    </row>
    <row r="3996" spans="1:1" x14ac:dyDescent="0.3">
      <c r="A3996" s="6"/>
    </row>
    <row r="3997" spans="1:1" x14ac:dyDescent="0.3">
      <c r="A3997" s="6"/>
    </row>
    <row r="3998" spans="1:1" x14ac:dyDescent="0.3">
      <c r="A3998" s="6"/>
    </row>
    <row r="3999" spans="1:1" x14ac:dyDescent="0.3">
      <c r="A3999" s="6"/>
    </row>
    <row r="4000" spans="1:1" x14ac:dyDescent="0.3">
      <c r="A4000" s="6"/>
    </row>
    <row r="4001" spans="1:1" x14ac:dyDescent="0.3">
      <c r="A4001" s="6"/>
    </row>
    <row r="4002" spans="1:1" x14ac:dyDescent="0.3">
      <c r="A4002" s="6"/>
    </row>
    <row r="4003" spans="1:1" x14ac:dyDescent="0.3">
      <c r="A4003" s="6"/>
    </row>
    <row r="4004" spans="1:1" x14ac:dyDescent="0.3">
      <c r="A4004" s="6"/>
    </row>
    <row r="4005" spans="1:1" x14ac:dyDescent="0.3">
      <c r="A4005" s="6"/>
    </row>
    <row r="4006" spans="1:1" x14ac:dyDescent="0.3">
      <c r="A4006" s="6"/>
    </row>
    <row r="4007" spans="1:1" x14ac:dyDescent="0.3">
      <c r="A4007" s="6"/>
    </row>
    <row r="4008" spans="1:1" x14ac:dyDescent="0.3">
      <c r="A4008" s="6"/>
    </row>
    <row r="4009" spans="1:1" x14ac:dyDescent="0.3">
      <c r="A4009" s="6"/>
    </row>
    <row r="4010" spans="1:1" x14ac:dyDescent="0.3">
      <c r="A4010" s="6"/>
    </row>
    <row r="4011" spans="1:1" x14ac:dyDescent="0.3">
      <c r="A4011" s="6"/>
    </row>
    <row r="4012" spans="1:1" x14ac:dyDescent="0.3">
      <c r="A4012" s="6"/>
    </row>
    <row r="4013" spans="1:1" x14ac:dyDescent="0.3">
      <c r="A4013" s="6"/>
    </row>
    <row r="4014" spans="1:1" x14ac:dyDescent="0.3">
      <c r="A4014" s="6"/>
    </row>
    <row r="4015" spans="1:1" x14ac:dyDescent="0.3">
      <c r="A4015" s="6"/>
    </row>
    <row r="4016" spans="1:1" x14ac:dyDescent="0.3">
      <c r="A4016" s="6"/>
    </row>
    <row r="4017" spans="1:1" x14ac:dyDescent="0.3">
      <c r="A4017" s="6"/>
    </row>
    <row r="4018" spans="1:1" x14ac:dyDescent="0.3">
      <c r="A4018" s="6"/>
    </row>
    <row r="4019" spans="1:1" x14ac:dyDescent="0.3">
      <c r="A4019" s="6"/>
    </row>
    <row r="4020" spans="1:1" x14ac:dyDescent="0.3">
      <c r="A4020" s="6"/>
    </row>
    <row r="4021" spans="1:1" x14ac:dyDescent="0.3">
      <c r="A4021" s="6"/>
    </row>
    <row r="4022" spans="1:1" x14ac:dyDescent="0.3">
      <c r="A4022" s="6"/>
    </row>
    <row r="4023" spans="1:1" x14ac:dyDescent="0.3">
      <c r="A4023" s="6"/>
    </row>
    <row r="4024" spans="1:1" x14ac:dyDescent="0.3">
      <c r="A4024" s="6"/>
    </row>
    <row r="4025" spans="1:1" x14ac:dyDescent="0.3">
      <c r="A4025" s="6"/>
    </row>
    <row r="4026" spans="1:1" x14ac:dyDescent="0.3">
      <c r="A4026" s="6"/>
    </row>
    <row r="4027" spans="1:1" x14ac:dyDescent="0.3">
      <c r="A4027" s="6"/>
    </row>
    <row r="4028" spans="1:1" x14ac:dyDescent="0.3">
      <c r="A4028" s="6"/>
    </row>
    <row r="4029" spans="1:1" x14ac:dyDescent="0.3">
      <c r="A4029" s="6"/>
    </row>
    <row r="4030" spans="1:1" x14ac:dyDescent="0.3">
      <c r="A4030" s="6"/>
    </row>
    <row r="4031" spans="1:1" x14ac:dyDescent="0.3">
      <c r="A4031" s="6"/>
    </row>
    <row r="4032" spans="1:1" x14ac:dyDescent="0.3">
      <c r="A4032" s="6"/>
    </row>
    <row r="4033" spans="1:1" x14ac:dyDescent="0.3">
      <c r="A4033" s="6"/>
    </row>
    <row r="4034" spans="1:1" x14ac:dyDescent="0.3">
      <c r="A4034" s="6"/>
    </row>
    <row r="4035" spans="1:1" x14ac:dyDescent="0.3">
      <c r="A4035" s="6"/>
    </row>
    <row r="4036" spans="1:1" x14ac:dyDescent="0.3">
      <c r="A4036" s="6"/>
    </row>
    <row r="4037" spans="1:1" x14ac:dyDescent="0.3">
      <c r="A4037" s="6"/>
    </row>
    <row r="4038" spans="1:1" x14ac:dyDescent="0.3">
      <c r="A4038" s="6"/>
    </row>
    <row r="4039" spans="1:1" x14ac:dyDescent="0.3">
      <c r="A4039" s="6"/>
    </row>
    <row r="4040" spans="1:1" x14ac:dyDescent="0.3">
      <c r="A4040" s="6"/>
    </row>
    <row r="4041" spans="1:1" x14ac:dyDescent="0.3">
      <c r="A4041" s="6"/>
    </row>
    <row r="4042" spans="1:1" x14ac:dyDescent="0.3">
      <c r="A4042" s="6"/>
    </row>
    <row r="4043" spans="1:1" x14ac:dyDescent="0.3">
      <c r="A4043" s="6"/>
    </row>
    <row r="4044" spans="1:1" x14ac:dyDescent="0.3">
      <c r="A4044" s="6"/>
    </row>
    <row r="4045" spans="1:1" x14ac:dyDescent="0.3">
      <c r="A4045" s="6"/>
    </row>
    <row r="4046" spans="1:1" x14ac:dyDescent="0.3">
      <c r="A4046" s="6"/>
    </row>
    <row r="4047" spans="1:1" x14ac:dyDescent="0.3">
      <c r="A4047" s="6"/>
    </row>
    <row r="4048" spans="1:1" x14ac:dyDescent="0.3">
      <c r="A4048" s="6"/>
    </row>
    <row r="4049" spans="1:1" x14ac:dyDescent="0.3">
      <c r="A4049" s="6"/>
    </row>
    <row r="4050" spans="1:1" x14ac:dyDescent="0.3">
      <c r="A4050" s="6"/>
    </row>
    <row r="4051" spans="1:1" x14ac:dyDescent="0.3">
      <c r="A4051" s="6"/>
    </row>
    <row r="4052" spans="1:1" x14ac:dyDescent="0.3">
      <c r="A4052" s="6"/>
    </row>
    <row r="4053" spans="1:1" x14ac:dyDescent="0.3">
      <c r="A4053" s="6"/>
    </row>
    <row r="4054" spans="1:1" x14ac:dyDescent="0.3">
      <c r="A4054" s="6"/>
    </row>
    <row r="4055" spans="1:1" x14ac:dyDescent="0.3">
      <c r="A4055" s="6"/>
    </row>
    <row r="4056" spans="1:1" x14ac:dyDescent="0.3">
      <c r="A4056" s="6"/>
    </row>
    <row r="4057" spans="1:1" x14ac:dyDescent="0.3">
      <c r="A4057" s="6"/>
    </row>
    <row r="4058" spans="1:1" x14ac:dyDescent="0.3">
      <c r="A4058" s="6"/>
    </row>
    <row r="4059" spans="1:1" x14ac:dyDescent="0.3">
      <c r="A4059" s="6"/>
    </row>
    <row r="4060" spans="1:1" x14ac:dyDescent="0.3">
      <c r="A4060" s="6"/>
    </row>
    <row r="4061" spans="1:1" x14ac:dyDescent="0.3">
      <c r="A4061" s="6"/>
    </row>
    <row r="4062" spans="1:1" x14ac:dyDescent="0.3">
      <c r="A4062" s="6"/>
    </row>
    <row r="4063" spans="1:1" x14ac:dyDescent="0.3">
      <c r="A4063" s="6"/>
    </row>
    <row r="4064" spans="1:1" x14ac:dyDescent="0.3">
      <c r="A4064" s="6"/>
    </row>
    <row r="4065" spans="1:1" x14ac:dyDescent="0.3">
      <c r="A4065" s="6"/>
    </row>
    <row r="4066" spans="1:1" x14ac:dyDescent="0.3">
      <c r="A4066" s="6"/>
    </row>
    <row r="4067" spans="1:1" x14ac:dyDescent="0.3">
      <c r="A4067" s="6"/>
    </row>
    <row r="4068" spans="1:1" x14ac:dyDescent="0.3">
      <c r="A4068" s="6"/>
    </row>
    <row r="4069" spans="1:1" x14ac:dyDescent="0.3">
      <c r="A4069" s="6"/>
    </row>
    <row r="4070" spans="1:1" x14ac:dyDescent="0.3">
      <c r="A4070" s="6"/>
    </row>
    <row r="4071" spans="1:1" x14ac:dyDescent="0.3">
      <c r="A4071" s="6"/>
    </row>
    <row r="4072" spans="1:1" x14ac:dyDescent="0.3">
      <c r="A4072" s="6"/>
    </row>
    <row r="4073" spans="1:1" x14ac:dyDescent="0.3">
      <c r="A4073" s="6"/>
    </row>
    <row r="4074" spans="1:1" x14ac:dyDescent="0.3">
      <c r="A4074" s="6"/>
    </row>
    <row r="4075" spans="1:1" x14ac:dyDescent="0.3">
      <c r="A4075" s="6"/>
    </row>
    <row r="4076" spans="1:1" x14ac:dyDescent="0.3">
      <c r="A4076" s="6"/>
    </row>
    <row r="4077" spans="1:1" x14ac:dyDescent="0.3">
      <c r="A4077" s="6"/>
    </row>
    <row r="4078" spans="1:1" x14ac:dyDescent="0.3">
      <c r="A4078" s="6"/>
    </row>
    <row r="4079" spans="1:1" x14ac:dyDescent="0.3">
      <c r="A4079" s="6"/>
    </row>
    <row r="4080" spans="1:1" x14ac:dyDescent="0.3">
      <c r="A4080" s="6"/>
    </row>
    <row r="4081" spans="1:1" x14ac:dyDescent="0.3">
      <c r="A4081" s="6"/>
    </row>
    <row r="4082" spans="1:1" x14ac:dyDescent="0.3">
      <c r="A4082" s="6"/>
    </row>
    <row r="4083" spans="1:1" x14ac:dyDescent="0.3">
      <c r="A4083" s="6"/>
    </row>
    <row r="4084" spans="1:1" x14ac:dyDescent="0.3">
      <c r="A4084" s="6"/>
    </row>
    <row r="4085" spans="1:1" x14ac:dyDescent="0.3">
      <c r="A4085" s="6"/>
    </row>
    <row r="4086" spans="1:1" x14ac:dyDescent="0.3">
      <c r="A4086" s="6"/>
    </row>
    <row r="4087" spans="1:1" x14ac:dyDescent="0.3">
      <c r="A4087" s="6"/>
    </row>
    <row r="4088" spans="1:1" x14ac:dyDescent="0.3">
      <c r="A4088" s="6"/>
    </row>
    <row r="4089" spans="1:1" x14ac:dyDescent="0.3">
      <c r="A4089" s="6"/>
    </row>
    <row r="4090" spans="1:1" x14ac:dyDescent="0.3">
      <c r="A4090" s="6"/>
    </row>
    <row r="4091" spans="1:1" x14ac:dyDescent="0.3">
      <c r="A4091" s="6"/>
    </row>
    <row r="4092" spans="1:1" x14ac:dyDescent="0.3">
      <c r="A4092" s="6"/>
    </row>
    <row r="4093" spans="1:1" x14ac:dyDescent="0.3">
      <c r="A4093" s="6"/>
    </row>
    <row r="4094" spans="1:1" x14ac:dyDescent="0.3">
      <c r="A4094" s="6"/>
    </row>
    <row r="4095" spans="1:1" x14ac:dyDescent="0.3">
      <c r="A4095" s="6"/>
    </row>
    <row r="4096" spans="1:1" x14ac:dyDescent="0.3">
      <c r="A4096" s="6"/>
    </row>
    <row r="4097" spans="1:1" x14ac:dyDescent="0.3">
      <c r="A4097" s="6"/>
    </row>
    <row r="4098" spans="1:1" x14ac:dyDescent="0.3">
      <c r="A4098" s="6"/>
    </row>
    <row r="4099" spans="1:1" x14ac:dyDescent="0.3">
      <c r="A4099" s="6"/>
    </row>
    <row r="4100" spans="1:1" x14ac:dyDescent="0.3">
      <c r="A4100" s="6"/>
    </row>
    <row r="4101" spans="1:1" x14ac:dyDescent="0.3">
      <c r="A4101" s="6"/>
    </row>
    <row r="4102" spans="1:1" x14ac:dyDescent="0.3">
      <c r="A4102" s="6"/>
    </row>
    <row r="4103" spans="1:1" x14ac:dyDescent="0.3">
      <c r="A4103" s="6"/>
    </row>
    <row r="4104" spans="1:1" x14ac:dyDescent="0.3">
      <c r="A4104" s="6"/>
    </row>
    <row r="4105" spans="1:1" x14ac:dyDescent="0.3">
      <c r="A4105" s="6"/>
    </row>
    <row r="4106" spans="1:1" x14ac:dyDescent="0.3">
      <c r="A4106" s="6"/>
    </row>
    <row r="4107" spans="1:1" x14ac:dyDescent="0.3">
      <c r="A4107" s="6"/>
    </row>
    <row r="4108" spans="1:1" x14ac:dyDescent="0.3">
      <c r="A4108" s="6"/>
    </row>
    <row r="4109" spans="1:1" x14ac:dyDescent="0.3">
      <c r="A4109" s="6"/>
    </row>
    <row r="4110" spans="1:1" x14ac:dyDescent="0.3">
      <c r="A4110" s="6"/>
    </row>
    <row r="4111" spans="1:1" x14ac:dyDescent="0.3">
      <c r="A4111" s="6"/>
    </row>
    <row r="4112" spans="1:1" x14ac:dyDescent="0.3">
      <c r="A4112" s="6"/>
    </row>
    <row r="4113" spans="1:1" x14ac:dyDescent="0.3">
      <c r="A4113" s="6"/>
    </row>
    <row r="4114" spans="1:1" x14ac:dyDescent="0.3">
      <c r="A4114" s="6"/>
    </row>
    <row r="4115" spans="1:1" x14ac:dyDescent="0.3">
      <c r="A4115" s="6"/>
    </row>
    <row r="4116" spans="1:1" x14ac:dyDescent="0.3">
      <c r="A4116" s="6"/>
    </row>
    <row r="4117" spans="1:1" x14ac:dyDescent="0.3">
      <c r="A4117" s="6"/>
    </row>
    <row r="4118" spans="1:1" x14ac:dyDescent="0.3">
      <c r="A4118" s="6"/>
    </row>
    <row r="4119" spans="1:1" x14ac:dyDescent="0.3">
      <c r="A4119" s="6"/>
    </row>
    <row r="4120" spans="1:1" x14ac:dyDescent="0.3">
      <c r="A4120" s="6"/>
    </row>
    <row r="4121" spans="1:1" x14ac:dyDescent="0.3">
      <c r="A4121" s="6"/>
    </row>
    <row r="4122" spans="1:1" x14ac:dyDescent="0.3">
      <c r="A4122" s="6"/>
    </row>
    <row r="4123" spans="1:1" x14ac:dyDescent="0.3">
      <c r="A4123" s="6"/>
    </row>
    <row r="4124" spans="1:1" x14ac:dyDescent="0.3">
      <c r="A4124" s="6"/>
    </row>
    <row r="4125" spans="1:1" x14ac:dyDescent="0.3">
      <c r="A4125" s="6"/>
    </row>
    <row r="4126" spans="1:1" x14ac:dyDescent="0.3">
      <c r="A4126" s="6"/>
    </row>
    <row r="4127" spans="1:1" x14ac:dyDescent="0.3">
      <c r="A4127" s="6"/>
    </row>
    <row r="4128" spans="1:1" x14ac:dyDescent="0.3">
      <c r="A4128" s="6"/>
    </row>
    <row r="4129" spans="1:1" x14ac:dyDescent="0.3">
      <c r="A4129" s="6"/>
    </row>
    <row r="4130" spans="1:1" x14ac:dyDescent="0.3">
      <c r="A4130" s="6"/>
    </row>
    <row r="4131" spans="1:1" x14ac:dyDescent="0.3">
      <c r="A4131" s="6"/>
    </row>
    <row r="4132" spans="1:1" x14ac:dyDescent="0.3">
      <c r="A4132" s="6"/>
    </row>
    <row r="4133" spans="1:1" x14ac:dyDescent="0.3">
      <c r="A4133" s="6"/>
    </row>
    <row r="4134" spans="1:1" x14ac:dyDescent="0.3">
      <c r="A4134" s="6"/>
    </row>
    <row r="4135" spans="1:1" x14ac:dyDescent="0.3">
      <c r="A4135" s="6"/>
    </row>
    <row r="4136" spans="1:1" x14ac:dyDescent="0.3">
      <c r="A4136" s="6"/>
    </row>
    <row r="4137" spans="1:1" x14ac:dyDescent="0.3">
      <c r="A4137" s="6"/>
    </row>
    <row r="4138" spans="1:1" x14ac:dyDescent="0.3">
      <c r="A4138" s="6"/>
    </row>
    <row r="4139" spans="1:1" x14ac:dyDescent="0.3">
      <c r="A4139" s="6"/>
    </row>
    <row r="4140" spans="1:1" x14ac:dyDescent="0.3">
      <c r="A4140" s="6"/>
    </row>
    <row r="4141" spans="1:1" x14ac:dyDescent="0.3">
      <c r="A4141" s="6"/>
    </row>
    <row r="4142" spans="1:1" x14ac:dyDescent="0.3">
      <c r="A4142" s="6"/>
    </row>
    <row r="4143" spans="1:1" x14ac:dyDescent="0.3">
      <c r="A4143" s="6"/>
    </row>
    <row r="4144" spans="1:1" x14ac:dyDescent="0.3">
      <c r="A4144" s="6"/>
    </row>
    <row r="4145" spans="1:1" x14ac:dyDescent="0.3">
      <c r="A4145" s="6"/>
    </row>
    <row r="4146" spans="1:1" x14ac:dyDescent="0.3">
      <c r="A4146" s="6"/>
    </row>
    <row r="4147" spans="1:1" x14ac:dyDescent="0.3">
      <c r="A4147" s="6"/>
    </row>
    <row r="4148" spans="1:1" x14ac:dyDescent="0.3">
      <c r="A4148" s="6"/>
    </row>
    <row r="4149" spans="1:1" x14ac:dyDescent="0.3">
      <c r="A4149" s="6"/>
    </row>
    <row r="4150" spans="1:1" x14ac:dyDescent="0.3">
      <c r="A4150" s="6"/>
    </row>
    <row r="4151" spans="1:1" x14ac:dyDescent="0.3">
      <c r="A4151" s="6"/>
    </row>
    <row r="4152" spans="1:1" x14ac:dyDescent="0.3">
      <c r="A4152" s="6"/>
    </row>
    <row r="4153" spans="1:1" x14ac:dyDescent="0.3">
      <c r="A4153" s="6"/>
    </row>
    <row r="4154" spans="1:1" x14ac:dyDescent="0.3">
      <c r="A4154" s="6"/>
    </row>
    <row r="4155" spans="1:1" x14ac:dyDescent="0.3">
      <c r="A4155" s="6"/>
    </row>
    <row r="4156" spans="1:1" x14ac:dyDescent="0.3">
      <c r="A4156" s="6"/>
    </row>
    <row r="4157" spans="1:1" x14ac:dyDescent="0.3">
      <c r="A4157" s="6"/>
    </row>
    <row r="4158" spans="1:1" x14ac:dyDescent="0.3">
      <c r="A4158" s="6"/>
    </row>
    <row r="4159" spans="1:1" x14ac:dyDescent="0.3">
      <c r="A4159" s="6"/>
    </row>
    <row r="4160" spans="1:1" x14ac:dyDescent="0.3">
      <c r="A4160" s="6"/>
    </row>
    <row r="4161" spans="1:1" x14ac:dyDescent="0.3">
      <c r="A4161" s="6"/>
    </row>
    <row r="4162" spans="1:1" x14ac:dyDescent="0.3">
      <c r="A4162" s="6"/>
    </row>
    <row r="4163" spans="1:1" x14ac:dyDescent="0.3">
      <c r="A4163" s="6"/>
    </row>
    <row r="4164" spans="1:1" x14ac:dyDescent="0.3">
      <c r="A4164" s="6"/>
    </row>
    <row r="4165" spans="1:1" x14ac:dyDescent="0.3">
      <c r="A4165" s="6"/>
    </row>
    <row r="4166" spans="1:1" x14ac:dyDescent="0.3">
      <c r="A4166" s="6"/>
    </row>
    <row r="4167" spans="1:1" x14ac:dyDescent="0.3">
      <c r="A4167" s="6"/>
    </row>
    <row r="4168" spans="1:1" x14ac:dyDescent="0.3">
      <c r="A4168" s="6"/>
    </row>
    <row r="4169" spans="1:1" x14ac:dyDescent="0.3">
      <c r="A4169" s="6"/>
    </row>
    <row r="4170" spans="1:1" x14ac:dyDescent="0.3">
      <c r="A4170" s="6"/>
    </row>
    <row r="4171" spans="1:1" x14ac:dyDescent="0.3">
      <c r="A4171" s="6"/>
    </row>
    <row r="4172" spans="1:1" x14ac:dyDescent="0.3">
      <c r="A4172" s="6"/>
    </row>
    <row r="4173" spans="1:1" x14ac:dyDescent="0.3">
      <c r="A4173" s="6"/>
    </row>
    <row r="4174" spans="1:1" x14ac:dyDescent="0.3">
      <c r="A4174" s="6"/>
    </row>
    <row r="4175" spans="1:1" x14ac:dyDescent="0.3">
      <c r="A4175" s="6"/>
    </row>
    <row r="4176" spans="1:1" x14ac:dyDescent="0.3">
      <c r="A4176" s="6"/>
    </row>
    <row r="4177" spans="1:1" x14ac:dyDescent="0.3">
      <c r="A4177" s="6"/>
    </row>
    <row r="4178" spans="1:1" x14ac:dyDescent="0.3">
      <c r="A4178" s="6"/>
    </row>
    <row r="4179" spans="1:1" x14ac:dyDescent="0.3">
      <c r="A4179" s="6"/>
    </row>
    <row r="4180" spans="1:1" x14ac:dyDescent="0.3">
      <c r="A4180" s="6"/>
    </row>
    <row r="4181" spans="1:1" x14ac:dyDescent="0.3">
      <c r="A4181" s="6"/>
    </row>
    <row r="4182" spans="1:1" x14ac:dyDescent="0.3">
      <c r="A4182" s="6"/>
    </row>
    <row r="4183" spans="1:1" x14ac:dyDescent="0.3">
      <c r="A4183" s="6"/>
    </row>
    <row r="4184" spans="1:1" x14ac:dyDescent="0.3">
      <c r="A4184" s="6"/>
    </row>
    <row r="4185" spans="1:1" x14ac:dyDescent="0.3">
      <c r="A4185" s="6"/>
    </row>
    <row r="4186" spans="1:1" x14ac:dyDescent="0.3">
      <c r="A4186" s="6"/>
    </row>
    <row r="4187" spans="1:1" x14ac:dyDescent="0.3">
      <c r="A4187" s="6"/>
    </row>
    <row r="4188" spans="1:1" x14ac:dyDescent="0.3">
      <c r="A4188" s="6"/>
    </row>
    <row r="4189" spans="1:1" x14ac:dyDescent="0.3">
      <c r="A4189" s="6"/>
    </row>
    <row r="4190" spans="1:1" x14ac:dyDescent="0.3">
      <c r="A4190" s="6"/>
    </row>
    <row r="4191" spans="1:1" x14ac:dyDescent="0.3">
      <c r="A4191" s="6"/>
    </row>
    <row r="4192" spans="1:1" x14ac:dyDescent="0.3">
      <c r="A4192" s="6"/>
    </row>
    <row r="4193" spans="1:1" x14ac:dyDescent="0.3">
      <c r="A4193" s="6"/>
    </row>
    <row r="4194" spans="1:1" x14ac:dyDescent="0.3">
      <c r="A4194" s="6"/>
    </row>
    <row r="4195" spans="1:1" x14ac:dyDescent="0.3">
      <c r="A4195" s="6"/>
    </row>
    <row r="4196" spans="1:1" x14ac:dyDescent="0.3">
      <c r="A4196" s="6"/>
    </row>
    <row r="4197" spans="1:1" x14ac:dyDescent="0.3">
      <c r="A4197" s="6"/>
    </row>
    <row r="4198" spans="1:1" x14ac:dyDescent="0.3">
      <c r="A4198" s="6"/>
    </row>
    <row r="4199" spans="1:1" x14ac:dyDescent="0.3">
      <c r="A4199" s="6"/>
    </row>
    <row r="4200" spans="1:1" x14ac:dyDescent="0.3">
      <c r="A4200" s="6"/>
    </row>
    <row r="4201" spans="1:1" x14ac:dyDescent="0.3">
      <c r="A4201" s="6"/>
    </row>
    <row r="4202" spans="1:1" x14ac:dyDescent="0.3">
      <c r="A4202" s="6"/>
    </row>
    <row r="4203" spans="1:1" x14ac:dyDescent="0.3">
      <c r="A4203" s="6"/>
    </row>
    <row r="4204" spans="1:1" x14ac:dyDescent="0.3">
      <c r="A4204" s="6"/>
    </row>
    <row r="4205" spans="1:1" x14ac:dyDescent="0.3">
      <c r="A4205" s="6"/>
    </row>
    <row r="4206" spans="1:1" x14ac:dyDescent="0.3">
      <c r="A4206" s="6"/>
    </row>
    <row r="4207" spans="1:1" x14ac:dyDescent="0.3">
      <c r="A4207" s="6"/>
    </row>
    <row r="4208" spans="1:1" x14ac:dyDescent="0.3">
      <c r="A4208" s="6"/>
    </row>
    <row r="4209" spans="1:1" x14ac:dyDescent="0.3">
      <c r="A4209" s="6"/>
    </row>
    <row r="4210" spans="1:1" x14ac:dyDescent="0.3">
      <c r="A4210" s="6"/>
    </row>
    <row r="4211" spans="1:1" x14ac:dyDescent="0.3">
      <c r="A4211" s="6"/>
    </row>
    <row r="4212" spans="1:1" x14ac:dyDescent="0.3">
      <c r="A4212" s="6"/>
    </row>
    <row r="4213" spans="1:1" x14ac:dyDescent="0.3">
      <c r="A4213" s="6"/>
    </row>
    <row r="4214" spans="1:1" x14ac:dyDescent="0.3">
      <c r="A4214" s="6"/>
    </row>
    <row r="4215" spans="1:1" x14ac:dyDescent="0.3">
      <c r="A4215" s="6"/>
    </row>
    <row r="4216" spans="1:1" x14ac:dyDescent="0.3">
      <c r="A4216" s="6"/>
    </row>
    <row r="4217" spans="1:1" x14ac:dyDescent="0.3">
      <c r="A4217" s="6"/>
    </row>
    <row r="4218" spans="1:1" x14ac:dyDescent="0.3">
      <c r="A4218" s="6"/>
    </row>
    <row r="4219" spans="1:1" x14ac:dyDescent="0.3">
      <c r="A4219" s="6"/>
    </row>
    <row r="4220" spans="1:1" x14ac:dyDescent="0.3">
      <c r="A4220" s="6"/>
    </row>
    <row r="4221" spans="1:1" x14ac:dyDescent="0.3">
      <c r="A4221" s="6"/>
    </row>
    <row r="4222" spans="1:1" x14ac:dyDescent="0.3">
      <c r="A4222" s="6"/>
    </row>
    <row r="4223" spans="1:1" x14ac:dyDescent="0.3">
      <c r="A4223" s="6"/>
    </row>
    <row r="4224" spans="1:1" x14ac:dyDescent="0.3">
      <c r="A4224" s="6"/>
    </row>
    <row r="4225" spans="1:1" x14ac:dyDescent="0.3">
      <c r="A4225" s="6"/>
    </row>
    <row r="4226" spans="1:1" x14ac:dyDescent="0.3">
      <c r="A4226" s="6"/>
    </row>
    <row r="4227" spans="1:1" x14ac:dyDescent="0.3">
      <c r="A4227" s="6"/>
    </row>
    <row r="4228" spans="1:1" x14ac:dyDescent="0.3">
      <c r="A4228" s="6"/>
    </row>
    <row r="4229" spans="1:1" x14ac:dyDescent="0.3">
      <c r="A4229" s="6"/>
    </row>
    <row r="4230" spans="1:1" x14ac:dyDescent="0.3">
      <c r="A4230" s="6"/>
    </row>
    <row r="4231" spans="1:1" x14ac:dyDescent="0.3">
      <c r="A4231" s="6"/>
    </row>
    <row r="4232" spans="1:1" x14ac:dyDescent="0.3">
      <c r="A4232" s="6"/>
    </row>
    <row r="4233" spans="1:1" x14ac:dyDescent="0.3">
      <c r="A4233" s="6"/>
    </row>
    <row r="4234" spans="1:1" x14ac:dyDescent="0.3">
      <c r="A4234" s="6"/>
    </row>
    <row r="4235" spans="1:1" x14ac:dyDescent="0.3">
      <c r="A4235" s="6"/>
    </row>
    <row r="4236" spans="1:1" x14ac:dyDescent="0.3">
      <c r="A4236" s="6"/>
    </row>
    <row r="4237" spans="1:1" x14ac:dyDescent="0.3">
      <c r="A4237" s="6"/>
    </row>
    <row r="4238" spans="1:1" x14ac:dyDescent="0.3">
      <c r="A4238" s="6"/>
    </row>
    <row r="4239" spans="1:1" x14ac:dyDescent="0.3">
      <c r="A4239" s="6"/>
    </row>
    <row r="4240" spans="1:1" x14ac:dyDescent="0.3">
      <c r="A4240" s="6"/>
    </row>
    <row r="4241" spans="1:1" x14ac:dyDescent="0.3">
      <c r="A4241" s="6"/>
    </row>
    <row r="4242" spans="1:1" x14ac:dyDescent="0.3">
      <c r="A4242" s="6"/>
    </row>
    <row r="4243" spans="1:1" x14ac:dyDescent="0.3">
      <c r="A4243" s="6"/>
    </row>
    <row r="4244" spans="1:1" x14ac:dyDescent="0.3">
      <c r="A4244" s="6"/>
    </row>
    <row r="4245" spans="1:1" x14ac:dyDescent="0.3">
      <c r="A4245" s="6"/>
    </row>
    <row r="4246" spans="1:1" x14ac:dyDescent="0.3">
      <c r="A4246" s="6"/>
    </row>
    <row r="4247" spans="1:1" x14ac:dyDescent="0.3">
      <c r="A4247" s="6"/>
    </row>
    <row r="4248" spans="1:1" x14ac:dyDescent="0.3">
      <c r="A4248" s="6"/>
    </row>
    <row r="4249" spans="1:1" x14ac:dyDescent="0.3">
      <c r="A4249" s="6"/>
    </row>
    <row r="4250" spans="1:1" x14ac:dyDescent="0.3">
      <c r="A4250" s="6"/>
    </row>
    <row r="4251" spans="1:1" x14ac:dyDescent="0.3">
      <c r="A4251" s="6"/>
    </row>
    <row r="4252" spans="1:1" x14ac:dyDescent="0.3">
      <c r="A4252" s="6"/>
    </row>
    <row r="4253" spans="1:1" x14ac:dyDescent="0.3">
      <c r="A4253" s="6"/>
    </row>
    <row r="4254" spans="1:1" x14ac:dyDescent="0.3">
      <c r="A4254" s="6"/>
    </row>
    <row r="4255" spans="1:1" x14ac:dyDescent="0.3">
      <c r="A4255" s="6"/>
    </row>
    <row r="4256" spans="1:1" x14ac:dyDescent="0.3">
      <c r="A4256" s="6"/>
    </row>
    <row r="4257" spans="1:1" x14ac:dyDescent="0.3">
      <c r="A4257" s="6"/>
    </row>
    <row r="4258" spans="1:1" x14ac:dyDescent="0.3">
      <c r="A4258" s="6"/>
    </row>
    <row r="4259" spans="1:1" x14ac:dyDescent="0.3">
      <c r="A4259" s="6"/>
    </row>
    <row r="4260" spans="1:1" x14ac:dyDescent="0.3">
      <c r="A4260" s="6"/>
    </row>
    <row r="4261" spans="1:1" x14ac:dyDescent="0.3">
      <c r="A4261" s="6"/>
    </row>
    <row r="4262" spans="1:1" x14ac:dyDescent="0.3">
      <c r="A4262" s="6"/>
    </row>
    <row r="4263" spans="1:1" x14ac:dyDescent="0.3">
      <c r="A4263" s="6"/>
    </row>
    <row r="4264" spans="1:1" x14ac:dyDescent="0.3">
      <c r="A4264" s="6"/>
    </row>
    <row r="4265" spans="1:1" x14ac:dyDescent="0.3">
      <c r="A4265" s="6"/>
    </row>
    <row r="4266" spans="1:1" x14ac:dyDescent="0.3">
      <c r="A4266" s="6"/>
    </row>
    <row r="4267" spans="1:1" x14ac:dyDescent="0.3">
      <c r="A4267" s="6"/>
    </row>
    <row r="4268" spans="1:1" x14ac:dyDescent="0.3">
      <c r="A4268" s="6"/>
    </row>
    <row r="4269" spans="1:1" x14ac:dyDescent="0.3">
      <c r="A4269" s="6"/>
    </row>
    <row r="4270" spans="1:1" x14ac:dyDescent="0.3">
      <c r="A4270" s="6"/>
    </row>
    <row r="4271" spans="1:1" x14ac:dyDescent="0.3">
      <c r="A4271" s="6"/>
    </row>
    <row r="4272" spans="1:1" x14ac:dyDescent="0.3">
      <c r="A4272" s="6"/>
    </row>
    <row r="4273" spans="1:1" x14ac:dyDescent="0.3">
      <c r="A4273" s="6"/>
    </row>
    <row r="4274" spans="1:1" x14ac:dyDescent="0.3">
      <c r="A4274" s="6"/>
    </row>
    <row r="4275" spans="1:1" x14ac:dyDescent="0.3">
      <c r="A4275" s="6"/>
    </row>
    <row r="4276" spans="1:1" x14ac:dyDescent="0.3">
      <c r="A4276" s="6"/>
    </row>
    <row r="4277" spans="1:1" x14ac:dyDescent="0.3">
      <c r="A4277" s="6"/>
    </row>
    <row r="4278" spans="1:1" x14ac:dyDescent="0.3">
      <c r="A4278" s="6"/>
    </row>
    <row r="4279" spans="1:1" x14ac:dyDescent="0.3">
      <c r="A4279" s="6"/>
    </row>
    <row r="4280" spans="1:1" x14ac:dyDescent="0.3">
      <c r="A4280" s="6"/>
    </row>
    <row r="4281" spans="1:1" x14ac:dyDescent="0.3">
      <c r="A4281" s="6"/>
    </row>
    <row r="4282" spans="1:1" x14ac:dyDescent="0.3">
      <c r="A4282" s="6"/>
    </row>
    <row r="4283" spans="1:1" x14ac:dyDescent="0.3">
      <c r="A4283" s="6"/>
    </row>
    <row r="4284" spans="1:1" x14ac:dyDescent="0.3">
      <c r="A4284" s="6"/>
    </row>
    <row r="4285" spans="1:1" x14ac:dyDescent="0.3">
      <c r="A4285" s="6"/>
    </row>
    <row r="4286" spans="1:1" x14ac:dyDescent="0.3">
      <c r="A4286" s="6"/>
    </row>
    <row r="4287" spans="1:1" x14ac:dyDescent="0.3">
      <c r="A4287" s="6"/>
    </row>
    <row r="4288" spans="1:1" x14ac:dyDescent="0.3">
      <c r="A4288" s="6"/>
    </row>
    <row r="4289" spans="1:1" x14ac:dyDescent="0.3">
      <c r="A4289" s="6"/>
    </row>
    <row r="4290" spans="1:1" x14ac:dyDescent="0.3">
      <c r="A4290" s="6"/>
    </row>
    <row r="4291" spans="1:1" x14ac:dyDescent="0.3">
      <c r="A4291" s="6"/>
    </row>
    <row r="4292" spans="1:1" x14ac:dyDescent="0.3">
      <c r="A4292" s="6"/>
    </row>
    <row r="4293" spans="1:1" x14ac:dyDescent="0.3">
      <c r="A4293" s="6"/>
    </row>
    <row r="4294" spans="1:1" x14ac:dyDescent="0.3">
      <c r="A4294" s="6"/>
    </row>
    <row r="4295" spans="1:1" x14ac:dyDescent="0.3">
      <c r="A4295" s="6"/>
    </row>
    <row r="4296" spans="1:1" x14ac:dyDescent="0.3">
      <c r="A4296" s="6"/>
    </row>
    <row r="4297" spans="1:1" x14ac:dyDescent="0.3">
      <c r="A4297" s="6"/>
    </row>
    <row r="4298" spans="1:1" x14ac:dyDescent="0.3">
      <c r="A4298" s="6"/>
    </row>
    <row r="4299" spans="1:1" x14ac:dyDescent="0.3">
      <c r="A4299" s="6"/>
    </row>
    <row r="4300" spans="1:1" x14ac:dyDescent="0.3">
      <c r="A4300" s="6"/>
    </row>
    <row r="4301" spans="1:1" x14ac:dyDescent="0.3">
      <c r="A4301" s="6"/>
    </row>
    <row r="4302" spans="1:1" x14ac:dyDescent="0.3">
      <c r="A4302" s="6"/>
    </row>
    <row r="4303" spans="1:1" x14ac:dyDescent="0.3">
      <c r="A4303" s="6"/>
    </row>
    <row r="4304" spans="1:1" x14ac:dyDescent="0.3">
      <c r="A4304" s="6"/>
    </row>
    <row r="4305" spans="1:1" x14ac:dyDescent="0.3">
      <c r="A4305" s="6"/>
    </row>
    <row r="4306" spans="1:1" x14ac:dyDescent="0.3">
      <c r="A4306" s="6"/>
    </row>
    <row r="4307" spans="1:1" x14ac:dyDescent="0.3">
      <c r="A4307" s="6"/>
    </row>
    <row r="4308" spans="1:1" x14ac:dyDescent="0.3">
      <c r="A4308" s="6"/>
    </row>
    <row r="4309" spans="1:1" x14ac:dyDescent="0.3">
      <c r="A4309" s="6"/>
    </row>
    <row r="4310" spans="1:1" x14ac:dyDescent="0.3">
      <c r="A4310" s="6"/>
    </row>
    <row r="4311" spans="1:1" x14ac:dyDescent="0.3">
      <c r="A4311" s="6"/>
    </row>
    <row r="4312" spans="1:1" x14ac:dyDescent="0.3">
      <c r="A4312" s="6"/>
    </row>
    <row r="4313" spans="1:1" x14ac:dyDescent="0.3">
      <c r="A4313" s="6"/>
    </row>
    <row r="4314" spans="1:1" x14ac:dyDescent="0.3">
      <c r="A4314" s="6"/>
    </row>
    <row r="4315" spans="1:1" x14ac:dyDescent="0.3">
      <c r="A4315" s="6"/>
    </row>
    <row r="4316" spans="1:1" x14ac:dyDescent="0.3">
      <c r="A4316" s="6"/>
    </row>
    <row r="4317" spans="1:1" x14ac:dyDescent="0.3">
      <c r="A4317" s="6"/>
    </row>
    <row r="4318" spans="1:1" x14ac:dyDescent="0.3">
      <c r="A4318" s="6"/>
    </row>
    <row r="4319" spans="1:1" x14ac:dyDescent="0.3">
      <c r="A4319" s="6"/>
    </row>
    <row r="4320" spans="1:1" x14ac:dyDescent="0.3">
      <c r="A4320" s="6"/>
    </row>
    <row r="4321" spans="1:1" x14ac:dyDescent="0.3">
      <c r="A4321" s="6"/>
    </row>
    <row r="4322" spans="1:1" x14ac:dyDescent="0.3">
      <c r="A4322" s="6"/>
    </row>
    <row r="4323" spans="1:1" x14ac:dyDescent="0.3">
      <c r="A4323" s="6"/>
    </row>
    <row r="4324" spans="1:1" x14ac:dyDescent="0.3">
      <c r="A4324" s="6"/>
    </row>
    <row r="4325" spans="1:1" x14ac:dyDescent="0.3">
      <c r="A4325" s="6"/>
    </row>
    <row r="4326" spans="1:1" x14ac:dyDescent="0.3">
      <c r="A4326" s="6"/>
    </row>
    <row r="4327" spans="1:1" x14ac:dyDescent="0.3">
      <c r="A4327" s="6"/>
    </row>
    <row r="4328" spans="1:1" x14ac:dyDescent="0.3">
      <c r="A4328" s="6"/>
    </row>
    <row r="4329" spans="1:1" x14ac:dyDescent="0.3">
      <c r="A4329" s="6"/>
    </row>
    <row r="4330" spans="1:1" x14ac:dyDescent="0.3">
      <c r="A4330" s="6"/>
    </row>
    <row r="4331" spans="1:1" x14ac:dyDescent="0.3">
      <c r="A4331" s="6"/>
    </row>
    <row r="4332" spans="1:1" x14ac:dyDescent="0.3">
      <c r="A4332" s="6"/>
    </row>
    <row r="4333" spans="1:1" x14ac:dyDescent="0.3">
      <c r="A4333" s="6"/>
    </row>
    <row r="4334" spans="1:1" x14ac:dyDescent="0.3">
      <c r="A4334" s="6"/>
    </row>
    <row r="4335" spans="1:1" x14ac:dyDescent="0.3">
      <c r="A4335" s="6"/>
    </row>
    <row r="4336" spans="1:1" x14ac:dyDescent="0.3">
      <c r="A4336" s="6"/>
    </row>
    <row r="4337" spans="1:1" x14ac:dyDescent="0.3">
      <c r="A4337" s="6"/>
    </row>
    <row r="4338" spans="1:1" x14ac:dyDescent="0.3">
      <c r="A4338" s="6"/>
    </row>
    <row r="4339" spans="1:1" x14ac:dyDescent="0.3">
      <c r="A4339" s="6"/>
    </row>
    <row r="4340" spans="1:1" x14ac:dyDescent="0.3">
      <c r="A4340" s="6"/>
    </row>
    <row r="4341" spans="1:1" x14ac:dyDescent="0.3">
      <c r="A4341" s="6"/>
    </row>
    <row r="4342" spans="1:1" x14ac:dyDescent="0.3">
      <c r="A4342" s="6"/>
    </row>
    <row r="4343" spans="1:1" x14ac:dyDescent="0.3">
      <c r="A4343" s="6"/>
    </row>
    <row r="4344" spans="1:1" x14ac:dyDescent="0.3">
      <c r="A4344" s="6"/>
    </row>
    <row r="4345" spans="1:1" x14ac:dyDescent="0.3">
      <c r="A4345" s="6"/>
    </row>
    <row r="4346" spans="1:1" x14ac:dyDescent="0.3">
      <c r="A4346" s="6"/>
    </row>
    <row r="4347" spans="1:1" x14ac:dyDescent="0.3">
      <c r="A4347" s="6"/>
    </row>
    <row r="4348" spans="1:1" x14ac:dyDescent="0.3">
      <c r="A4348" s="6"/>
    </row>
    <row r="4349" spans="1:1" x14ac:dyDescent="0.3">
      <c r="A4349" s="6"/>
    </row>
    <row r="4350" spans="1:1" x14ac:dyDescent="0.3">
      <c r="A4350" s="6"/>
    </row>
    <row r="4351" spans="1:1" x14ac:dyDescent="0.3">
      <c r="A4351" s="6"/>
    </row>
    <row r="4352" spans="1:1" x14ac:dyDescent="0.3">
      <c r="A4352" s="6"/>
    </row>
    <row r="4353" spans="1:1" x14ac:dyDescent="0.3">
      <c r="A4353" s="6"/>
    </row>
    <row r="4354" spans="1:1" x14ac:dyDescent="0.3">
      <c r="A4354" s="6"/>
    </row>
    <row r="4355" spans="1:1" x14ac:dyDescent="0.3">
      <c r="A4355" s="6"/>
    </row>
    <row r="4356" spans="1:1" x14ac:dyDescent="0.3">
      <c r="A4356" s="6"/>
    </row>
    <row r="4357" spans="1:1" x14ac:dyDescent="0.3">
      <c r="A4357" s="6"/>
    </row>
    <row r="4358" spans="1:1" x14ac:dyDescent="0.3">
      <c r="A4358" s="6"/>
    </row>
    <row r="4359" spans="1:1" x14ac:dyDescent="0.3">
      <c r="A4359" s="6"/>
    </row>
    <row r="4360" spans="1:1" x14ac:dyDescent="0.3">
      <c r="A4360" s="6"/>
    </row>
    <row r="4361" spans="1:1" x14ac:dyDescent="0.3">
      <c r="A4361" s="6"/>
    </row>
    <row r="4362" spans="1:1" x14ac:dyDescent="0.3">
      <c r="A4362" s="6"/>
    </row>
    <row r="4363" spans="1:1" x14ac:dyDescent="0.3">
      <c r="A4363" s="6"/>
    </row>
    <row r="4364" spans="1:1" x14ac:dyDescent="0.3">
      <c r="A4364" s="6"/>
    </row>
    <row r="4365" spans="1:1" x14ac:dyDescent="0.3">
      <c r="A4365" s="6"/>
    </row>
    <row r="4366" spans="1:1" x14ac:dyDescent="0.3">
      <c r="A4366" s="6"/>
    </row>
    <row r="4367" spans="1:1" x14ac:dyDescent="0.3">
      <c r="A4367" s="6"/>
    </row>
    <row r="4368" spans="1:1" x14ac:dyDescent="0.3">
      <c r="A4368" s="6"/>
    </row>
    <row r="4369" spans="1:1" x14ac:dyDescent="0.3">
      <c r="A4369" s="6"/>
    </row>
    <row r="4370" spans="1:1" x14ac:dyDescent="0.3">
      <c r="A4370" s="6"/>
    </row>
    <row r="4371" spans="1:1" x14ac:dyDescent="0.3">
      <c r="A4371" s="6"/>
    </row>
    <row r="4372" spans="1:1" x14ac:dyDescent="0.3">
      <c r="A4372" s="6"/>
    </row>
    <row r="4373" spans="1:1" x14ac:dyDescent="0.3">
      <c r="A4373" s="6"/>
    </row>
    <row r="4374" spans="1:1" x14ac:dyDescent="0.3">
      <c r="A4374" s="6"/>
    </row>
    <row r="4375" spans="1:1" x14ac:dyDescent="0.3">
      <c r="A4375" s="6"/>
    </row>
    <row r="4376" spans="1:1" x14ac:dyDescent="0.3">
      <c r="A4376" s="6"/>
    </row>
    <row r="4377" spans="1:1" x14ac:dyDescent="0.3">
      <c r="A4377" s="6"/>
    </row>
    <row r="4378" spans="1:1" x14ac:dyDescent="0.3">
      <c r="A4378" s="6"/>
    </row>
    <row r="4379" spans="1:1" x14ac:dyDescent="0.3">
      <c r="A4379" s="6"/>
    </row>
    <row r="4380" spans="1:1" x14ac:dyDescent="0.3">
      <c r="A4380" s="6"/>
    </row>
    <row r="4381" spans="1:1" x14ac:dyDescent="0.3">
      <c r="A4381" s="6"/>
    </row>
    <row r="4382" spans="1:1" x14ac:dyDescent="0.3">
      <c r="A4382" s="6"/>
    </row>
    <row r="4383" spans="1:1" x14ac:dyDescent="0.3">
      <c r="A4383" s="6"/>
    </row>
    <row r="4384" spans="1:1" x14ac:dyDescent="0.3">
      <c r="A4384" s="6"/>
    </row>
    <row r="4385" spans="1:1" x14ac:dyDescent="0.3">
      <c r="A4385" s="6"/>
    </row>
    <row r="4386" spans="1:1" x14ac:dyDescent="0.3">
      <c r="A4386" s="6"/>
    </row>
    <row r="4387" spans="1:1" x14ac:dyDescent="0.3">
      <c r="A4387" s="6"/>
    </row>
    <row r="4388" spans="1:1" x14ac:dyDescent="0.3">
      <c r="A4388" s="6"/>
    </row>
    <row r="4389" spans="1:1" x14ac:dyDescent="0.3">
      <c r="A4389" s="6"/>
    </row>
    <row r="4390" spans="1:1" x14ac:dyDescent="0.3">
      <c r="A4390" s="6"/>
    </row>
    <row r="4391" spans="1:1" x14ac:dyDescent="0.3">
      <c r="A4391" s="6"/>
    </row>
    <row r="4392" spans="1:1" x14ac:dyDescent="0.3">
      <c r="A4392" s="6"/>
    </row>
    <row r="4393" spans="1:1" x14ac:dyDescent="0.3">
      <c r="A4393" s="6"/>
    </row>
    <row r="4394" spans="1:1" x14ac:dyDescent="0.3">
      <c r="A4394" s="6"/>
    </row>
    <row r="4395" spans="1:1" x14ac:dyDescent="0.3">
      <c r="A4395" s="6"/>
    </row>
    <row r="4396" spans="1:1" x14ac:dyDescent="0.3">
      <c r="A4396" s="6"/>
    </row>
    <row r="4397" spans="1:1" x14ac:dyDescent="0.3">
      <c r="A4397" s="6"/>
    </row>
    <row r="4398" spans="1:1" x14ac:dyDescent="0.3">
      <c r="A4398" s="6"/>
    </row>
    <row r="4399" spans="1:1" x14ac:dyDescent="0.3">
      <c r="A4399" s="6"/>
    </row>
    <row r="4400" spans="1:1" x14ac:dyDescent="0.3">
      <c r="A4400" s="6"/>
    </row>
    <row r="4401" spans="1:1" x14ac:dyDescent="0.3">
      <c r="A4401" s="6"/>
    </row>
    <row r="4402" spans="1:1" x14ac:dyDescent="0.3">
      <c r="A4402" s="6"/>
    </row>
    <row r="4403" spans="1:1" x14ac:dyDescent="0.3">
      <c r="A4403" s="6"/>
    </row>
    <row r="4404" spans="1:1" x14ac:dyDescent="0.3">
      <c r="A4404" s="6"/>
    </row>
    <row r="4405" spans="1:1" x14ac:dyDescent="0.3">
      <c r="A4405" s="6"/>
    </row>
    <row r="4406" spans="1:1" x14ac:dyDescent="0.3">
      <c r="A4406" s="6"/>
    </row>
    <row r="4407" spans="1:1" x14ac:dyDescent="0.3">
      <c r="A4407" s="6"/>
    </row>
    <row r="4408" spans="1:1" x14ac:dyDescent="0.3">
      <c r="A4408" s="6"/>
    </row>
    <row r="4409" spans="1:1" x14ac:dyDescent="0.3">
      <c r="A4409" s="6"/>
    </row>
    <row r="4410" spans="1:1" x14ac:dyDescent="0.3">
      <c r="A4410" s="6"/>
    </row>
    <row r="4411" spans="1:1" x14ac:dyDescent="0.3">
      <c r="A4411" s="6"/>
    </row>
    <row r="4412" spans="1:1" x14ac:dyDescent="0.3">
      <c r="A4412" s="6"/>
    </row>
    <row r="4413" spans="1:1" x14ac:dyDescent="0.3">
      <c r="A4413" s="6"/>
    </row>
    <row r="4414" spans="1:1" x14ac:dyDescent="0.3">
      <c r="A4414" s="6"/>
    </row>
    <row r="4415" spans="1:1" x14ac:dyDescent="0.3">
      <c r="A4415" s="6"/>
    </row>
    <row r="4416" spans="1:1" x14ac:dyDescent="0.3">
      <c r="A4416" s="6"/>
    </row>
    <row r="4417" spans="1:1" x14ac:dyDescent="0.3">
      <c r="A4417" s="6"/>
    </row>
    <row r="4418" spans="1:1" x14ac:dyDescent="0.3">
      <c r="A4418" s="6"/>
    </row>
    <row r="4419" spans="1:1" x14ac:dyDescent="0.3">
      <c r="A4419" s="6"/>
    </row>
    <row r="4420" spans="1:1" x14ac:dyDescent="0.3">
      <c r="A4420" s="6"/>
    </row>
    <row r="4421" spans="1:1" x14ac:dyDescent="0.3">
      <c r="A4421" s="6"/>
    </row>
    <row r="4422" spans="1:1" x14ac:dyDescent="0.3">
      <c r="A4422" s="6"/>
    </row>
    <row r="4423" spans="1:1" x14ac:dyDescent="0.3">
      <c r="A4423" s="6"/>
    </row>
    <row r="4424" spans="1:1" x14ac:dyDescent="0.3">
      <c r="A4424" s="6"/>
    </row>
    <row r="4425" spans="1:1" x14ac:dyDescent="0.3">
      <c r="A4425" s="6"/>
    </row>
    <row r="4426" spans="1:1" x14ac:dyDescent="0.3">
      <c r="A4426" s="6"/>
    </row>
    <row r="4427" spans="1:1" x14ac:dyDescent="0.3">
      <c r="A4427" s="6"/>
    </row>
    <row r="4428" spans="1:1" x14ac:dyDescent="0.3">
      <c r="A4428" s="6"/>
    </row>
    <row r="4429" spans="1:1" x14ac:dyDescent="0.3">
      <c r="A4429" s="6"/>
    </row>
    <row r="4430" spans="1:1" x14ac:dyDescent="0.3">
      <c r="A4430" s="6"/>
    </row>
    <row r="4431" spans="1:1" x14ac:dyDescent="0.3">
      <c r="A4431" s="6"/>
    </row>
    <row r="4432" spans="1:1" x14ac:dyDescent="0.3">
      <c r="A4432" s="6"/>
    </row>
    <row r="4433" spans="1:1" x14ac:dyDescent="0.3">
      <c r="A4433" s="6"/>
    </row>
    <row r="4434" spans="1:1" x14ac:dyDescent="0.3">
      <c r="A4434" s="6"/>
    </row>
    <row r="4435" spans="1:1" x14ac:dyDescent="0.3">
      <c r="A4435" s="6"/>
    </row>
    <row r="4436" spans="1:1" x14ac:dyDescent="0.3">
      <c r="A4436" s="6"/>
    </row>
    <row r="4437" spans="1:1" x14ac:dyDescent="0.3">
      <c r="A4437" s="6"/>
    </row>
    <row r="4438" spans="1:1" x14ac:dyDescent="0.3">
      <c r="A4438" s="6"/>
    </row>
    <row r="4439" spans="1:1" x14ac:dyDescent="0.3">
      <c r="A4439" s="6"/>
    </row>
    <row r="4440" spans="1:1" x14ac:dyDescent="0.3">
      <c r="A4440" s="6"/>
    </row>
    <row r="4441" spans="1:1" x14ac:dyDescent="0.3">
      <c r="A4441" s="6"/>
    </row>
    <row r="4442" spans="1:1" x14ac:dyDescent="0.3">
      <c r="A4442" s="6"/>
    </row>
    <row r="4443" spans="1:1" x14ac:dyDescent="0.3">
      <c r="A4443" s="6"/>
    </row>
    <row r="4444" spans="1:1" x14ac:dyDescent="0.3">
      <c r="A4444" s="6"/>
    </row>
    <row r="4445" spans="1:1" x14ac:dyDescent="0.3">
      <c r="A4445" s="6"/>
    </row>
    <row r="4446" spans="1:1" x14ac:dyDescent="0.3">
      <c r="A4446" s="6"/>
    </row>
    <row r="4447" spans="1:1" x14ac:dyDescent="0.3">
      <c r="A4447" s="6"/>
    </row>
    <row r="4448" spans="1:1" x14ac:dyDescent="0.3">
      <c r="A4448" s="6"/>
    </row>
    <row r="4449" spans="1:1" x14ac:dyDescent="0.3">
      <c r="A4449" s="6"/>
    </row>
    <row r="4450" spans="1:1" x14ac:dyDescent="0.3">
      <c r="A4450" s="6"/>
    </row>
    <row r="4451" spans="1:1" x14ac:dyDescent="0.3">
      <c r="A4451" s="6"/>
    </row>
    <row r="4452" spans="1:1" x14ac:dyDescent="0.3">
      <c r="A4452" s="6"/>
    </row>
    <row r="4453" spans="1:1" x14ac:dyDescent="0.3">
      <c r="A4453" s="6"/>
    </row>
    <row r="4454" spans="1:1" x14ac:dyDescent="0.3">
      <c r="A4454" s="6"/>
    </row>
    <row r="4455" spans="1:1" x14ac:dyDescent="0.3">
      <c r="A4455" s="6"/>
    </row>
    <row r="4456" spans="1:1" x14ac:dyDescent="0.3">
      <c r="A4456" s="6"/>
    </row>
    <row r="4457" spans="1:1" x14ac:dyDescent="0.3">
      <c r="A4457" s="6"/>
    </row>
    <row r="4458" spans="1:1" x14ac:dyDescent="0.3">
      <c r="A4458" s="6"/>
    </row>
    <row r="4459" spans="1:1" x14ac:dyDescent="0.3">
      <c r="A4459" s="6"/>
    </row>
    <row r="4460" spans="1:1" x14ac:dyDescent="0.3">
      <c r="A4460" s="6"/>
    </row>
    <row r="4461" spans="1:1" x14ac:dyDescent="0.3">
      <c r="A4461" s="6"/>
    </row>
    <row r="4462" spans="1:1" x14ac:dyDescent="0.3">
      <c r="A4462" s="6"/>
    </row>
    <row r="4463" spans="1:1" x14ac:dyDescent="0.3">
      <c r="A4463" s="6"/>
    </row>
    <row r="4464" spans="1:1" x14ac:dyDescent="0.3">
      <c r="A4464" s="6"/>
    </row>
    <row r="4465" spans="1:1" x14ac:dyDescent="0.3">
      <c r="A4465" s="6"/>
    </row>
    <row r="4466" spans="1:1" x14ac:dyDescent="0.3">
      <c r="A4466" s="6"/>
    </row>
    <row r="4467" spans="1:1" x14ac:dyDescent="0.3">
      <c r="A4467" s="6"/>
    </row>
    <row r="4468" spans="1:1" x14ac:dyDescent="0.3">
      <c r="A4468" s="6"/>
    </row>
    <row r="4469" spans="1:1" x14ac:dyDescent="0.3">
      <c r="A4469" s="6"/>
    </row>
    <row r="4470" spans="1:1" x14ac:dyDescent="0.3">
      <c r="A4470" s="6"/>
    </row>
    <row r="4471" spans="1:1" x14ac:dyDescent="0.3">
      <c r="A4471" s="6"/>
    </row>
    <row r="4472" spans="1:1" x14ac:dyDescent="0.3">
      <c r="A4472" s="6"/>
    </row>
    <row r="4473" spans="1:1" x14ac:dyDescent="0.3">
      <c r="A4473" s="6"/>
    </row>
    <row r="4474" spans="1:1" x14ac:dyDescent="0.3">
      <c r="A4474" s="6"/>
    </row>
    <row r="4475" spans="1:1" x14ac:dyDescent="0.3">
      <c r="A4475" s="6"/>
    </row>
    <row r="4476" spans="1:1" x14ac:dyDescent="0.3">
      <c r="A4476" s="6"/>
    </row>
    <row r="4477" spans="1:1" x14ac:dyDescent="0.3">
      <c r="A4477" s="6"/>
    </row>
    <row r="4478" spans="1:1" x14ac:dyDescent="0.3">
      <c r="A4478" s="6"/>
    </row>
    <row r="4479" spans="1:1" x14ac:dyDescent="0.3">
      <c r="A4479" s="6"/>
    </row>
    <row r="4480" spans="1:1" x14ac:dyDescent="0.3">
      <c r="A4480" s="6"/>
    </row>
    <row r="4481" spans="1:1" x14ac:dyDescent="0.3">
      <c r="A4481" s="6"/>
    </row>
    <row r="4482" spans="1:1" x14ac:dyDescent="0.3">
      <c r="A4482" s="6"/>
    </row>
    <row r="4483" spans="1:1" x14ac:dyDescent="0.3">
      <c r="A4483" s="6"/>
    </row>
    <row r="4484" spans="1:1" x14ac:dyDescent="0.3">
      <c r="A4484" s="6"/>
    </row>
    <row r="4485" spans="1:1" x14ac:dyDescent="0.3">
      <c r="A4485" s="6"/>
    </row>
    <row r="4486" spans="1:1" x14ac:dyDescent="0.3">
      <c r="A4486" s="6"/>
    </row>
    <row r="4487" spans="1:1" x14ac:dyDescent="0.3">
      <c r="A4487" s="6"/>
    </row>
    <row r="4488" spans="1:1" x14ac:dyDescent="0.3">
      <c r="A4488" s="6"/>
    </row>
    <row r="4489" spans="1:1" x14ac:dyDescent="0.3">
      <c r="A4489" s="6"/>
    </row>
    <row r="4490" spans="1:1" x14ac:dyDescent="0.3">
      <c r="A4490" s="6"/>
    </row>
    <row r="4491" spans="1:1" x14ac:dyDescent="0.3">
      <c r="A4491" s="6"/>
    </row>
    <row r="4492" spans="1:1" x14ac:dyDescent="0.3">
      <c r="A4492" s="6"/>
    </row>
    <row r="4493" spans="1:1" x14ac:dyDescent="0.3">
      <c r="A4493" s="6"/>
    </row>
    <row r="4494" spans="1:1" x14ac:dyDescent="0.3">
      <c r="A4494" s="6"/>
    </row>
    <row r="4495" spans="1:1" x14ac:dyDescent="0.3">
      <c r="A4495" s="6"/>
    </row>
    <row r="4496" spans="1:1" x14ac:dyDescent="0.3">
      <c r="A4496" s="6"/>
    </row>
    <row r="4497" spans="1:1" x14ac:dyDescent="0.3">
      <c r="A4497" s="6"/>
    </row>
    <row r="4498" spans="1:1" x14ac:dyDescent="0.3">
      <c r="A4498" s="6"/>
    </row>
    <row r="4499" spans="1:1" x14ac:dyDescent="0.3">
      <c r="A4499" s="6"/>
    </row>
    <row r="4500" spans="1:1" x14ac:dyDescent="0.3">
      <c r="A4500" s="6"/>
    </row>
    <row r="4501" spans="1:1" x14ac:dyDescent="0.3">
      <c r="A4501" s="6"/>
    </row>
    <row r="4502" spans="1:1" x14ac:dyDescent="0.3">
      <c r="A4502" s="6"/>
    </row>
    <row r="4503" spans="1:1" x14ac:dyDescent="0.3">
      <c r="A4503" s="6"/>
    </row>
    <row r="4504" spans="1:1" x14ac:dyDescent="0.3">
      <c r="A4504" s="6"/>
    </row>
    <row r="4505" spans="1:1" x14ac:dyDescent="0.3">
      <c r="A4505" s="6"/>
    </row>
    <row r="4506" spans="1:1" x14ac:dyDescent="0.3">
      <c r="A4506" s="6"/>
    </row>
    <row r="4507" spans="1:1" x14ac:dyDescent="0.3">
      <c r="A4507" s="6"/>
    </row>
    <row r="4508" spans="1:1" x14ac:dyDescent="0.3">
      <c r="A4508" s="6"/>
    </row>
    <row r="4509" spans="1:1" x14ac:dyDescent="0.3">
      <c r="A4509" s="6"/>
    </row>
    <row r="4510" spans="1:1" x14ac:dyDescent="0.3">
      <c r="A4510" s="6"/>
    </row>
    <row r="4511" spans="1:1" x14ac:dyDescent="0.3">
      <c r="A4511" s="6"/>
    </row>
    <row r="4512" spans="1:1" x14ac:dyDescent="0.3">
      <c r="A4512" s="6"/>
    </row>
    <row r="4513" spans="1:1" x14ac:dyDescent="0.3">
      <c r="A4513" s="6"/>
    </row>
    <row r="4514" spans="1:1" x14ac:dyDescent="0.3">
      <c r="A4514" s="6"/>
    </row>
    <row r="4515" spans="1:1" x14ac:dyDescent="0.3">
      <c r="A4515" s="6"/>
    </row>
    <row r="4516" spans="1:1" x14ac:dyDescent="0.3">
      <c r="A4516" s="6"/>
    </row>
    <row r="4517" spans="1:1" x14ac:dyDescent="0.3">
      <c r="A4517" s="6"/>
    </row>
    <row r="4518" spans="1:1" x14ac:dyDescent="0.3">
      <c r="A4518" s="6"/>
    </row>
    <row r="4519" spans="1:1" x14ac:dyDescent="0.3">
      <c r="A4519" s="6"/>
    </row>
    <row r="4520" spans="1:1" x14ac:dyDescent="0.3">
      <c r="A4520" s="6"/>
    </row>
    <row r="4521" spans="1:1" x14ac:dyDescent="0.3">
      <c r="A4521" s="6"/>
    </row>
    <row r="4522" spans="1:1" x14ac:dyDescent="0.3">
      <c r="A4522" s="6"/>
    </row>
    <row r="4523" spans="1:1" x14ac:dyDescent="0.3">
      <c r="A4523" s="6"/>
    </row>
    <row r="4524" spans="1:1" x14ac:dyDescent="0.3">
      <c r="A4524" s="6"/>
    </row>
    <row r="4525" spans="1:1" x14ac:dyDescent="0.3">
      <c r="A4525" s="6"/>
    </row>
    <row r="4526" spans="1:1" x14ac:dyDescent="0.3">
      <c r="A4526" s="6"/>
    </row>
    <row r="4527" spans="1:1" x14ac:dyDescent="0.3">
      <c r="A4527" s="6"/>
    </row>
    <row r="4528" spans="1:1" x14ac:dyDescent="0.3">
      <c r="A4528" s="6"/>
    </row>
    <row r="4529" spans="1:1" x14ac:dyDescent="0.3">
      <c r="A4529" s="6"/>
    </row>
    <row r="4530" spans="1:1" x14ac:dyDescent="0.3">
      <c r="A4530" s="6"/>
    </row>
    <row r="4531" spans="1:1" x14ac:dyDescent="0.3">
      <c r="A4531" s="6"/>
    </row>
    <row r="4532" spans="1:1" x14ac:dyDescent="0.3">
      <c r="A4532" s="6"/>
    </row>
    <row r="4533" spans="1:1" x14ac:dyDescent="0.3">
      <c r="A4533" s="6"/>
    </row>
    <row r="4534" spans="1:1" x14ac:dyDescent="0.3">
      <c r="A4534" s="6"/>
    </row>
    <row r="4535" spans="1:1" x14ac:dyDescent="0.3">
      <c r="A4535" s="6"/>
    </row>
    <row r="4536" spans="1:1" x14ac:dyDescent="0.3">
      <c r="A4536" s="6"/>
    </row>
    <row r="4537" spans="1:1" x14ac:dyDescent="0.3">
      <c r="A4537" s="6"/>
    </row>
    <row r="4538" spans="1:1" x14ac:dyDescent="0.3">
      <c r="A4538" s="6"/>
    </row>
    <row r="4539" spans="1:1" x14ac:dyDescent="0.3">
      <c r="A4539" s="6"/>
    </row>
    <row r="4540" spans="1:1" x14ac:dyDescent="0.3">
      <c r="A4540" s="6"/>
    </row>
    <row r="4541" spans="1:1" x14ac:dyDescent="0.3">
      <c r="A4541" s="6"/>
    </row>
    <row r="4542" spans="1:1" x14ac:dyDescent="0.3">
      <c r="A4542" s="6"/>
    </row>
    <row r="4543" spans="1:1" x14ac:dyDescent="0.3">
      <c r="A4543" s="6"/>
    </row>
    <row r="4544" spans="1:1" x14ac:dyDescent="0.3">
      <c r="A4544" s="6"/>
    </row>
    <row r="4545" spans="1:1" x14ac:dyDescent="0.3">
      <c r="A4545" s="6"/>
    </row>
    <row r="4546" spans="1:1" x14ac:dyDescent="0.3">
      <c r="A4546" s="6"/>
    </row>
    <row r="4547" spans="1:1" x14ac:dyDescent="0.3">
      <c r="A4547" s="6"/>
    </row>
    <row r="4548" spans="1:1" x14ac:dyDescent="0.3">
      <c r="A4548" s="6"/>
    </row>
    <row r="4549" spans="1:1" x14ac:dyDescent="0.3">
      <c r="A4549" s="6"/>
    </row>
    <row r="4550" spans="1:1" x14ac:dyDescent="0.3">
      <c r="A4550" s="6"/>
    </row>
    <row r="4551" spans="1:1" x14ac:dyDescent="0.3">
      <c r="A4551" s="6"/>
    </row>
    <row r="4552" spans="1:1" x14ac:dyDescent="0.3">
      <c r="A4552" s="6"/>
    </row>
    <row r="4553" spans="1:1" x14ac:dyDescent="0.3">
      <c r="A4553" s="6"/>
    </row>
    <row r="4554" spans="1:1" x14ac:dyDescent="0.3">
      <c r="A4554" s="6"/>
    </row>
    <row r="4555" spans="1:1" x14ac:dyDescent="0.3">
      <c r="A4555" s="6"/>
    </row>
    <row r="4556" spans="1:1" x14ac:dyDescent="0.3">
      <c r="A4556" s="6"/>
    </row>
    <row r="4557" spans="1:1" x14ac:dyDescent="0.3">
      <c r="A4557" s="6"/>
    </row>
    <row r="4558" spans="1:1" x14ac:dyDescent="0.3">
      <c r="A4558" s="6"/>
    </row>
    <row r="4559" spans="1:1" x14ac:dyDescent="0.3">
      <c r="A4559" s="6"/>
    </row>
    <row r="4560" spans="1:1" x14ac:dyDescent="0.3">
      <c r="A4560" s="6"/>
    </row>
    <row r="4561" spans="1:1" x14ac:dyDescent="0.3">
      <c r="A4561" s="6"/>
    </row>
    <row r="4562" spans="1:1" x14ac:dyDescent="0.3">
      <c r="A4562" s="6"/>
    </row>
    <row r="4563" spans="1:1" x14ac:dyDescent="0.3">
      <c r="A4563" s="6"/>
    </row>
    <row r="4564" spans="1:1" x14ac:dyDescent="0.3">
      <c r="A4564" s="6"/>
    </row>
    <row r="4565" spans="1:1" x14ac:dyDescent="0.3">
      <c r="A4565" s="6"/>
    </row>
    <row r="4566" spans="1:1" x14ac:dyDescent="0.3">
      <c r="A4566" s="6"/>
    </row>
    <row r="4567" spans="1:1" x14ac:dyDescent="0.3">
      <c r="A4567" s="6"/>
    </row>
    <row r="4568" spans="1:1" x14ac:dyDescent="0.3">
      <c r="A4568" s="6"/>
    </row>
    <row r="4569" spans="1:1" x14ac:dyDescent="0.3">
      <c r="A4569" s="6"/>
    </row>
    <row r="4570" spans="1:1" x14ac:dyDescent="0.3">
      <c r="A4570" s="6"/>
    </row>
    <row r="4571" spans="1:1" x14ac:dyDescent="0.3">
      <c r="A4571" s="6"/>
    </row>
    <row r="4572" spans="1:1" x14ac:dyDescent="0.3">
      <c r="A4572" s="6"/>
    </row>
    <row r="4573" spans="1:1" x14ac:dyDescent="0.3">
      <c r="A4573" s="6"/>
    </row>
    <row r="4574" spans="1:1" x14ac:dyDescent="0.3">
      <c r="A4574" s="6"/>
    </row>
    <row r="4575" spans="1:1" x14ac:dyDescent="0.3">
      <c r="A4575" s="6"/>
    </row>
    <row r="4576" spans="1:1" x14ac:dyDescent="0.3">
      <c r="A4576" s="6"/>
    </row>
    <row r="4577" spans="1:1" x14ac:dyDescent="0.3">
      <c r="A4577" s="6"/>
    </row>
    <row r="4578" spans="1:1" x14ac:dyDescent="0.3">
      <c r="A4578" s="6"/>
    </row>
    <row r="4579" spans="1:1" x14ac:dyDescent="0.3">
      <c r="A4579" s="6"/>
    </row>
    <row r="4580" spans="1:1" x14ac:dyDescent="0.3">
      <c r="A4580" s="6"/>
    </row>
    <row r="4581" spans="1:1" x14ac:dyDescent="0.3">
      <c r="A4581" s="6"/>
    </row>
    <row r="4582" spans="1:1" x14ac:dyDescent="0.3">
      <c r="A4582" s="6"/>
    </row>
    <row r="4583" spans="1:1" x14ac:dyDescent="0.3">
      <c r="A4583" s="6"/>
    </row>
    <row r="4584" spans="1:1" x14ac:dyDescent="0.3">
      <c r="A4584" s="6"/>
    </row>
    <row r="4585" spans="1:1" x14ac:dyDescent="0.3">
      <c r="A4585" s="6"/>
    </row>
    <row r="4586" spans="1:1" x14ac:dyDescent="0.3">
      <c r="A4586" s="6"/>
    </row>
    <row r="4587" spans="1:1" x14ac:dyDescent="0.3">
      <c r="A4587" s="6"/>
    </row>
    <row r="4588" spans="1:1" x14ac:dyDescent="0.3">
      <c r="A4588" s="6"/>
    </row>
    <row r="4589" spans="1:1" x14ac:dyDescent="0.3">
      <c r="A4589" s="6"/>
    </row>
    <row r="4590" spans="1:1" x14ac:dyDescent="0.3">
      <c r="A4590" s="6"/>
    </row>
    <row r="4591" spans="1:1" x14ac:dyDescent="0.3">
      <c r="A4591" s="6"/>
    </row>
    <row r="4592" spans="1:1" x14ac:dyDescent="0.3">
      <c r="A4592" s="6"/>
    </row>
    <row r="4593" spans="1:1" x14ac:dyDescent="0.3">
      <c r="A4593" s="6"/>
    </row>
    <row r="4594" spans="1:1" x14ac:dyDescent="0.3">
      <c r="A4594" s="6"/>
    </row>
    <row r="4595" spans="1:1" x14ac:dyDescent="0.3">
      <c r="A4595" s="6"/>
    </row>
    <row r="4596" spans="1:1" x14ac:dyDescent="0.3">
      <c r="A4596" s="6"/>
    </row>
    <row r="4597" spans="1:1" x14ac:dyDescent="0.3">
      <c r="A4597" s="6"/>
    </row>
    <row r="4598" spans="1:1" x14ac:dyDescent="0.3">
      <c r="A4598" s="6"/>
    </row>
    <row r="4599" spans="1:1" x14ac:dyDescent="0.3">
      <c r="A4599" s="6"/>
    </row>
    <row r="4600" spans="1:1" x14ac:dyDescent="0.3">
      <c r="A4600" s="6"/>
    </row>
    <row r="4601" spans="1:1" x14ac:dyDescent="0.3">
      <c r="A4601" s="6"/>
    </row>
    <row r="4602" spans="1:1" x14ac:dyDescent="0.3">
      <c r="A4602" s="6"/>
    </row>
    <row r="4603" spans="1:1" x14ac:dyDescent="0.3">
      <c r="A4603" s="6"/>
    </row>
    <row r="4604" spans="1:1" x14ac:dyDescent="0.3">
      <c r="A4604" s="6"/>
    </row>
    <row r="4605" spans="1:1" x14ac:dyDescent="0.3">
      <c r="A4605" s="6"/>
    </row>
    <row r="4606" spans="1:1" x14ac:dyDescent="0.3">
      <c r="A4606" s="6"/>
    </row>
    <row r="4607" spans="1:1" x14ac:dyDescent="0.3">
      <c r="A4607" s="6"/>
    </row>
    <row r="4608" spans="1:1" x14ac:dyDescent="0.3">
      <c r="A4608" s="6"/>
    </row>
    <row r="4609" spans="1:1" x14ac:dyDescent="0.3">
      <c r="A4609" s="6"/>
    </row>
    <row r="4610" spans="1:1" x14ac:dyDescent="0.3">
      <c r="A4610" s="6"/>
    </row>
    <row r="4611" spans="1:1" x14ac:dyDescent="0.3">
      <c r="A4611" s="6"/>
    </row>
    <row r="4612" spans="1:1" x14ac:dyDescent="0.3">
      <c r="A4612" s="6"/>
    </row>
    <row r="4613" spans="1:1" x14ac:dyDescent="0.3">
      <c r="A4613" s="6"/>
    </row>
    <row r="4614" spans="1:1" x14ac:dyDescent="0.3">
      <c r="A4614" s="6"/>
    </row>
    <row r="4615" spans="1:1" x14ac:dyDescent="0.3">
      <c r="A4615" s="6"/>
    </row>
    <row r="4616" spans="1:1" x14ac:dyDescent="0.3">
      <c r="A4616" s="6"/>
    </row>
    <row r="4617" spans="1:1" x14ac:dyDescent="0.3">
      <c r="A4617" s="6"/>
    </row>
    <row r="4618" spans="1:1" x14ac:dyDescent="0.3">
      <c r="A4618" s="6"/>
    </row>
    <row r="4619" spans="1:1" x14ac:dyDescent="0.3">
      <c r="A4619" s="6"/>
    </row>
    <row r="4620" spans="1:1" x14ac:dyDescent="0.3">
      <c r="A4620" s="6"/>
    </row>
    <row r="4621" spans="1:1" x14ac:dyDescent="0.3">
      <c r="A4621" s="6"/>
    </row>
    <row r="4622" spans="1:1" x14ac:dyDescent="0.3">
      <c r="A4622" s="6"/>
    </row>
    <row r="4623" spans="1:1" x14ac:dyDescent="0.3">
      <c r="A4623" s="6"/>
    </row>
    <row r="4624" spans="1:1" x14ac:dyDescent="0.3">
      <c r="A4624" s="6"/>
    </row>
    <row r="4625" spans="1:1" x14ac:dyDescent="0.3">
      <c r="A4625" s="6"/>
    </row>
    <row r="4626" spans="1:1" x14ac:dyDescent="0.3">
      <c r="A4626" s="6"/>
    </row>
    <row r="4627" spans="1:1" x14ac:dyDescent="0.3">
      <c r="A4627" s="6"/>
    </row>
    <row r="4628" spans="1:1" x14ac:dyDescent="0.3">
      <c r="A4628" s="6"/>
    </row>
    <row r="4629" spans="1:1" x14ac:dyDescent="0.3">
      <c r="A4629" s="6"/>
    </row>
    <row r="4630" spans="1:1" x14ac:dyDescent="0.3">
      <c r="A4630" s="6"/>
    </row>
    <row r="4631" spans="1:1" x14ac:dyDescent="0.3">
      <c r="A4631" s="6"/>
    </row>
    <row r="4632" spans="1:1" x14ac:dyDescent="0.3">
      <c r="A4632" s="6"/>
    </row>
    <row r="4633" spans="1:1" x14ac:dyDescent="0.3">
      <c r="A4633" s="6"/>
    </row>
    <row r="4634" spans="1:1" x14ac:dyDescent="0.3">
      <c r="A4634" s="6"/>
    </row>
    <row r="4635" spans="1:1" x14ac:dyDescent="0.3">
      <c r="A4635" s="6"/>
    </row>
    <row r="4636" spans="1:1" x14ac:dyDescent="0.3">
      <c r="A4636" s="6"/>
    </row>
    <row r="4637" spans="1:1" x14ac:dyDescent="0.3">
      <c r="A4637" s="6"/>
    </row>
    <row r="4638" spans="1:1" x14ac:dyDescent="0.3">
      <c r="A4638" s="6"/>
    </row>
    <row r="4639" spans="1:1" x14ac:dyDescent="0.3">
      <c r="A4639" s="6"/>
    </row>
    <row r="4640" spans="1:1" x14ac:dyDescent="0.3">
      <c r="A4640" s="6"/>
    </row>
    <row r="4641" spans="1:1" x14ac:dyDescent="0.3">
      <c r="A4641" s="6"/>
    </row>
    <row r="4642" spans="1:1" x14ac:dyDescent="0.3">
      <c r="A4642" s="6"/>
    </row>
    <row r="4643" spans="1:1" x14ac:dyDescent="0.3">
      <c r="A4643" s="6"/>
    </row>
    <row r="4644" spans="1:1" x14ac:dyDescent="0.3">
      <c r="A4644" s="6"/>
    </row>
    <row r="4645" spans="1:1" x14ac:dyDescent="0.3">
      <c r="A4645" s="6"/>
    </row>
    <row r="4646" spans="1:1" x14ac:dyDescent="0.3">
      <c r="A4646" s="6"/>
    </row>
    <row r="4647" spans="1:1" x14ac:dyDescent="0.3">
      <c r="A4647" s="6"/>
    </row>
    <row r="4648" spans="1:1" x14ac:dyDescent="0.3">
      <c r="A4648" s="6"/>
    </row>
    <row r="4649" spans="1:1" x14ac:dyDescent="0.3">
      <c r="A4649" s="6"/>
    </row>
    <row r="4650" spans="1:1" x14ac:dyDescent="0.3">
      <c r="A4650" s="6"/>
    </row>
    <row r="4651" spans="1:1" x14ac:dyDescent="0.3">
      <c r="A4651" s="6"/>
    </row>
    <row r="4652" spans="1:1" x14ac:dyDescent="0.3">
      <c r="A4652" s="6"/>
    </row>
    <row r="4653" spans="1:1" x14ac:dyDescent="0.3">
      <c r="A4653" s="6"/>
    </row>
    <row r="4654" spans="1:1" x14ac:dyDescent="0.3">
      <c r="A4654" s="6"/>
    </row>
    <row r="4655" spans="1:1" x14ac:dyDescent="0.3">
      <c r="A4655" s="6"/>
    </row>
    <row r="4656" spans="1:1" x14ac:dyDescent="0.3">
      <c r="A4656" s="6"/>
    </row>
    <row r="4657" spans="1:1" x14ac:dyDescent="0.3">
      <c r="A4657" s="6"/>
    </row>
    <row r="4658" spans="1:1" x14ac:dyDescent="0.3">
      <c r="A4658" s="6"/>
    </row>
    <row r="4659" spans="1:1" x14ac:dyDescent="0.3">
      <c r="A4659" s="6"/>
    </row>
    <row r="4660" spans="1:1" x14ac:dyDescent="0.3">
      <c r="A4660" s="6"/>
    </row>
    <row r="4661" spans="1:1" x14ac:dyDescent="0.3">
      <c r="A4661" s="6"/>
    </row>
    <row r="4662" spans="1:1" x14ac:dyDescent="0.3">
      <c r="A4662" s="6"/>
    </row>
    <row r="4663" spans="1:1" x14ac:dyDescent="0.3">
      <c r="A4663" s="6"/>
    </row>
    <row r="4664" spans="1:1" x14ac:dyDescent="0.3">
      <c r="A4664" s="6"/>
    </row>
    <row r="4665" spans="1:1" x14ac:dyDescent="0.3">
      <c r="A4665" s="6"/>
    </row>
    <row r="4666" spans="1:1" x14ac:dyDescent="0.3">
      <c r="A4666" s="6"/>
    </row>
    <row r="4667" spans="1:1" x14ac:dyDescent="0.3">
      <c r="A4667" s="6"/>
    </row>
    <row r="4668" spans="1:1" x14ac:dyDescent="0.3">
      <c r="A4668" s="6"/>
    </row>
    <row r="4669" spans="1:1" x14ac:dyDescent="0.3">
      <c r="A4669" s="6"/>
    </row>
    <row r="4670" spans="1:1" x14ac:dyDescent="0.3">
      <c r="A4670" s="6"/>
    </row>
    <row r="4671" spans="1:1" x14ac:dyDescent="0.3">
      <c r="A4671" s="6"/>
    </row>
    <row r="4672" spans="1:1" x14ac:dyDescent="0.3">
      <c r="A4672" s="6"/>
    </row>
    <row r="4673" spans="1:1" x14ac:dyDescent="0.3">
      <c r="A4673" s="6"/>
    </row>
    <row r="4674" spans="1:1" x14ac:dyDescent="0.3">
      <c r="A4674" s="6"/>
    </row>
    <row r="4675" spans="1:1" x14ac:dyDescent="0.3">
      <c r="A4675" s="6"/>
    </row>
    <row r="4676" spans="1:1" x14ac:dyDescent="0.3">
      <c r="A4676" s="6"/>
    </row>
    <row r="4677" spans="1:1" x14ac:dyDescent="0.3">
      <c r="A4677" s="6"/>
    </row>
    <row r="4678" spans="1:1" x14ac:dyDescent="0.3">
      <c r="A4678" s="6"/>
    </row>
    <row r="4679" spans="1:1" x14ac:dyDescent="0.3">
      <c r="A4679" s="6"/>
    </row>
    <row r="4680" spans="1:1" x14ac:dyDescent="0.3">
      <c r="A4680" s="6"/>
    </row>
    <row r="4681" spans="1:1" x14ac:dyDescent="0.3">
      <c r="A4681" s="6"/>
    </row>
    <row r="4682" spans="1:1" x14ac:dyDescent="0.3">
      <c r="A4682" s="6"/>
    </row>
    <row r="4683" spans="1:1" x14ac:dyDescent="0.3">
      <c r="A4683" s="6"/>
    </row>
    <row r="4684" spans="1:1" x14ac:dyDescent="0.3">
      <c r="A4684" s="6"/>
    </row>
    <row r="4685" spans="1:1" x14ac:dyDescent="0.3">
      <c r="A4685" s="6"/>
    </row>
    <row r="4686" spans="1:1" x14ac:dyDescent="0.3">
      <c r="A4686" s="6"/>
    </row>
    <row r="4687" spans="1:1" x14ac:dyDescent="0.3">
      <c r="A4687" s="6"/>
    </row>
    <row r="4688" spans="1:1" x14ac:dyDescent="0.3">
      <c r="A4688" s="6"/>
    </row>
    <row r="4689" spans="1:1" x14ac:dyDescent="0.3">
      <c r="A4689" s="6"/>
    </row>
    <row r="4690" spans="1:1" x14ac:dyDescent="0.3">
      <c r="A4690" s="6"/>
    </row>
    <row r="4691" spans="1:1" x14ac:dyDescent="0.3">
      <c r="A4691" s="6"/>
    </row>
    <row r="4692" spans="1:1" x14ac:dyDescent="0.3">
      <c r="A4692" s="6"/>
    </row>
    <row r="4693" spans="1:1" x14ac:dyDescent="0.3">
      <c r="A4693" s="6"/>
    </row>
    <row r="4694" spans="1:1" x14ac:dyDescent="0.3">
      <c r="A4694" s="6"/>
    </row>
    <row r="4695" spans="1:1" x14ac:dyDescent="0.3">
      <c r="A4695" s="6"/>
    </row>
    <row r="4696" spans="1:1" x14ac:dyDescent="0.3">
      <c r="A4696" s="6"/>
    </row>
    <row r="4697" spans="1:1" x14ac:dyDescent="0.3">
      <c r="A4697" s="6"/>
    </row>
    <row r="4698" spans="1:1" x14ac:dyDescent="0.3">
      <c r="A4698" s="6"/>
    </row>
    <row r="4699" spans="1:1" x14ac:dyDescent="0.3">
      <c r="A4699" s="6"/>
    </row>
    <row r="4700" spans="1:1" x14ac:dyDescent="0.3">
      <c r="A4700" s="6"/>
    </row>
    <row r="4701" spans="1:1" x14ac:dyDescent="0.3">
      <c r="A4701" s="6"/>
    </row>
    <row r="4702" spans="1:1" x14ac:dyDescent="0.3">
      <c r="A4702" s="6"/>
    </row>
    <row r="4703" spans="1:1" x14ac:dyDescent="0.3">
      <c r="A4703" s="6"/>
    </row>
    <row r="4704" spans="1:1" x14ac:dyDescent="0.3">
      <c r="A4704" s="6"/>
    </row>
    <row r="4705" spans="1:1" x14ac:dyDescent="0.3">
      <c r="A4705" s="6"/>
    </row>
    <row r="4706" spans="1:1" x14ac:dyDescent="0.3">
      <c r="A4706" s="6"/>
    </row>
    <row r="4707" spans="1:1" x14ac:dyDescent="0.3">
      <c r="A4707" s="6"/>
    </row>
    <row r="4708" spans="1:1" x14ac:dyDescent="0.3">
      <c r="A4708" s="6"/>
    </row>
    <row r="4709" spans="1:1" x14ac:dyDescent="0.3">
      <c r="A4709" s="6"/>
    </row>
    <row r="4710" spans="1:1" x14ac:dyDescent="0.3">
      <c r="A4710" s="6"/>
    </row>
    <row r="4711" spans="1:1" x14ac:dyDescent="0.3">
      <c r="A4711" s="6"/>
    </row>
    <row r="4712" spans="1:1" x14ac:dyDescent="0.3">
      <c r="A4712" s="6"/>
    </row>
    <row r="4713" spans="1:1" x14ac:dyDescent="0.3">
      <c r="A4713" s="6"/>
    </row>
    <row r="4714" spans="1:1" x14ac:dyDescent="0.3">
      <c r="A4714" s="6"/>
    </row>
    <row r="4715" spans="1:1" x14ac:dyDescent="0.3">
      <c r="A4715" s="6"/>
    </row>
    <row r="4716" spans="1:1" x14ac:dyDescent="0.3">
      <c r="A4716" s="6"/>
    </row>
    <row r="4717" spans="1:1" x14ac:dyDescent="0.3">
      <c r="A4717" s="6"/>
    </row>
    <row r="4718" spans="1:1" x14ac:dyDescent="0.3">
      <c r="A4718" s="6"/>
    </row>
    <row r="4719" spans="1:1" x14ac:dyDescent="0.3">
      <c r="A4719" s="6"/>
    </row>
    <row r="4720" spans="1:1" x14ac:dyDescent="0.3">
      <c r="A4720" s="6"/>
    </row>
    <row r="4721" spans="1:1" x14ac:dyDescent="0.3">
      <c r="A4721" s="6"/>
    </row>
    <row r="4722" spans="1:1" x14ac:dyDescent="0.3">
      <c r="A4722" s="6"/>
    </row>
    <row r="4723" spans="1:1" x14ac:dyDescent="0.3">
      <c r="A4723" s="6"/>
    </row>
    <row r="4724" spans="1:1" x14ac:dyDescent="0.3">
      <c r="A4724" s="6"/>
    </row>
    <row r="4725" spans="1:1" x14ac:dyDescent="0.3">
      <c r="A4725" s="6"/>
    </row>
    <row r="4726" spans="1:1" x14ac:dyDescent="0.3">
      <c r="A4726" s="6"/>
    </row>
    <row r="4727" spans="1:1" x14ac:dyDescent="0.3">
      <c r="A4727" s="6"/>
    </row>
    <row r="4728" spans="1:1" x14ac:dyDescent="0.3">
      <c r="A4728" s="6"/>
    </row>
    <row r="4729" spans="1:1" x14ac:dyDescent="0.3">
      <c r="A4729" s="6"/>
    </row>
    <row r="4730" spans="1:1" x14ac:dyDescent="0.3">
      <c r="A4730" s="6"/>
    </row>
    <row r="4731" spans="1:1" x14ac:dyDescent="0.3">
      <c r="A4731" s="6"/>
    </row>
    <row r="4732" spans="1:1" x14ac:dyDescent="0.3">
      <c r="A4732" s="6"/>
    </row>
    <row r="4733" spans="1:1" x14ac:dyDescent="0.3">
      <c r="A4733" s="6"/>
    </row>
    <row r="4734" spans="1:1" x14ac:dyDescent="0.3">
      <c r="A4734" s="6"/>
    </row>
    <row r="4735" spans="1:1" x14ac:dyDescent="0.3">
      <c r="A4735" s="6"/>
    </row>
    <row r="4736" spans="1:1" x14ac:dyDescent="0.3">
      <c r="A4736" s="6"/>
    </row>
    <row r="4737" spans="1:1" x14ac:dyDescent="0.3">
      <c r="A4737" s="6"/>
    </row>
    <row r="4738" spans="1:1" x14ac:dyDescent="0.3">
      <c r="A4738" s="6"/>
    </row>
    <row r="4739" spans="1:1" x14ac:dyDescent="0.3">
      <c r="A4739" s="6"/>
    </row>
    <row r="4740" spans="1:1" x14ac:dyDescent="0.3">
      <c r="A4740" s="6"/>
    </row>
    <row r="4741" spans="1:1" x14ac:dyDescent="0.3">
      <c r="A4741" s="6"/>
    </row>
    <row r="4742" spans="1:1" x14ac:dyDescent="0.3">
      <c r="A4742" s="6"/>
    </row>
    <row r="4743" spans="1:1" x14ac:dyDescent="0.3">
      <c r="A4743" s="6"/>
    </row>
    <row r="4744" spans="1:1" x14ac:dyDescent="0.3">
      <c r="A4744" s="6"/>
    </row>
    <row r="4745" spans="1:1" x14ac:dyDescent="0.3">
      <c r="A4745" s="6"/>
    </row>
    <row r="4746" spans="1:1" x14ac:dyDescent="0.3">
      <c r="A4746" s="6"/>
    </row>
    <row r="4747" spans="1:1" x14ac:dyDescent="0.3">
      <c r="A4747" s="6"/>
    </row>
    <row r="4748" spans="1:1" x14ac:dyDescent="0.3">
      <c r="A4748" s="6"/>
    </row>
    <row r="4749" spans="1:1" x14ac:dyDescent="0.3">
      <c r="A4749" s="6"/>
    </row>
    <row r="4750" spans="1:1" x14ac:dyDescent="0.3">
      <c r="A4750" s="6"/>
    </row>
    <row r="4751" spans="1:1" x14ac:dyDescent="0.3">
      <c r="A4751" s="6"/>
    </row>
    <row r="4752" spans="1:1" x14ac:dyDescent="0.3">
      <c r="A4752" s="6"/>
    </row>
    <row r="4753" spans="1:1" x14ac:dyDescent="0.3">
      <c r="A4753" s="6"/>
    </row>
    <row r="4754" spans="1:1" x14ac:dyDescent="0.3">
      <c r="A4754" s="6"/>
    </row>
    <row r="4755" spans="1:1" x14ac:dyDescent="0.3">
      <c r="A4755" s="6"/>
    </row>
    <row r="4756" spans="1:1" x14ac:dyDescent="0.3">
      <c r="A4756" s="6"/>
    </row>
    <row r="4757" spans="1:1" x14ac:dyDescent="0.3">
      <c r="A4757" s="6"/>
    </row>
    <row r="4758" spans="1:1" x14ac:dyDescent="0.3">
      <c r="A4758" s="6"/>
    </row>
    <row r="4759" spans="1:1" x14ac:dyDescent="0.3">
      <c r="A4759" s="6"/>
    </row>
    <row r="4760" spans="1:1" x14ac:dyDescent="0.3">
      <c r="A4760" s="6"/>
    </row>
    <row r="4761" spans="1:1" x14ac:dyDescent="0.3">
      <c r="A4761" s="6"/>
    </row>
    <row r="4762" spans="1:1" x14ac:dyDescent="0.3">
      <c r="A4762" s="6"/>
    </row>
    <row r="4763" spans="1:1" x14ac:dyDescent="0.3">
      <c r="A4763" s="6"/>
    </row>
    <row r="4764" spans="1:1" x14ac:dyDescent="0.3">
      <c r="A4764" s="6"/>
    </row>
    <row r="4765" spans="1:1" x14ac:dyDescent="0.3">
      <c r="A4765" s="6"/>
    </row>
    <row r="4766" spans="1:1" x14ac:dyDescent="0.3">
      <c r="A4766" s="6"/>
    </row>
    <row r="4767" spans="1:1" x14ac:dyDescent="0.3">
      <c r="A4767" s="6"/>
    </row>
    <row r="4768" spans="1:1" x14ac:dyDescent="0.3">
      <c r="A4768" s="6"/>
    </row>
    <row r="4769" spans="1:1" x14ac:dyDescent="0.3">
      <c r="A4769" s="6"/>
    </row>
    <row r="4770" spans="1:1" x14ac:dyDescent="0.3">
      <c r="A4770" s="6"/>
    </row>
    <row r="4771" spans="1:1" x14ac:dyDescent="0.3">
      <c r="A4771" s="6"/>
    </row>
    <row r="4772" spans="1:1" x14ac:dyDescent="0.3">
      <c r="A4772" s="6"/>
    </row>
    <row r="4773" spans="1:1" x14ac:dyDescent="0.3">
      <c r="A4773" s="6"/>
    </row>
    <row r="4774" spans="1:1" x14ac:dyDescent="0.3">
      <c r="A4774" s="6"/>
    </row>
    <row r="4775" spans="1:1" x14ac:dyDescent="0.3">
      <c r="A4775" s="6"/>
    </row>
    <row r="4776" spans="1:1" x14ac:dyDescent="0.3">
      <c r="A4776" s="6"/>
    </row>
    <row r="4777" spans="1:1" x14ac:dyDescent="0.3">
      <c r="A4777" s="6"/>
    </row>
    <row r="4778" spans="1:1" x14ac:dyDescent="0.3">
      <c r="A4778" s="6"/>
    </row>
    <row r="4779" spans="1:1" x14ac:dyDescent="0.3">
      <c r="A4779" s="6"/>
    </row>
    <row r="4780" spans="1:1" x14ac:dyDescent="0.3">
      <c r="A4780" s="6"/>
    </row>
    <row r="4781" spans="1:1" x14ac:dyDescent="0.3">
      <c r="A4781" s="6"/>
    </row>
    <row r="4782" spans="1:1" x14ac:dyDescent="0.3">
      <c r="A4782" s="6"/>
    </row>
    <row r="4783" spans="1:1" x14ac:dyDescent="0.3">
      <c r="A4783" s="6"/>
    </row>
    <row r="4784" spans="1:1" x14ac:dyDescent="0.3">
      <c r="A4784" s="6"/>
    </row>
    <row r="4785" spans="1:1" x14ac:dyDescent="0.3">
      <c r="A4785" s="6"/>
    </row>
    <row r="4786" spans="1:1" x14ac:dyDescent="0.3">
      <c r="A4786" s="6"/>
    </row>
    <row r="4787" spans="1:1" x14ac:dyDescent="0.3">
      <c r="A4787" s="6"/>
    </row>
    <row r="4788" spans="1:1" x14ac:dyDescent="0.3">
      <c r="A4788" s="6"/>
    </row>
    <row r="4789" spans="1:1" x14ac:dyDescent="0.3">
      <c r="A4789" s="6"/>
    </row>
    <row r="4790" spans="1:1" x14ac:dyDescent="0.3">
      <c r="A4790" s="6"/>
    </row>
    <row r="4791" spans="1:1" x14ac:dyDescent="0.3">
      <c r="A4791" s="6"/>
    </row>
    <row r="4792" spans="1:1" x14ac:dyDescent="0.3">
      <c r="A4792" s="6"/>
    </row>
    <row r="4793" spans="1:1" x14ac:dyDescent="0.3">
      <c r="A4793" s="6"/>
    </row>
    <row r="4794" spans="1:1" x14ac:dyDescent="0.3">
      <c r="A4794" s="6"/>
    </row>
    <row r="4795" spans="1:1" x14ac:dyDescent="0.3">
      <c r="A4795" s="6"/>
    </row>
    <row r="4796" spans="1:1" x14ac:dyDescent="0.3">
      <c r="A4796" s="6"/>
    </row>
    <row r="4797" spans="1:1" x14ac:dyDescent="0.3">
      <c r="A4797" s="6"/>
    </row>
    <row r="4798" spans="1:1" x14ac:dyDescent="0.3">
      <c r="A4798" s="6"/>
    </row>
    <row r="4799" spans="1:1" x14ac:dyDescent="0.3">
      <c r="A4799" s="6"/>
    </row>
    <row r="4800" spans="1:1" x14ac:dyDescent="0.3">
      <c r="A4800" s="6"/>
    </row>
    <row r="4801" spans="1:1" x14ac:dyDescent="0.3">
      <c r="A4801" s="6"/>
    </row>
    <row r="4802" spans="1:1" x14ac:dyDescent="0.3">
      <c r="A4802" s="6"/>
    </row>
    <row r="4803" spans="1:1" x14ac:dyDescent="0.3">
      <c r="A4803" s="6"/>
    </row>
    <row r="4804" spans="1:1" x14ac:dyDescent="0.3">
      <c r="A4804" s="6"/>
    </row>
    <row r="4805" spans="1:1" x14ac:dyDescent="0.3">
      <c r="A4805" s="6"/>
    </row>
    <row r="4806" spans="1:1" x14ac:dyDescent="0.3">
      <c r="A4806" s="6"/>
    </row>
    <row r="4807" spans="1:1" x14ac:dyDescent="0.3">
      <c r="A4807" s="6"/>
    </row>
    <row r="4808" spans="1:1" x14ac:dyDescent="0.3">
      <c r="A4808" s="6"/>
    </row>
    <row r="4809" spans="1:1" x14ac:dyDescent="0.3">
      <c r="A4809" s="6"/>
    </row>
    <row r="4810" spans="1:1" x14ac:dyDescent="0.3">
      <c r="A4810" s="6"/>
    </row>
    <row r="4811" spans="1:1" x14ac:dyDescent="0.3">
      <c r="A4811" s="6"/>
    </row>
    <row r="4812" spans="1:1" x14ac:dyDescent="0.3">
      <c r="A4812" s="6"/>
    </row>
    <row r="4813" spans="1:1" x14ac:dyDescent="0.3">
      <c r="A4813" s="6"/>
    </row>
    <row r="4814" spans="1:1" x14ac:dyDescent="0.3">
      <c r="A4814" s="6"/>
    </row>
    <row r="4815" spans="1:1" x14ac:dyDescent="0.3">
      <c r="A4815" s="6"/>
    </row>
    <row r="4816" spans="1:1" x14ac:dyDescent="0.3">
      <c r="A4816" s="6"/>
    </row>
    <row r="4817" spans="1:1" x14ac:dyDescent="0.3">
      <c r="A4817" s="6"/>
    </row>
    <row r="4818" spans="1:1" x14ac:dyDescent="0.3">
      <c r="A4818" s="6"/>
    </row>
    <row r="4819" spans="1:1" x14ac:dyDescent="0.3">
      <c r="A4819" s="6"/>
    </row>
    <row r="4820" spans="1:1" x14ac:dyDescent="0.3">
      <c r="A4820" s="6"/>
    </row>
    <row r="4821" spans="1:1" x14ac:dyDescent="0.3">
      <c r="A4821" s="6"/>
    </row>
    <row r="4822" spans="1:1" x14ac:dyDescent="0.3">
      <c r="A4822" s="6"/>
    </row>
    <row r="4823" spans="1:1" x14ac:dyDescent="0.3">
      <c r="A4823" s="6"/>
    </row>
    <row r="4824" spans="1:1" x14ac:dyDescent="0.3">
      <c r="A4824" s="6"/>
    </row>
    <row r="4825" spans="1:1" x14ac:dyDescent="0.3">
      <c r="A4825" s="6"/>
    </row>
    <row r="4826" spans="1:1" x14ac:dyDescent="0.3">
      <c r="A4826" s="6"/>
    </row>
    <row r="4827" spans="1:1" x14ac:dyDescent="0.3">
      <c r="A4827" s="6"/>
    </row>
    <row r="4828" spans="1:1" x14ac:dyDescent="0.3">
      <c r="A4828" s="6"/>
    </row>
    <row r="4829" spans="1:1" x14ac:dyDescent="0.3">
      <c r="A4829" s="6"/>
    </row>
    <row r="4830" spans="1:1" x14ac:dyDescent="0.3">
      <c r="A4830" s="6"/>
    </row>
    <row r="4831" spans="1:1" x14ac:dyDescent="0.3">
      <c r="A4831" s="6"/>
    </row>
    <row r="4832" spans="1:1" x14ac:dyDescent="0.3">
      <c r="A4832" s="6"/>
    </row>
    <row r="4833" spans="1:1" x14ac:dyDescent="0.3">
      <c r="A4833" s="6"/>
    </row>
    <row r="4834" spans="1:1" x14ac:dyDescent="0.3">
      <c r="A4834" s="6"/>
    </row>
    <row r="4835" spans="1:1" x14ac:dyDescent="0.3">
      <c r="A4835" s="6"/>
    </row>
    <row r="4836" spans="1:1" x14ac:dyDescent="0.3">
      <c r="A4836" s="6"/>
    </row>
    <row r="4837" spans="1:1" x14ac:dyDescent="0.3">
      <c r="A4837" s="6"/>
    </row>
    <row r="4838" spans="1:1" x14ac:dyDescent="0.3">
      <c r="A4838" s="6"/>
    </row>
    <row r="4839" spans="1:1" x14ac:dyDescent="0.3">
      <c r="A4839" s="6"/>
    </row>
    <row r="4840" spans="1:1" x14ac:dyDescent="0.3">
      <c r="A4840" s="6"/>
    </row>
    <row r="4841" spans="1:1" x14ac:dyDescent="0.3">
      <c r="A4841" s="6"/>
    </row>
    <row r="4842" spans="1:1" x14ac:dyDescent="0.3">
      <c r="A4842" s="6"/>
    </row>
    <row r="4843" spans="1:1" x14ac:dyDescent="0.3">
      <c r="A4843" s="6"/>
    </row>
    <row r="4844" spans="1:1" x14ac:dyDescent="0.3">
      <c r="A4844" s="6"/>
    </row>
    <row r="4845" spans="1:1" x14ac:dyDescent="0.3">
      <c r="A4845" s="6"/>
    </row>
    <row r="4846" spans="1:1" x14ac:dyDescent="0.3">
      <c r="A4846" s="6"/>
    </row>
    <row r="4847" spans="1:1" x14ac:dyDescent="0.3">
      <c r="A4847" s="6"/>
    </row>
    <row r="4848" spans="1:1" x14ac:dyDescent="0.3">
      <c r="A4848" s="6"/>
    </row>
    <row r="4849" spans="1:1" x14ac:dyDescent="0.3">
      <c r="A4849" s="6"/>
    </row>
    <row r="4850" spans="1:1" x14ac:dyDescent="0.3">
      <c r="A4850" s="6"/>
    </row>
    <row r="4851" spans="1:1" x14ac:dyDescent="0.3">
      <c r="A4851" s="6"/>
    </row>
    <row r="4852" spans="1:1" x14ac:dyDescent="0.3">
      <c r="A4852" s="6"/>
    </row>
    <row r="4853" spans="1:1" x14ac:dyDescent="0.3">
      <c r="A4853" s="6"/>
    </row>
    <row r="4854" spans="1:1" x14ac:dyDescent="0.3">
      <c r="A4854" s="6"/>
    </row>
    <row r="4855" spans="1:1" x14ac:dyDescent="0.3">
      <c r="A4855" s="6"/>
    </row>
    <row r="4856" spans="1:1" x14ac:dyDescent="0.3">
      <c r="A4856" s="6"/>
    </row>
    <row r="4857" spans="1:1" x14ac:dyDescent="0.3">
      <c r="A4857" s="6"/>
    </row>
    <row r="4858" spans="1:1" x14ac:dyDescent="0.3">
      <c r="A4858" s="6"/>
    </row>
    <row r="4859" spans="1:1" x14ac:dyDescent="0.3">
      <c r="A4859" s="6"/>
    </row>
    <row r="4860" spans="1:1" x14ac:dyDescent="0.3">
      <c r="A4860" s="6"/>
    </row>
    <row r="4861" spans="1:1" x14ac:dyDescent="0.3">
      <c r="A4861" s="6"/>
    </row>
    <row r="4862" spans="1:1" x14ac:dyDescent="0.3">
      <c r="A4862" s="6"/>
    </row>
    <row r="4863" spans="1:1" x14ac:dyDescent="0.3">
      <c r="A4863" s="6"/>
    </row>
    <row r="4864" spans="1:1" x14ac:dyDescent="0.3">
      <c r="A4864" s="6"/>
    </row>
    <row r="4865" spans="1:1" x14ac:dyDescent="0.3">
      <c r="A4865" s="6"/>
    </row>
    <row r="4866" spans="1:1" x14ac:dyDescent="0.3">
      <c r="A4866" s="6"/>
    </row>
    <row r="4867" spans="1:1" x14ac:dyDescent="0.3">
      <c r="A4867" s="6"/>
    </row>
    <row r="4868" spans="1:1" x14ac:dyDescent="0.3">
      <c r="A4868" s="6"/>
    </row>
    <row r="4869" spans="1:1" x14ac:dyDescent="0.3">
      <c r="A4869" s="6"/>
    </row>
    <row r="4870" spans="1:1" x14ac:dyDescent="0.3">
      <c r="A4870" s="6"/>
    </row>
    <row r="4871" spans="1:1" x14ac:dyDescent="0.3">
      <c r="A4871" s="6"/>
    </row>
    <row r="4872" spans="1:1" x14ac:dyDescent="0.3">
      <c r="A4872" s="6"/>
    </row>
    <row r="4873" spans="1:1" x14ac:dyDescent="0.3">
      <c r="A4873" s="6"/>
    </row>
    <row r="4874" spans="1:1" x14ac:dyDescent="0.3">
      <c r="A4874" s="6"/>
    </row>
    <row r="4875" spans="1:1" x14ac:dyDescent="0.3">
      <c r="A4875" s="6"/>
    </row>
    <row r="4876" spans="1:1" x14ac:dyDescent="0.3">
      <c r="A4876" s="6"/>
    </row>
    <row r="4877" spans="1:1" x14ac:dyDescent="0.3">
      <c r="A4877" s="6"/>
    </row>
    <row r="4878" spans="1:1" x14ac:dyDescent="0.3">
      <c r="A4878" s="6"/>
    </row>
    <row r="4879" spans="1:1" x14ac:dyDescent="0.3">
      <c r="A4879" s="6"/>
    </row>
    <row r="4880" spans="1:1" x14ac:dyDescent="0.3">
      <c r="A4880" s="6"/>
    </row>
    <row r="4881" spans="1:1" x14ac:dyDescent="0.3">
      <c r="A4881" s="6"/>
    </row>
    <row r="4882" spans="1:1" x14ac:dyDescent="0.3">
      <c r="A4882" s="6"/>
    </row>
    <row r="4883" spans="1:1" x14ac:dyDescent="0.3">
      <c r="A4883" s="6"/>
    </row>
    <row r="4884" spans="1:1" x14ac:dyDescent="0.3">
      <c r="A4884" s="6"/>
    </row>
    <row r="4885" spans="1:1" x14ac:dyDescent="0.3">
      <c r="A4885" s="6"/>
    </row>
    <row r="4886" spans="1:1" x14ac:dyDescent="0.3">
      <c r="A4886" s="6"/>
    </row>
    <row r="4887" spans="1:1" x14ac:dyDescent="0.3">
      <c r="A4887" s="6"/>
    </row>
    <row r="4888" spans="1:1" x14ac:dyDescent="0.3">
      <c r="A4888" s="6"/>
    </row>
    <row r="4889" spans="1:1" x14ac:dyDescent="0.3">
      <c r="A4889" s="6"/>
    </row>
    <row r="4890" spans="1:1" x14ac:dyDescent="0.3">
      <c r="A4890" s="6"/>
    </row>
    <row r="4891" spans="1:1" x14ac:dyDescent="0.3">
      <c r="A4891" s="6"/>
    </row>
    <row r="4892" spans="1:1" x14ac:dyDescent="0.3">
      <c r="A4892" s="6"/>
    </row>
    <row r="4893" spans="1:1" x14ac:dyDescent="0.3">
      <c r="A4893" s="6"/>
    </row>
    <row r="4894" spans="1:1" x14ac:dyDescent="0.3">
      <c r="A4894" s="6"/>
    </row>
    <row r="4895" spans="1:1" x14ac:dyDescent="0.3">
      <c r="A4895" s="6"/>
    </row>
    <row r="4896" spans="1:1" x14ac:dyDescent="0.3">
      <c r="A4896" s="6"/>
    </row>
    <row r="4897" spans="1:1" x14ac:dyDescent="0.3">
      <c r="A4897" s="6"/>
    </row>
    <row r="4898" spans="1:1" x14ac:dyDescent="0.3">
      <c r="A4898" s="6"/>
    </row>
    <row r="4899" spans="1:1" x14ac:dyDescent="0.3">
      <c r="A4899" s="6"/>
    </row>
    <row r="4900" spans="1:1" x14ac:dyDescent="0.3">
      <c r="A4900" s="6"/>
    </row>
    <row r="4901" spans="1:1" x14ac:dyDescent="0.3">
      <c r="A4901" s="6"/>
    </row>
    <row r="4902" spans="1:1" x14ac:dyDescent="0.3">
      <c r="A4902" s="6"/>
    </row>
    <row r="4903" spans="1:1" x14ac:dyDescent="0.3">
      <c r="A4903" s="6"/>
    </row>
    <row r="4904" spans="1:1" x14ac:dyDescent="0.3">
      <c r="A4904" s="6"/>
    </row>
    <row r="4905" spans="1:1" x14ac:dyDescent="0.3">
      <c r="A4905" s="6"/>
    </row>
    <row r="4906" spans="1:1" x14ac:dyDescent="0.3">
      <c r="A4906" s="6"/>
    </row>
    <row r="4907" spans="1:1" x14ac:dyDescent="0.3">
      <c r="A4907" s="6"/>
    </row>
    <row r="4908" spans="1:1" x14ac:dyDescent="0.3">
      <c r="A4908" s="6"/>
    </row>
    <row r="4909" spans="1:1" x14ac:dyDescent="0.3">
      <c r="A4909" s="6"/>
    </row>
    <row r="4910" spans="1:1" x14ac:dyDescent="0.3">
      <c r="A4910" s="6"/>
    </row>
    <row r="4911" spans="1:1" x14ac:dyDescent="0.3">
      <c r="A4911" s="6"/>
    </row>
    <row r="4912" spans="1:1" x14ac:dyDescent="0.3">
      <c r="A4912" s="6"/>
    </row>
    <row r="4913" spans="1:1" x14ac:dyDescent="0.3">
      <c r="A4913" s="6"/>
    </row>
    <row r="4914" spans="1:1" x14ac:dyDescent="0.3">
      <c r="A4914" s="6"/>
    </row>
    <row r="4915" spans="1:1" x14ac:dyDescent="0.3">
      <c r="A4915" s="6"/>
    </row>
    <row r="4916" spans="1:1" x14ac:dyDescent="0.3">
      <c r="A4916" s="6"/>
    </row>
    <row r="4917" spans="1:1" x14ac:dyDescent="0.3">
      <c r="A4917" s="6"/>
    </row>
    <row r="4918" spans="1:1" x14ac:dyDescent="0.3">
      <c r="A4918" s="6"/>
    </row>
    <row r="4919" spans="1:1" x14ac:dyDescent="0.3">
      <c r="A4919" s="6"/>
    </row>
    <row r="4920" spans="1:1" x14ac:dyDescent="0.3">
      <c r="A4920" s="6"/>
    </row>
    <row r="4921" spans="1:1" x14ac:dyDescent="0.3">
      <c r="A4921" s="6"/>
    </row>
    <row r="4922" spans="1:1" x14ac:dyDescent="0.3">
      <c r="A4922" s="6"/>
    </row>
    <row r="4923" spans="1:1" x14ac:dyDescent="0.3">
      <c r="A4923" s="6"/>
    </row>
    <row r="4924" spans="1:1" x14ac:dyDescent="0.3">
      <c r="A4924" s="6"/>
    </row>
    <row r="4925" spans="1:1" x14ac:dyDescent="0.3">
      <c r="A4925" s="6"/>
    </row>
    <row r="4926" spans="1:1" x14ac:dyDescent="0.3">
      <c r="A4926" s="6"/>
    </row>
    <row r="4927" spans="1:1" x14ac:dyDescent="0.3">
      <c r="A4927" s="6"/>
    </row>
    <row r="4928" spans="1:1" x14ac:dyDescent="0.3">
      <c r="A4928" s="6"/>
    </row>
    <row r="4929" spans="1:1" x14ac:dyDescent="0.3">
      <c r="A4929" s="6"/>
    </row>
    <row r="4930" spans="1:1" x14ac:dyDescent="0.3">
      <c r="A4930" s="6"/>
    </row>
    <row r="4931" spans="1:1" x14ac:dyDescent="0.3">
      <c r="A4931" s="6"/>
    </row>
    <row r="4932" spans="1:1" x14ac:dyDescent="0.3">
      <c r="A4932" s="6"/>
    </row>
    <row r="4933" spans="1:1" x14ac:dyDescent="0.3">
      <c r="A4933" s="6"/>
    </row>
    <row r="4934" spans="1:1" x14ac:dyDescent="0.3">
      <c r="A4934" s="6"/>
    </row>
    <row r="4935" spans="1:1" x14ac:dyDescent="0.3">
      <c r="A4935" s="6"/>
    </row>
    <row r="4936" spans="1:1" x14ac:dyDescent="0.3">
      <c r="A4936" s="6"/>
    </row>
    <row r="4937" spans="1:1" x14ac:dyDescent="0.3">
      <c r="A4937" s="6"/>
    </row>
    <row r="4938" spans="1:1" x14ac:dyDescent="0.3">
      <c r="A4938" s="6"/>
    </row>
    <row r="4939" spans="1:1" x14ac:dyDescent="0.3">
      <c r="A4939" s="6"/>
    </row>
    <row r="4940" spans="1:1" x14ac:dyDescent="0.3">
      <c r="A4940" s="6"/>
    </row>
    <row r="4941" spans="1:1" x14ac:dyDescent="0.3">
      <c r="A4941" s="6"/>
    </row>
    <row r="4942" spans="1:1" x14ac:dyDescent="0.3">
      <c r="A4942" s="6"/>
    </row>
    <row r="4943" spans="1:1" x14ac:dyDescent="0.3">
      <c r="A4943" s="6"/>
    </row>
    <row r="4944" spans="1:1" x14ac:dyDescent="0.3">
      <c r="A4944" s="6"/>
    </row>
    <row r="4945" spans="1:1" x14ac:dyDescent="0.3">
      <c r="A4945" s="6"/>
    </row>
    <row r="4946" spans="1:1" x14ac:dyDescent="0.3">
      <c r="A4946" s="6"/>
    </row>
    <row r="4947" spans="1:1" x14ac:dyDescent="0.3">
      <c r="A4947" s="6"/>
    </row>
    <row r="4948" spans="1:1" x14ac:dyDescent="0.3">
      <c r="A4948" s="6"/>
    </row>
    <row r="4949" spans="1:1" x14ac:dyDescent="0.3">
      <c r="A4949" s="6"/>
    </row>
    <row r="4950" spans="1:1" x14ac:dyDescent="0.3">
      <c r="A4950" s="6"/>
    </row>
    <row r="4951" spans="1:1" x14ac:dyDescent="0.3">
      <c r="A4951" s="6"/>
    </row>
    <row r="4952" spans="1:1" x14ac:dyDescent="0.3">
      <c r="A4952" s="6"/>
    </row>
    <row r="4953" spans="1:1" x14ac:dyDescent="0.3">
      <c r="A4953" s="6"/>
    </row>
    <row r="4954" spans="1:1" x14ac:dyDescent="0.3">
      <c r="A4954" s="6"/>
    </row>
    <row r="4955" spans="1:1" x14ac:dyDescent="0.3">
      <c r="A4955" s="6"/>
    </row>
    <row r="4956" spans="1:1" x14ac:dyDescent="0.3">
      <c r="A4956" s="6"/>
    </row>
    <row r="4957" spans="1:1" x14ac:dyDescent="0.3">
      <c r="A4957" s="6"/>
    </row>
    <row r="4958" spans="1:1" x14ac:dyDescent="0.3">
      <c r="A4958" s="6"/>
    </row>
    <row r="4959" spans="1:1" x14ac:dyDescent="0.3">
      <c r="A4959" s="6"/>
    </row>
    <row r="4960" spans="1:1" x14ac:dyDescent="0.3">
      <c r="A4960" s="6"/>
    </row>
    <row r="4961" spans="1:1" x14ac:dyDescent="0.3">
      <c r="A4961" s="6"/>
    </row>
    <row r="4962" spans="1:1" x14ac:dyDescent="0.3">
      <c r="A4962" s="6"/>
    </row>
    <row r="4963" spans="1:1" x14ac:dyDescent="0.3">
      <c r="A4963" s="6"/>
    </row>
    <row r="4964" spans="1:1" x14ac:dyDescent="0.3">
      <c r="A4964" s="6"/>
    </row>
    <row r="4965" spans="1:1" x14ac:dyDescent="0.3">
      <c r="A4965" s="6"/>
    </row>
    <row r="4966" spans="1:1" x14ac:dyDescent="0.3">
      <c r="A4966" s="6"/>
    </row>
    <row r="4967" spans="1:1" x14ac:dyDescent="0.3">
      <c r="A4967" s="6"/>
    </row>
    <row r="4968" spans="1:1" x14ac:dyDescent="0.3">
      <c r="A4968" s="6"/>
    </row>
    <row r="4969" spans="1:1" x14ac:dyDescent="0.3">
      <c r="A4969" s="6"/>
    </row>
    <row r="4970" spans="1:1" x14ac:dyDescent="0.3">
      <c r="A4970" s="6"/>
    </row>
    <row r="4971" spans="1:1" x14ac:dyDescent="0.3">
      <c r="A4971" s="6"/>
    </row>
    <row r="4972" spans="1:1" x14ac:dyDescent="0.3">
      <c r="A4972" s="6"/>
    </row>
    <row r="4973" spans="1:1" x14ac:dyDescent="0.3">
      <c r="A4973" s="6"/>
    </row>
    <row r="4974" spans="1:1" x14ac:dyDescent="0.3">
      <c r="A4974" s="6"/>
    </row>
    <row r="4975" spans="1:1" x14ac:dyDescent="0.3">
      <c r="A4975" s="6"/>
    </row>
    <row r="4976" spans="1:1" x14ac:dyDescent="0.3">
      <c r="A4976" s="6"/>
    </row>
    <row r="4977" spans="1:1" x14ac:dyDescent="0.3">
      <c r="A4977" s="6"/>
    </row>
    <row r="4978" spans="1:1" x14ac:dyDescent="0.3">
      <c r="A4978" s="6"/>
    </row>
    <row r="4979" spans="1:1" x14ac:dyDescent="0.3">
      <c r="A4979" s="6"/>
    </row>
    <row r="4980" spans="1:1" x14ac:dyDescent="0.3">
      <c r="A4980" s="6"/>
    </row>
    <row r="4981" spans="1:1" x14ac:dyDescent="0.3">
      <c r="A4981" s="6"/>
    </row>
    <row r="4982" spans="1:1" x14ac:dyDescent="0.3">
      <c r="A4982" s="6"/>
    </row>
    <row r="4983" spans="1:1" x14ac:dyDescent="0.3">
      <c r="A4983" s="6"/>
    </row>
    <row r="4984" spans="1:1" x14ac:dyDescent="0.3">
      <c r="A4984" s="6"/>
    </row>
    <row r="4985" spans="1:1" x14ac:dyDescent="0.3">
      <c r="A4985" s="6"/>
    </row>
    <row r="4986" spans="1:1" x14ac:dyDescent="0.3">
      <c r="A4986" s="6"/>
    </row>
    <row r="4987" spans="1:1" x14ac:dyDescent="0.3">
      <c r="A4987" s="6"/>
    </row>
    <row r="4988" spans="1:1" x14ac:dyDescent="0.3">
      <c r="A4988" s="6"/>
    </row>
    <row r="4989" spans="1:1" x14ac:dyDescent="0.3">
      <c r="A4989" s="6"/>
    </row>
    <row r="4990" spans="1:1" x14ac:dyDescent="0.3">
      <c r="A4990" s="6"/>
    </row>
    <row r="4991" spans="1:1" x14ac:dyDescent="0.3">
      <c r="A4991" s="6"/>
    </row>
    <row r="4992" spans="1:1" x14ac:dyDescent="0.3">
      <c r="A4992" s="6"/>
    </row>
    <row r="4993" spans="1:1" x14ac:dyDescent="0.3">
      <c r="A4993" s="6"/>
    </row>
    <row r="4994" spans="1:1" x14ac:dyDescent="0.3">
      <c r="A4994" s="6"/>
    </row>
    <row r="4995" spans="1:1" x14ac:dyDescent="0.3">
      <c r="A4995" s="6"/>
    </row>
    <row r="4996" spans="1:1" x14ac:dyDescent="0.3">
      <c r="A4996" s="6"/>
    </row>
    <row r="4997" spans="1:1" x14ac:dyDescent="0.3">
      <c r="A4997" s="6"/>
    </row>
    <row r="4998" spans="1:1" x14ac:dyDescent="0.3">
      <c r="A4998" s="6"/>
    </row>
    <row r="4999" spans="1:1" x14ac:dyDescent="0.3">
      <c r="A4999" s="6"/>
    </row>
    <row r="5000" spans="1:1" x14ac:dyDescent="0.3">
      <c r="A5000" s="6"/>
    </row>
    <row r="5001" spans="1:1" x14ac:dyDescent="0.3">
      <c r="A5001" s="6"/>
    </row>
    <row r="5002" spans="1:1" x14ac:dyDescent="0.3">
      <c r="A5002" s="6"/>
    </row>
    <row r="5003" spans="1:1" x14ac:dyDescent="0.3">
      <c r="A5003" s="6"/>
    </row>
    <row r="5004" spans="1:1" x14ac:dyDescent="0.3">
      <c r="A5004" s="6"/>
    </row>
    <row r="5005" spans="1:1" x14ac:dyDescent="0.3">
      <c r="A5005" s="6"/>
    </row>
    <row r="5006" spans="1:1" x14ac:dyDescent="0.3">
      <c r="A5006" s="6"/>
    </row>
    <row r="5007" spans="1:1" x14ac:dyDescent="0.3">
      <c r="A5007" s="6"/>
    </row>
    <row r="5008" spans="1:1" x14ac:dyDescent="0.3">
      <c r="A5008" s="6"/>
    </row>
    <row r="5009" spans="1:1" x14ac:dyDescent="0.3">
      <c r="A5009" s="6"/>
    </row>
    <row r="5010" spans="1:1" x14ac:dyDescent="0.3">
      <c r="A5010" s="6"/>
    </row>
    <row r="5011" spans="1:1" x14ac:dyDescent="0.3">
      <c r="A5011" s="6"/>
    </row>
    <row r="5012" spans="1:1" x14ac:dyDescent="0.3">
      <c r="A5012" s="6"/>
    </row>
    <row r="5013" spans="1:1" x14ac:dyDescent="0.3">
      <c r="A5013" s="6"/>
    </row>
    <row r="5014" spans="1:1" x14ac:dyDescent="0.3">
      <c r="A5014" s="6"/>
    </row>
    <row r="5015" spans="1:1" x14ac:dyDescent="0.3">
      <c r="A5015" s="6"/>
    </row>
    <row r="5016" spans="1:1" x14ac:dyDescent="0.3">
      <c r="A5016" s="6"/>
    </row>
    <row r="5017" spans="1:1" x14ac:dyDescent="0.3">
      <c r="A5017" s="6"/>
    </row>
    <row r="5018" spans="1:1" x14ac:dyDescent="0.3">
      <c r="A5018" s="6"/>
    </row>
    <row r="5019" spans="1:1" x14ac:dyDescent="0.3">
      <c r="A5019" s="6"/>
    </row>
    <row r="5020" spans="1:1" x14ac:dyDescent="0.3">
      <c r="A5020" s="6"/>
    </row>
    <row r="5021" spans="1:1" x14ac:dyDescent="0.3">
      <c r="A5021" s="6"/>
    </row>
    <row r="5022" spans="1:1" x14ac:dyDescent="0.3">
      <c r="A5022" s="6"/>
    </row>
    <row r="5023" spans="1:1" x14ac:dyDescent="0.3">
      <c r="A5023" s="6"/>
    </row>
    <row r="5024" spans="1:1" x14ac:dyDescent="0.3">
      <c r="A5024" s="6"/>
    </row>
    <row r="5025" spans="1:1" x14ac:dyDescent="0.3">
      <c r="A5025" s="6"/>
    </row>
    <row r="5026" spans="1:1" x14ac:dyDescent="0.3">
      <c r="A5026" s="6"/>
    </row>
    <row r="5027" spans="1:1" x14ac:dyDescent="0.3">
      <c r="A5027" s="6"/>
    </row>
    <row r="5028" spans="1:1" x14ac:dyDescent="0.3">
      <c r="A5028" s="6"/>
    </row>
    <row r="5029" spans="1:1" x14ac:dyDescent="0.3">
      <c r="A5029" s="6"/>
    </row>
    <row r="5030" spans="1:1" x14ac:dyDescent="0.3">
      <c r="A5030" s="6"/>
    </row>
    <row r="5031" spans="1:1" x14ac:dyDescent="0.3">
      <c r="A5031" s="6"/>
    </row>
    <row r="5032" spans="1:1" x14ac:dyDescent="0.3">
      <c r="A5032" s="6"/>
    </row>
    <row r="5033" spans="1:1" x14ac:dyDescent="0.3">
      <c r="A5033" s="6"/>
    </row>
    <row r="5034" spans="1:1" x14ac:dyDescent="0.3">
      <c r="A5034" s="6"/>
    </row>
    <row r="5035" spans="1:1" x14ac:dyDescent="0.3">
      <c r="A5035" s="6"/>
    </row>
    <row r="5036" spans="1:1" x14ac:dyDescent="0.3">
      <c r="A5036" s="6"/>
    </row>
    <row r="5037" spans="1:1" x14ac:dyDescent="0.3">
      <c r="A5037" s="6"/>
    </row>
    <row r="5038" spans="1:1" x14ac:dyDescent="0.3">
      <c r="A5038" s="6"/>
    </row>
    <row r="5039" spans="1:1" x14ac:dyDescent="0.3">
      <c r="A5039" s="6"/>
    </row>
    <row r="5040" spans="1:1" x14ac:dyDescent="0.3">
      <c r="A5040" s="6"/>
    </row>
    <row r="5041" spans="1:1" x14ac:dyDescent="0.3">
      <c r="A5041" s="6"/>
    </row>
    <row r="5042" spans="1:1" x14ac:dyDescent="0.3">
      <c r="A5042" s="6"/>
    </row>
    <row r="5043" spans="1:1" x14ac:dyDescent="0.3">
      <c r="A5043" s="6"/>
    </row>
    <row r="5044" spans="1:1" x14ac:dyDescent="0.3">
      <c r="A5044" s="6"/>
    </row>
    <row r="5045" spans="1:1" x14ac:dyDescent="0.3">
      <c r="A5045" s="6"/>
    </row>
    <row r="5046" spans="1:1" x14ac:dyDescent="0.3">
      <c r="A5046" s="6"/>
    </row>
    <row r="5047" spans="1:1" x14ac:dyDescent="0.3">
      <c r="A5047" s="6"/>
    </row>
    <row r="5048" spans="1:1" x14ac:dyDescent="0.3">
      <c r="A5048" s="6"/>
    </row>
    <row r="5049" spans="1:1" x14ac:dyDescent="0.3">
      <c r="A5049" s="6"/>
    </row>
    <row r="5050" spans="1:1" x14ac:dyDescent="0.3">
      <c r="A5050" s="6"/>
    </row>
    <row r="5051" spans="1:1" x14ac:dyDescent="0.3">
      <c r="A5051" s="6"/>
    </row>
    <row r="5052" spans="1:1" x14ac:dyDescent="0.3">
      <c r="A5052" s="6"/>
    </row>
    <row r="5053" spans="1:1" x14ac:dyDescent="0.3">
      <c r="A5053" s="6"/>
    </row>
    <row r="5054" spans="1:1" x14ac:dyDescent="0.3">
      <c r="A5054" s="6"/>
    </row>
    <row r="5055" spans="1:1" x14ac:dyDescent="0.3">
      <c r="A5055" s="6"/>
    </row>
    <row r="5056" spans="1:1" x14ac:dyDescent="0.3">
      <c r="A5056" s="6"/>
    </row>
    <row r="5057" spans="1:1" x14ac:dyDescent="0.3">
      <c r="A5057" s="6"/>
    </row>
    <row r="5058" spans="1:1" x14ac:dyDescent="0.3">
      <c r="A5058" s="6"/>
    </row>
    <row r="5059" spans="1:1" x14ac:dyDescent="0.3">
      <c r="A5059" s="6"/>
    </row>
    <row r="5060" spans="1:1" x14ac:dyDescent="0.3">
      <c r="A5060" s="6"/>
    </row>
    <row r="5061" spans="1:1" x14ac:dyDescent="0.3">
      <c r="A5061" s="6"/>
    </row>
    <row r="5062" spans="1:1" x14ac:dyDescent="0.3">
      <c r="A5062" s="6"/>
    </row>
    <row r="5063" spans="1:1" x14ac:dyDescent="0.3">
      <c r="A5063" s="6"/>
    </row>
    <row r="5064" spans="1:1" x14ac:dyDescent="0.3">
      <c r="A5064" s="6"/>
    </row>
    <row r="5065" spans="1:1" x14ac:dyDescent="0.3">
      <c r="A5065" s="6"/>
    </row>
    <row r="5066" spans="1:1" x14ac:dyDescent="0.3">
      <c r="A5066" s="6"/>
    </row>
    <row r="5067" spans="1:1" x14ac:dyDescent="0.3">
      <c r="A5067" s="6"/>
    </row>
    <row r="5068" spans="1:1" x14ac:dyDescent="0.3">
      <c r="A5068" s="6"/>
    </row>
    <row r="5069" spans="1:1" x14ac:dyDescent="0.3">
      <c r="A5069" s="6"/>
    </row>
    <row r="5070" spans="1:1" x14ac:dyDescent="0.3">
      <c r="A5070" s="6"/>
    </row>
    <row r="5071" spans="1:1" x14ac:dyDescent="0.3">
      <c r="A5071" s="6"/>
    </row>
    <row r="5072" spans="1:1" x14ac:dyDescent="0.3">
      <c r="A5072" s="6"/>
    </row>
    <row r="5073" spans="1:1" x14ac:dyDescent="0.3">
      <c r="A5073" s="6"/>
    </row>
    <row r="5074" spans="1:1" x14ac:dyDescent="0.3">
      <c r="A5074" s="6"/>
    </row>
    <row r="5075" spans="1:1" x14ac:dyDescent="0.3">
      <c r="A5075" s="6"/>
    </row>
    <row r="5076" spans="1:1" x14ac:dyDescent="0.3">
      <c r="A5076" s="6"/>
    </row>
    <row r="5077" spans="1:1" x14ac:dyDescent="0.3">
      <c r="A5077" s="6"/>
    </row>
    <row r="5078" spans="1:1" x14ac:dyDescent="0.3">
      <c r="A5078" s="6"/>
    </row>
    <row r="5079" spans="1:1" x14ac:dyDescent="0.3">
      <c r="A5079" s="6"/>
    </row>
    <row r="5080" spans="1:1" x14ac:dyDescent="0.3">
      <c r="A5080" s="6"/>
    </row>
    <row r="5081" spans="1:1" x14ac:dyDescent="0.3">
      <c r="A5081" s="6"/>
    </row>
    <row r="5082" spans="1:1" x14ac:dyDescent="0.3">
      <c r="A5082" s="6"/>
    </row>
    <row r="5083" spans="1:1" x14ac:dyDescent="0.3">
      <c r="A5083" s="6"/>
    </row>
    <row r="5084" spans="1:1" x14ac:dyDescent="0.3">
      <c r="A5084" s="6"/>
    </row>
    <row r="5085" spans="1:1" x14ac:dyDescent="0.3">
      <c r="A5085" s="6"/>
    </row>
    <row r="5086" spans="1:1" x14ac:dyDescent="0.3">
      <c r="A5086" s="6"/>
    </row>
    <row r="5087" spans="1:1" x14ac:dyDescent="0.3">
      <c r="A5087" s="6"/>
    </row>
    <row r="5088" spans="1:1" x14ac:dyDescent="0.3">
      <c r="A5088" s="6"/>
    </row>
    <row r="5089" spans="1:1" x14ac:dyDescent="0.3">
      <c r="A5089" s="6"/>
    </row>
    <row r="5090" spans="1:1" x14ac:dyDescent="0.3">
      <c r="A5090" s="6"/>
    </row>
    <row r="5091" spans="1:1" x14ac:dyDescent="0.3">
      <c r="A5091" s="6"/>
    </row>
    <row r="5092" spans="1:1" x14ac:dyDescent="0.3">
      <c r="A5092" s="6"/>
    </row>
    <row r="5093" spans="1:1" x14ac:dyDescent="0.3">
      <c r="A5093" s="6"/>
    </row>
    <row r="5094" spans="1:1" x14ac:dyDescent="0.3">
      <c r="A5094" s="6"/>
    </row>
    <row r="5095" spans="1:1" x14ac:dyDescent="0.3">
      <c r="A5095" s="6"/>
    </row>
    <row r="5096" spans="1:1" x14ac:dyDescent="0.3">
      <c r="A5096" s="6"/>
    </row>
    <row r="5097" spans="1:1" x14ac:dyDescent="0.3">
      <c r="A5097" s="6"/>
    </row>
    <row r="5098" spans="1:1" x14ac:dyDescent="0.3">
      <c r="A5098" s="6"/>
    </row>
    <row r="5099" spans="1:1" x14ac:dyDescent="0.3">
      <c r="A5099" s="6"/>
    </row>
    <row r="5100" spans="1:1" x14ac:dyDescent="0.3">
      <c r="A5100" s="6"/>
    </row>
    <row r="5101" spans="1:1" x14ac:dyDescent="0.3">
      <c r="A5101" s="6"/>
    </row>
    <row r="5102" spans="1:1" x14ac:dyDescent="0.3">
      <c r="A5102" s="6"/>
    </row>
    <row r="5103" spans="1:1" x14ac:dyDescent="0.3">
      <c r="A5103" s="6"/>
    </row>
    <row r="5104" spans="1:1" x14ac:dyDescent="0.3">
      <c r="A5104" s="6"/>
    </row>
    <row r="5105" spans="1:1" x14ac:dyDescent="0.3">
      <c r="A5105" s="6"/>
    </row>
    <row r="5106" spans="1:1" x14ac:dyDescent="0.3">
      <c r="A5106" s="6"/>
    </row>
    <row r="5107" spans="1:1" x14ac:dyDescent="0.3">
      <c r="A5107" s="6"/>
    </row>
    <row r="5108" spans="1:1" x14ac:dyDescent="0.3">
      <c r="A5108" s="6"/>
    </row>
    <row r="5109" spans="1:1" x14ac:dyDescent="0.3">
      <c r="A5109" s="6"/>
    </row>
    <row r="5110" spans="1:1" x14ac:dyDescent="0.3">
      <c r="A5110" s="6"/>
    </row>
    <row r="5111" spans="1:1" x14ac:dyDescent="0.3">
      <c r="A5111" s="6"/>
    </row>
    <row r="5112" spans="1:1" x14ac:dyDescent="0.3">
      <c r="A5112" s="6"/>
    </row>
    <row r="5113" spans="1:1" x14ac:dyDescent="0.3">
      <c r="A5113" s="6"/>
    </row>
    <row r="5114" spans="1:1" x14ac:dyDescent="0.3">
      <c r="A5114" s="6"/>
    </row>
    <row r="5115" spans="1:1" x14ac:dyDescent="0.3">
      <c r="A5115" s="6"/>
    </row>
    <row r="5116" spans="1:1" x14ac:dyDescent="0.3">
      <c r="A5116" s="6"/>
    </row>
    <row r="5117" spans="1:1" x14ac:dyDescent="0.3">
      <c r="A5117" s="6"/>
    </row>
    <row r="5118" spans="1:1" x14ac:dyDescent="0.3">
      <c r="A5118" s="6"/>
    </row>
    <row r="5119" spans="1:1" x14ac:dyDescent="0.3">
      <c r="A5119" s="6"/>
    </row>
    <row r="5120" spans="1:1" x14ac:dyDescent="0.3">
      <c r="A5120" s="6"/>
    </row>
    <row r="5121" spans="1:1" x14ac:dyDescent="0.3">
      <c r="A5121" s="6"/>
    </row>
    <row r="5122" spans="1:1" x14ac:dyDescent="0.3">
      <c r="A5122" s="6"/>
    </row>
    <row r="5123" spans="1:1" x14ac:dyDescent="0.3">
      <c r="A5123" s="6"/>
    </row>
    <row r="5124" spans="1:1" x14ac:dyDescent="0.3">
      <c r="A5124" s="6"/>
    </row>
    <row r="5125" spans="1:1" x14ac:dyDescent="0.3">
      <c r="A5125" s="6"/>
    </row>
    <row r="5126" spans="1:1" x14ac:dyDescent="0.3">
      <c r="A5126" s="6"/>
    </row>
    <row r="5127" spans="1:1" x14ac:dyDescent="0.3">
      <c r="A5127" s="6"/>
    </row>
    <row r="5128" spans="1:1" x14ac:dyDescent="0.3">
      <c r="A5128" s="6"/>
    </row>
    <row r="5129" spans="1:1" x14ac:dyDescent="0.3">
      <c r="A5129" s="6"/>
    </row>
    <row r="5130" spans="1:1" x14ac:dyDescent="0.3">
      <c r="A5130" s="6"/>
    </row>
    <row r="5131" spans="1:1" x14ac:dyDescent="0.3">
      <c r="A5131" s="6"/>
    </row>
    <row r="5132" spans="1:1" x14ac:dyDescent="0.3">
      <c r="A5132" s="6"/>
    </row>
    <row r="5133" spans="1:1" x14ac:dyDescent="0.3">
      <c r="A5133" s="6"/>
    </row>
    <row r="5134" spans="1:1" x14ac:dyDescent="0.3">
      <c r="A5134" s="6"/>
    </row>
    <row r="5135" spans="1:1" x14ac:dyDescent="0.3">
      <c r="A5135" s="6"/>
    </row>
    <row r="5136" spans="1:1" x14ac:dyDescent="0.3">
      <c r="A5136" s="6"/>
    </row>
    <row r="5137" spans="1:1" x14ac:dyDescent="0.3">
      <c r="A5137" s="6"/>
    </row>
    <row r="5138" spans="1:1" x14ac:dyDescent="0.3">
      <c r="A5138" s="6"/>
    </row>
    <row r="5139" spans="1:1" x14ac:dyDescent="0.3">
      <c r="A5139" s="6"/>
    </row>
    <row r="5140" spans="1:1" x14ac:dyDescent="0.3">
      <c r="A5140" s="6"/>
    </row>
    <row r="5141" spans="1:1" x14ac:dyDescent="0.3">
      <c r="A5141" s="6"/>
    </row>
    <row r="5142" spans="1:1" x14ac:dyDescent="0.3">
      <c r="A5142" s="6"/>
    </row>
    <row r="5143" spans="1:1" x14ac:dyDescent="0.3">
      <c r="A5143" s="6"/>
    </row>
    <row r="5144" spans="1:1" x14ac:dyDescent="0.3">
      <c r="A5144" s="6"/>
    </row>
    <row r="5145" spans="1:1" x14ac:dyDescent="0.3">
      <c r="A5145" s="6"/>
    </row>
    <row r="5146" spans="1:1" x14ac:dyDescent="0.3">
      <c r="A5146" s="6"/>
    </row>
    <row r="5147" spans="1:1" x14ac:dyDescent="0.3">
      <c r="A5147" s="6"/>
    </row>
    <row r="5148" spans="1:1" x14ac:dyDescent="0.3">
      <c r="A5148" s="6"/>
    </row>
    <row r="5149" spans="1:1" x14ac:dyDescent="0.3">
      <c r="A5149" s="6"/>
    </row>
    <row r="5150" spans="1:1" x14ac:dyDescent="0.3">
      <c r="A5150" s="6"/>
    </row>
    <row r="5151" spans="1:1" x14ac:dyDescent="0.3">
      <c r="A5151" s="6"/>
    </row>
    <row r="5152" spans="1:1" x14ac:dyDescent="0.3">
      <c r="A5152" s="6"/>
    </row>
    <row r="5153" spans="1:1" x14ac:dyDescent="0.3">
      <c r="A5153" s="6"/>
    </row>
    <row r="5154" spans="1:1" x14ac:dyDescent="0.3">
      <c r="A5154" s="6"/>
    </row>
    <row r="5155" spans="1:1" x14ac:dyDescent="0.3">
      <c r="A5155" s="6"/>
    </row>
    <row r="5156" spans="1:1" x14ac:dyDescent="0.3">
      <c r="A5156" s="6"/>
    </row>
    <row r="5157" spans="1:1" x14ac:dyDescent="0.3">
      <c r="A5157" s="6"/>
    </row>
    <row r="5158" spans="1:1" x14ac:dyDescent="0.3">
      <c r="A5158" s="6"/>
    </row>
    <row r="5159" spans="1:1" x14ac:dyDescent="0.3">
      <c r="A5159" s="6"/>
    </row>
    <row r="5160" spans="1:1" x14ac:dyDescent="0.3">
      <c r="A5160" s="6"/>
    </row>
    <row r="5161" spans="1:1" x14ac:dyDescent="0.3">
      <c r="A5161" s="6"/>
    </row>
    <row r="5162" spans="1:1" x14ac:dyDescent="0.3">
      <c r="A5162" s="6"/>
    </row>
    <row r="5163" spans="1:1" x14ac:dyDescent="0.3">
      <c r="A5163" s="6"/>
    </row>
    <row r="5164" spans="1:1" x14ac:dyDescent="0.3">
      <c r="A5164" s="6"/>
    </row>
    <row r="5165" spans="1:1" x14ac:dyDescent="0.3">
      <c r="A5165" s="6"/>
    </row>
    <row r="5166" spans="1:1" x14ac:dyDescent="0.3">
      <c r="A5166" s="6"/>
    </row>
    <row r="5167" spans="1:1" x14ac:dyDescent="0.3">
      <c r="A5167" s="6"/>
    </row>
    <row r="5168" spans="1:1" x14ac:dyDescent="0.3">
      <c r="A5168" s="6"/>
    </row>
    <row r="5169" spans="1:1" x14ac:dyDescent="0.3">
      <c r="A5169" s="6"/>
    </row>
    <row r="5170" spans="1:1" x14ac:dyDescent="0.3">
      <c r="A5170" s="6"/>
    </row>
    <row r="5171" spans="1:1" x14ac:dyDescent="0.3">
      <c r="A5171" s="6"/>
    </row>
    <row r="5172" spans="1:1" x14ac:dyDescent="0.3">
      <c r="A5172" s="6"/>
    </row>
    <row r="5173" spans="1:1" x14ac:dyDescent="0.3">
      <c r="A5173" s="6"/>
    </row>
    <row r="5174" spans="1:1" x14ac:dyDescent="0.3">
      <c r="A5174" s="6"/>
    </row>
    <row r="5175" spans="1:1" x14ac:dyDescent="0.3">
      <c r="A5175" s="6"/>
    </row>
    <row r="5176" spans="1:1" x14ac:dyDescent="0.3">
      <c r="A5176" s="6"/>
    </row>
    <row r="5177" spans="1:1" x14ac:dyDescent="0.3">
      <c r="A5177" s="6"/>
    </row>
    <row r="5178" spans="1:1" x14ac:dyDescent="0.3">
      <c r="A5178" s="6"/>
    </row>
    <row r="5179" spans="1:1" x14ac:dyDescent="0.3">
      <c r="A5179" s="6"/>
    </row>
    <row r="5180" spans="1:1" x14ac:dyDescent="0.3">
      <c r="A5180" s="6"/>
    </row>
    <row r="5181" spans="1:1" x14ac:dyDescent="0.3">
      <c r="A5181" s="6"/>
    </row>
    <row r="5182" spans="1:1" x14ac:dyDescent="0.3">
      <c r="A5182" s="6"/>
    </row>
    <row r="5183" spans="1:1" x14ac:dyDescent="0.3">
      <c r="A5183" s="6"/>
    </row>
    <row r="5184" spans="1:1" x14ac:dyDescent="0.3">
      <c r="A5184" s="6"/>
    </row>
    <row r="5185" spans="1:1" x14ac:dyDescent="0.3">
      <c r="A5185" s="6"/>
    </row>
    <row r="5186" spans="1:1" x14ac:dyDescent="0.3">
      <c r="A5186" s="6"/>
    </row>
    <row r="5187" spans="1:1" x14ac:dyDescent="0.3">
      <c r="A5187" s="6"/>
    </row>
    <row r="5188" spans="1:1" x14ac:dyDescent="0.3">
      <c r="A5188" s="6"/>
    </row>
    <row r="5189" spans="1:1" x14ac:dyDescent="0.3">
      <c r="A5189" s="6"/>
    </row>
    <row r="5190" spans="1:1" x14ac:dyDescent="0.3">
      <c r="A5190" s="6"/>
    </row>
    <row r="5191" spans="1:1" x14ac:dyDescent="0.3">
      <c r="A5191" s="6"/>
    </row>
    <row r="5192" spans="1:1" x14ac:dyDescent="0.3">
      <c r="A5192" s="6"/>
    </row>
    <row r="5193" spans="1:1" x14ac:dyDescent="0.3">
      <c r="A5193" s="6"/>
    </row>
    <row r="5194" spans="1:1" x14ac:dyDescent="0.3">
      <c r="A5194" s="6"/>
    </row>
    <row r="5195" spans="1:1" x14ac:dyDescent="0.3">
      <c r="A5195" s="6"/>
    </row>
    <row r="5196" spans="1:1" x14ac:dyDescent="0.3">
      <c r="A5196" s="6"/>
    </row>
    <row r="5197" spans="1:1" x14ac:dyDescent="0.3">
      <c r="A5197" s="6"/>
    </row>
    <row r="5198" spans="1:1" x14ac:dyDescent="0.3">
      <c r="A5198" s="6"/>
    </row>
    <row r="5199" spans="1:1" x14ac:dyDescent="0.3">
      <c r="A5199" s="6"/>
    </row>
    <row r="5200" spans="1:1" x14ac:dyDescent="0.3">
      <c r="A5200" s="6"/>
    </row>
    <row r="5201" spans="1:1" x14ac:dyDescent="0.3">
      <c r="A5201" s="6"/>
    </row>
    <row r="5202" spans="1:1" x14ac:dyDescent="0.3">
      <c r="A5202" s="6"/>
    </row>
    <row r="5203" spans="1:1" x14ac:dyDescent="0.3">
      <c r="A5203" s="6"/>
    </row>
    <row r="5204" spans="1:1" x14ac:dyDescent="0.3">
      <c r="A5204" s="6"/>
    </row>
    <row r="5205" spans="1:1" x14ac:dyDescent="0.3">
      <c r="A5205" s="6"/>
    </row>
    <row r="5206" spans="1:1" x14ac:dyDescent="0.3">
      <c r="A5206" s="6"/>
    </row>
    <row r="5207" spans="1:1" x14ac:dyDescent="0.3">
      <c r="A5207" s="6"/>
    </row>
    <row r="5208" spans="1:1" x14ac:dyDescent="0.3">
      <c r="A5208" s="6"/>
    </row>
    <row r="5209" spans="1:1" x14ac:dyDescent="0.3">
      <c r="A5209" s="6"/>
    </row>
    <row r="5210" spans="1:1" x14ac:dyDescent="0.3">
      <c r="A5210" s="6"/>
    </row>
    <row r="5211" spans="1:1" x14ac:dyDescent="0.3">
      <c r="A5211" s="6"/>
    </row>
    <row r="5212" spans="1:1" x14ac:dyDescent="0.3">
      <c r="A5212" s="6"/>
    </row>
    <row r="5213" spans="1:1" x14ac:dyDescent="0.3">
      <c r="A5213" s="6"/>
    </row>
    <row r="5214" spans="1:1" x14ac:dyDescent="0.3">
      <c r="A5214" s="6"/>
    </row>
    <row r="5215" spans="1:1" x14ac:dyDescent="0.3">
      <c r="A5215" s="6"/>
    </row>
    <row r="5216" spans="1:1" x14ac:dyDescent="0.3">
      <c r="A5216" s="6"/>
    </row>
    <row r="5217" spans="1:1" x14ac:dyDescent="0.3">
      <c r="A5217" s="6"/>
    </row>
    <row r="5218" spans="1:1" x14ac:dyDescent="0.3">
      <c r="A5218" s="6"/>
    </row>
    <row r="5219" spans="1:1" x14ac:dyDescent="0.3">
      <c r="A5219" s="6"/>
    </row>
    <row r="5220" spans="1:1" x14ac:dyDescent="0.3">
      <c r="A5220" s="6"/>
    </row>
    <row r="5221" spans="1:1" x14ac:dyDescent="0.3">
      <c r="A5221" s="6"/>
    </row>
    <row r="5222" spans="1:1" x14ac:dyDescent="0.3">
      <c r="A5222" s="6"/>
    </row>
    <row r="5223" spans="1:1" x14ac:dyDescent="0.3">
      <c r="A5223" s="6"/>
    </row>
    <row r="5224" spans="1:1" x14ac:dyDescent="0.3">
      <c r="A5224" s="6"/>
    </row>
    <row r="5225" spans="1:1" x14ac:dyDescent="0.3">
      <c r="A5225" s="6"/>
    </row>
    <row r="5226" spans="1:1" x14ac:dyDescent="0.3">
      <c r="A5226" s="6"/>
    </row>
    <row r="5227" spans="1:1" x14ac:dyDescent="0.3">
      <c r="A5227" s="6"/>
    </row>
    <row r="5228" spans="1:1" x14ac:dyDescent="0.3">
      <c r="A5228" s="6"/>
    </row>
    <row r="5229" spans="1:1" x14ac:dyDescent="0.3">
      <c r="A5229" s="6"/>
    </row>
    <row r="5230" spans="1:1" x14ac:dyDescent="0.3">
      <c r="A5230" s="6"/>
    </row>
    <row r="5231" spans="1:1" x14ac:dyDescent="0.3">
      <c r="A5231" s="6"/>
    </row>
    <row r="5232" spans="1:1" x14ac:dyDescent="0.3">
      <c r="A5232" s="6"/>
    </row>
    <row r="5233" spans="1:1" x14ac:dyDescent="0.3">
      <c r="A5233" s="6"/>
    </row>
    <row r="5234" spans="1:1" x14ac:dyDescent="0.3">
      <c r="A5234" s="6"/>
    </row>
    <row r="5235" spans="1:1" x14ac:dyDescent="0.3">
      <c r="A5235" s="6"/>
    </row>
    <row r="5236" spans="1:1" x14ac:dyDescent="0.3">
      <c r="A5236" s="6"/>
    </row>
    <row r="5237" spans="1:1" x14ac:dyDescent="0.3">
      <c r="A5237" s="6"/>
    </row>
    <row r="5238" spans="1:1" x14ac:dyDescent="0.3">
      <c r="A5238" s="6"/>
    </row>
    <row r="5239" spans="1:1" x14ac:dyDescent="0.3">
      <c r="A5239" s="6"/>
    </row>
    <row r="5240" spans="1:1" x14ac:dyDescent="0.3">
      <c r="A5240" s="6"/>
    </row>
    <row r="5241" spans="1:1" x14ac:dyDescent="0.3">
      <c r="A5241" s="6"/>
    </row>
    <row r="5242" spans="1:1" x14ac:dyDescent="0.3">
      <c r="A5242" s="6"/>
    </row>
    <row r="5243" spans="1:1" x14ac:dyDescent="0.3">
      <c r="A5243" s="6"/>
    </row>
    <row r="5244" spans="1:1" x14ac:dyDescent="0.3">
      <c r="A5244" s="6"/>
    </row>
    <row r="5245" spans="1:1" x14ac:dyDescent="0.3">
      <c r="A5245" s="6"/>
    </row>
    <row r="5246" spans="1:1" x14ac:dyDescent="0.3">
      <c r="A5246" s="6"/>
    </row>
    <row r="5247" spans="1:1" x14ac:dyDescent="0.3">
      <c r="A5247" s="6"/>
    </row>
    <row r="5248" spans="1:1" x14ac:dyDescent="0.3">
      <c r="A5248" s="6"/>
    </row>
    <row r="5249" spans="1:1" x14ac:dyDescent="0.3">
      <c r="A5249" s="6"/>
    </row>
    <row r="5250" spans="1:1" x14ac:dyDescent="0.3">
      <c r="A5250" s="6"/>
    </row>
    <row r="5251" spans="1:1" x14ac:dyDescent="0.3">
      <c r="A5251" s="6"/>
    </row>
    <row r="5252" spans="1:1" x14ac:dyDescent="0.3">
      <c r="A5252" s="6"/>
    </row>
    <row r="5253" spans="1:1" x14ac:dyDescent="0.3">
      <c r="A5253" s="6"/>
    </row>
    <row r="5254" spans="1:1" x14ac:dyDescent="0.3">
      <c r="A5254" s="6"/>
    </row>
    <row r="5255" spans="1:1" x14ac:dyDescent="0.3">
      <c r="A5255" s="6"/>
    </row>
    <row r="5256" spans="1:1" x14ac:dyDescent="0.3">
      <c r="A5256" s="6"/>
    </row>
    <row r="5257" spans="1:1" x14ac:dyDescent="0.3">
      <c r="A5257" s="6"/>
    </row>
    <row r="5258" spans="1:1" x14ac:dyDescent="0.3">
      <c r="A5258" s="6"/>
    </row>
    <row r="5259" spans="1:1" x14ac:dyDescent="0.3">
      <c r="A5259" s="6"/>
    </row>
    <row r="5260" spans="1:1" x14ac:dyDescent="0.3">
      <c r="A5260" s="6"/>
    </row>
    <row r="5261" spans="1:1" x14ac:dyDescent="0.3">
      <c r="A5261" s="6"/>
    </row>
    <row r="5262" spans="1:1" x14ac:dyDescent="0.3">
      <c r="A5262" s="6"/>
    </row>
    <row r="5263" spans="1:1" x14ac:dyDescent="0.3">
      <c r="A5263" s="6"/>
    </row>
    <row r="5264" spans="1:1" x14ac:dyDescent="0.3">
      <c r="A5264" s="6"/>
    </row>
    <row r="5265" spans="1:1" x14ac:dyDescent="0.3">
      <c r="A5265" s="6"/>
    </row>
    <row r="5266" spans="1:1" x14ac:dyDescent="0.3">
      <c r="A5266" s="6"/>
    </row>
    <row r="5267" spans="1:1" x14ac:dyDescent="0.3">
      <c r="A5267" s="6"/>
    </row>
    <row r="5268" spans="1:1" x14ac:dyDescent="0.3">
      <c r="A5268" s="6"/>
    </row>
    <row r="5269" spans="1:1" x14ac:dyDescent="0.3">
      <c r="A5269" s="6"/>
    </row>
    <row r="5270" spans="1:1" x14ac:dyDescent="0.3">
      <c r="A5270" s="6"/>
    </row>
    <row r="5271" spans="1:1" x14ac:dyDescent="0.3">
      <c r="A5271" s="6"/>
    </row>
    <row r="5272" spans="1:1" x14ac:dyDescent="0.3">
      <c r="A5272" s="6"/>
    </row>
    <row r="5273" spans="1:1" x14ac:dyDescent="0.3">
      <c r="A5273" s="6"/>
    </row>
    <row r="5274" spans="1:1" x14ac:dyDescent="0.3">
      <c r="A5274" s="6"/>
    </row>
    <row r="5275" spans="1:1" x14ac:dyDescent="0.3">
      <c r="A5275" s="6"/>
    </row>
    <row r="5276" spans="1:1" x14ac:dyDescent="0.3">
      <c r="A5276" s="6"/>
    </row>
    <row r="5277" spans="1:1" x14ac:dyDescent="0.3">
      <c r="A5277" s="6"/>
    </row>
    <row r="5278" spans="1:1" x14ac:dyDescent="0.3">
      <c r="A5278" s="6"/>
    </row>
    <row r="5279" spans="1:1" x14ac:dyDescent="0.3">
      <c r="A5279" s="6"/>
    </row>
    <row r="5280" spans="1:1" x14ac:dyDescent="0.3">
      <c r="A5280" s="6"/>
    </row>
    <row r="5281" spans="1:1" x14ac:dyDescent="0.3">
      <c r="A5281" s="6"/>
    </row>
    <row r="5282" spans="1:1" x14ac:dyDescent="0.3">
      <c r="A5282" s="6"/>
    </row>
    <row r="5283" spans="1:1" x14ac:dyDescent="0.3">
      <c r="A5283" s="6"/>
    </row>
    <row r="5284" spans="1:1" x14ac:dyDescent="0.3">
      <c r="A5284" s="6"/>
    </row>
    <row r="5285" spans="1:1" x14ac:dyDescent="0.3">
      <c r="A5285" s="6"/>
    </row>
    <row r="5286" spans="1:1" x14ac:dyDescent="0.3">
      <c r="A5286" s="6"/>
    </row>
    <row r="5287" spans="1:1" x14ac:dyDescent="0.3">
      <c r="A5287" s="6"/>
    </row>
    <row r="5288" spans="1:1" x14ac:dyDescent="0.3">
      <c r="A5288" s="6"/>
    </row>
    <row r="5289" spans="1:1" x14ac:dyDescent="0.3">
      <c r="A5289" s="6"/>
    </row>
    <row r="5290" spans="1:1" x14ac:dyDescent="0.3">
      <c r="A5290" s="6"/>
    </row>
    <row r="5291" spans="1:1" x14ac:dyDescent="0.3">
      <c r="A5291" s="6"/>
    </row>
    <row r="5292" spans="1:1" x14ac:dyDescent="0.3">
      <c r="A5292" s="6"/>
    </row>
    <row r="5293" spans="1:1" x14ac:dyDescent="0.3">
      <c r="A5293" s="6"/>
    </row>
    <row r="5294" spans="1:1" x14ac:dyDescent="0.3">
      <c r="A5294" s="6"/>
    </row>
    <row r="5295" spans="1:1" x14ac:dyDescent="0.3">
      <c r="A5295" s="6"/>
    </row>
    <row r="5296" spans="1:1" x14ac:dyDescent="0.3">
      <c r="A5296" s="6"/>
    </row>
    <row r="5297" spans="1:1" x14ac:dyDescent="0.3">
      <c r="A5297" s="6"/>
    </row>
    <row r="5298" spans="1:1" x14ac:dyDescent="0.3">
      <c r="A5298" s="6"/>
    </row>
    <row r="5299" spans="1:1" x14ac:dyDescent="0.3">
      <c r="A5299" s="6"/>
    </row>
    <row r="5300" spans="1:1" x14ac:dyDescent="0.3">
      <c r="A5300" s="6"/>
    </row>
    <row r="5301" spans="1:1" x14ac:dyDescent="0.3">
      <c r="A5301" s="6"/>
    </row>
    <row r="5302" spans="1:1" x14ac:dyDescent="0.3">
      <c r="A5302" s="6"/>
    </row>
    <row r="5303" spans="1:1" x14ac:dyDescent="0.3">
      <c r="A5303" s="6"/>
    </row>
    <row r="5304" spans="1:1" x14ac:dyDescent="0.3">
      <c r="A5304" s="6"/>
    </row>
    <row r="5305" spans="1:1" x14ac:dyDescent="0.3">
      <c r="A5305" s="6"/>
    </row>
    <row r="5306" spans="1:1" x14ac:dyDescent="0.3">
      <c r="A5306" s="6"/>
    </row>
    <row r="5307" spans="1:1" x14ac:dyDescent="0.3">
      <c r="A5307" s="6"/>
    </row>
    <row r="5308" spans="1:1" x14ac:dyDescent="0.3">
      <c r="A5308" s="6"/>
    </row>
    <row r="5309" spans="1:1" x14ac:dyDescent="0.3">
      <c r="A5309" s="6"/>
    </row>
    <row r="5310" spans="1:1" x14ac:dyDescent="0.3">
      <c r="A5310" s="6"/>
    </row>
    <row r="5311" spans="1:1" x14ac:dyDescent="0.3">
      <c r="A5311" s="6"/>
    </row>
    <row r="5312" spans="1:1" x14ac:dyDescent="0.3">
      <c r="A5312" s="6"/>
    </row>
    <row r="5313" spans="1:1" x14ac:dyDescent="0.3">
      <c r="A5313" s="6"/>
    </row>
    <row r="5314" spans="1:1" x14ac:dyDescent="0.3">
      <c r="A5314" s="6"/>
    </row>
    <row r="5315" spans="1:1" x14ac:dyDescent="0.3">
      <c r="A5315" s="6"/>
    </row>
    <row r="5316" spans="1:1" x14ac:dyDescent="0.3">
      <c r="A5316" s="6"/>
    </row>
    <row r="5317" spans="1:1" x14ac:dyDescent="0.3">
      <c r="A5317" s="6"/>
    </row>
    <row r="5318" spans="1:1" x14ac:dyDescent="0.3">
      <c r="A5318" s="6"/>
    </row>
    <row r="5319" spans="1:1" x14ac:dyDescent="0.3">
      <c r="A5319" s="6"/>
    </row>
    <row r="5320" spans="1:1" x14ac:dyDescent="0.3">
      <c r="A5320" s="6"/>
    </row>
    <row r="5321" spans="1:1" x14ac:dyDescent="0.3">
      <c r="A5321" s="6"/>
    </row>
    <row r="5322" spans="1:1" x14ac:dyDescent="0.3">
      <c r="A5322" s="6"/>
    </row>
    <row r="5323" spans="1:1" x14ac:dyDescent="0.3">
      <c r="A5323" s="6"/>
    </row>
    <row r="5324" spans="1:1" x14ac:dyDescent="0.3">
      <c r="A5324" s="6"/>
    </row>
    <row r="5325" spans="1:1" x14ac:dyDescent="0.3">
      <c r="A5325" s="6"/>
    </row>
    <row r="5326" spans="1:1" x14ac:dyDescent="0.3">
      <c r="A5326" s="6"/>
    </row>
    <row r="5327" spans="1:1" x14ac:dyDescent="0.3">
      <c r="A5327" s="6"/>
    </row>
    <row r="5328" spans="1:1" x14ac:dyDescent="0.3">
      <c r="A5328" s="6"/>
    </row>
    <row r="5329" spans="1:1" x14ac:dyDescent="0.3">
      <c r="A5329" s="6"/>
    </row>
    <row r="5330" spans="1:1" x14ac:dyDescent="0.3">
      <c r="A5330" s="6"/>
    </row>
    <row r="5331" spans="1:1" x14ac:dyDescent="0.3">
      <c r="A5331" s="6"/>
    </row>
    <row r="5332" spans="1:1" x14ac:dyDescent="0.3">
      <c r="A5332" s="6"/>
    </row>
    <row r="5333" spans="1:1" x14ac:dyDescent="0.3">
      <c r="A5333" s="6"/>
    </row>
    <row r="5334" spans="1:1" x14ac:dyDescent="0.3">
      <c r="A5334" s="6"/>
    </row>
    <row r="5335" spans="1:1" x14ac:dyDescent="0.3">
      <c r="A5335" s="6"/>
    </row>
    <row r="5336" spans="1:1" x14ac:dyDescent="0.3">
      <c r="A5336" s="6"/>
    </row>
    <row r="5337" spans="1:1" x14ac:dyDescent="0.3">
      <c r="A5337" s="6"/>
    </row>
    <row r="5338" spans="1:1" x14ac:dyDescent="0.3">
      <c r="A5338" s="6"/>
    </row>
    <row r="5339" spans="1:1" x14ac:dyDescent="0.3">
      <c r="A5339" s="6"/>
    </row>
    <row r="5340" spans="1:1" x14ac:dyDescent="0.3">
      <c r="A5340" s="6"/>
    </row>
    <row r="5341" spans="1:1" x14ac:dyDescent="0.3">
      <c r="A5341" s="6"/>
    </row>
    <row r="5342" spans="1:1" x14ac:dyDescent="0.3">
      <c r="A5342" s="6"/>
    </row>
    <row r="5343" spans="1:1" x14ac:dyDescent="0.3">
      <c r="A5343" s="6"/>
    </row>
    <row r="5344" spans="1:1" x14ac:dyDescent="0.3">
      <c r="A5344" s="6"/>
    </row>
    <row r="5345" spans="1:1" x14ac:dyDescent="0.3">
      <c r="A5345" s="6"/>
    </row>
    <row r="5346" spans="1:1" x14ac:dyDescent="0.3">
      <c r="A5346" s="6"/>
    </row>
    <row r="5347" spans="1:1" x14ac:dyDescent="0.3">
      <c r="A5347" s="6"/>
    </row>
    <row r="5348" spans="1:1" x14ac:dyDescent="0.3">
      <c r="A5348" s="6"/>
    </row>
    <row r="5349" spans="1:1" x14ac:dyDescent="0.3">
      <c r="A5349" s="6"/>
    </row>
    <row r="5350" spans="1:1" x14ac:dyDescent="0.3">
      <c r="A5350" s="6"/>
    </row>
    <row r="5351" spans="1:1" x14ac:dyDescent="0.3">
      <c r="A5351" s="6"/>
    </row>
    <row r="5352" spans="1:1" x14ac:dyDescent="0.3">
      <c r="A5352" s="6"/>
    </row>
    <row r="5353" spans="1:1" x14ac:dyDescent="0.3">
      <c r="A5353" s="6"/>
    </row>
    <row r="5354" spans="1:1" x14ac:dyDescent="0.3">
      <c r="A5354" s="6"/>
    </row>
    <row r="5355" spans="1:1" x14ac:dyDescent="0.3">
      <c r="A5355" s="6"/>
    </row>
    <row r="5356" spans="1:1" x14ac:dyDescent="0.3">
      <c r="A5356" s="6"/>
    </row>
    <row r="5357" spans="1:1" x14ac:dyDescent="0.3">
      <c r="A5357" s="6"/>
    </row>
    <row r="5358" spans="1:1" x14ac:dyDescent="0.3">
      <c r="A5358" s="6"/>
    </row>
    <row r="5359" spans="1:1" x14ac:dyDescent="0.3">
      <c r="A5359" s="6"/>
    </row>
    <row r="5360" spans="1:1" x14ac:dyDescent="0.3">
      <c r="A5360" s="6"/>
    </row>
    <row r="5361" spans="1:1" x14ac:dyDescent="0.3">
      <c r="A5361" s="6"/>
    </row>
    <row r="5362" spans="1:1" x14ac:dyDescent="0.3">
      <c r="A5362" s="6"/>
    </row>
    <row r="5363" spans="1:1" x14ac:dyDescent="0.3">
      <c r="A5363" s="6"/>
    </row>
    <row r="5364" spans="1:1" x14ac:dyDescent="0.3">
      <c r="A5364" s="6"/>
    </row>
    <row r="5365" spans="1:1" x14ac:dyDescent="0.3">
      <c r="A5365" s="6"/>
    </row>
    <row r="5366" spans="1:1" x14ac:dyDescent="0.3">
      <c r="A5366" s="6"/>
    </row>
    <row r="5367" spans="1:1" x14ac:dyDescent="0.3">
      <c r="A5367" s="6"/>
    </row>
    <row r="5368" spans="1:1" x14ac:dyDescent="0.3">
      <c r="A5368" s="6"/>
    </row>
    <row r="5369" spans="1:1" x14ac:dyDescent="0.3">
      <c r="A5369" s="6"/>
    </row>
    <row r="5370" spans="1:1" x14ac:dyDescent="0.3">
      <c r="A5370" s="6"/>
    </row>
    <row r="5371" spans="1:1" x14ac:dyDescent="0.3">
      <c r="A5371" s="6"/>
    </row>
    <row r="5372" spans="1:1" x14ac:dyDescent="0.3">
      <c r="A5372" s="6"/>
    </row>
    <row r="5373" spans="1:1" x14ac:dyDescent="0.3">
      <c r="A5373" s="6"/>
    </row>
    <row r="5374" spans="1:1" x14ac:dyDescent="0.3">
      <c r="A5374" s="6"/>
    </row>
    <row r="5375" spans="1:1" x14ac:dyDescent="0.3">
      <c r="A5375" s="6"/>
    </row>
    <row r="5376" spans="1:1" x14ac:dyDescent="0.3">
      <c r="A5376" s="6"/>
    </row>
    <row r="5377" spans="1:1" x14ac:dyDescent="0.3">
      <c r="A5377" s="6"/>
    </row>
    <row r="5378" spans="1:1" x14ac:dyDescent="0.3">
      <c r="A5378" s="6"/>
    </row>
    <row r="5379" spans="1:1" x14ac:dyDescent="0.3">
      <c r="A5379" s="6"/>
    </row>
    <row r="5380" spans="1:1" x14ac:dyDescent="0.3">
      <c r="A5380" s="6"/>
    </row>
    <row r="5381" spans="1:1" x14ac:dyDescent="0.3">
      <c r="A5381" s="6"/>
    </row>
    <row r="5382" spans="1:1" x14ac:dyDescent="0.3">
      <c r="A5382" s="6"/>
    </row>
    <row r="5383" spans="1:1" x14ac:dyDescent="0.3">
      <c r="A5383" s="6"/>
    </row>
    <row r="5384" spans="1:1" x14ac:dyDescent="0.3">
      <c r="A5384" s="6"/>
    </row>
    <row r="5385" spans="1:1" x14ac:dyDescent="0.3">
      <c r="A5385" s="6"/>
    </row>
    <row r="5386" spans="1:1" x14ac:dyDescent="0.3">
      <c r="A5386" s="6"/>
    </row>
    <row r="5387" spans="1:1" x14ac:dyDescent="0.3">
      <c r="A5387" s="6"/>
    </row>
    <row r="5388" spans="1:1" x14ac:dyDescent="0.3">
      <c r="A5388" s="6"/>
    </row>
    <row r="5389" spans="1:1" x14ac:dyDescent="0.3">
      <c r="A5389" s="6"/>
    </row>
    <row r="5390" spans="1:1" x14ac:dyDescent="0.3">
      <c r="A5390" s="6"/>
    </row>
    <row r="5391" spans="1:1" x14ac:dyDescent="0.3">
      <c r="A5391" s="6"/>
    </row>
    <row r="5392" spans="1:1" x14ac:dyDescent="0.3">
      <c r="A5392" s="6"/>
    </row>
    <row r="5393" spans="1:1" x14ac:dyDescent="0.3">
      <c r="A5393" s="6"/>
    </row>
    <row r="5394" spans="1:1" x14ac:dyDescent="0.3">
      <c r="A5394" s="6"/>
    </row>
    <row r="5395" spans="1:1" x14ac:dyDescent="0.3">
      <c r="A5395" s="6"/>
    </row>
    <row r="5396" spans="1:1" x14ac:dyDescent="0.3">
      <c r="A5396" s="6"/>
    </row>
    <row r="5397" spans="1:1" x14ac:dyDescent="0.3">
      <c r="A5397" s="6"/>
    </row>
    <row r="5398" spans="1:1" x14ac:dyDescent="0.3">
      <c r="A5398" s="6"/>
    </row>
    <row r="5399" spans="1:1" x14ac:dyDescent="0.3">
      <c r="A5399" s="6"/>
    </row>
    <row r="5400" spans="1:1" x14ac:dyDescent="0.3">
      <c r="A5400" s="6"/>
    </row>
    <row r="5401" spans="1:1" x14ac:dyDescent="0.3">
      <c r="A5401" s="6"/>
    </row>
    <row r="5402" spans="1:1" x14ac:dyDescent="0.3">
      <c r="A5402" s="6"/>
    </row>
    <row r="5403" spans="1:1" x14ac:dyDescent="0.3">
      <c r="A5403" s="6"/>
    </row>
    <row r="5404" spans="1:1" x14ac:dyDescent="0.3">
      <c r="A5404" s="6"/>
    </row>
    <row r="5405" spans="1:1" x14ac:dyDescent="0.3">
      <c r="A5405" s="6"/>
    </row>
    <row r="5406" spans="1:1" x14ac:dyDescent="0.3">
      <c r="A5406" s="6"/>
    </row>
    <row r="5407" spans="1:1" x14ac:dyDescent="0.3">
      <c r="A5407" s="6"/>
    </row>
    <row r="5408" spans="1:1" x14ac:dyDescent="0.3">
      <c r="A5408" s="6"/>
    </row>
    <row r="5409" spans="1:1" x14ac:dyDescent="0.3">
      <c r="A5409" s="6"/>
    </row>
    <row r="5410" spans="1:1" x14ac:dyDescent="0.3">
      <c r="A5410" s="6"/>
    </row>
    <row r="5411" spans="1:1" x14ac:dyDescent="0.3">
      <c r="A5411" s="6"/>
    </row>
    <row r="5412" spans="1:1" x14ac:dyDescent="0.3">
      <c r="A5412" s="6"/>
    </row>
    <row r="5413" spans="1:1" x14ac:dyDescent="0.3">
      <c r="A5413" s="6"/>
    </row>
    <row r="5414" spans="1:1" x14ac:dyDescent="0.3">
      <c r="A5414" s="6"/>
    </row>
    <row r="5415" spans="1:1" x14ac:dyDescent="0.3">
      <c r="A5415" s="6"/>
    </row>
    <row r="5416" spans="1:1" x14ac:dyDescent="0.3">
      <c r="A5416" s="6"/>
    </row>
    <row r="5417" spans="1:1" x14ac:dyDescent="0.3">
      <c r="A5417" s="6"/>
    </row>
    <row r="5418" spans="1:1" x14ac:dyDescent="0.3">
      <c r="A5418" s="6"/>
    </row>
    <row r="5419" spans="1:1" x14ac:dyDescent="0.3">
      <c r="A5419" s="6"/>
    </row>
    <row r="5420" spans="1:1" x14ac:dyDescent="0.3">
      <c r="A5420" s="6"/>
    </row>
    <row r="5421" spans="1:1" x14ac:dyDescent="0.3">
      <c r="A5421" s="6"/>
    </row>
    <row r="5422" spans="1:1" x14ac:dyDescent="0.3">
      <c r="A5422" s="6"/>
    </row>
    <row r="5423" spans="1:1" x14ac:dyDescent="0.3">
      <c r="A5423" s="6"/>
    </row>
    <row r="5424" spans="1:1" x14ac:dyDescent="0.3">
      <c r="A5424" s="6"/>
    </row>
    <row r="5425" spans="1:1" x14ac:dyDescent="0.3">
      <c r="A5425" s="6"/>
    </row>
    <row r="5426" spans="1:1" x14ac:dyDescent="0.3">
      <c r="A5426" s="6"/>
    </row>
    <row r="5427" spans="1:1" x14ac:dyDescent="0.3">
      <c r="A5427" s="6"/>
    </row>
    <row r="5428" spans="1:1" x14ac:dyDescent="0.3">
      <c r="A5428" s="6"/>
    </row>
    <row r="5429" spans="1:1" x14ac:dyDescent="0.3">
      <c r="A5429" s="6"/>
    </row>
    <row r="5430" spans="1:1" x14ac:dyDescent="0.3">
      <c r="A5430" s="6"/>
    </row>
    <row r="5431" spans="1:1" x14ac:dyDescent="0.3">
      <c r="A5431" s="6"/>
    </row>
    <row r="5432" spans="1:1" x14ac:dyDescent="0.3">
      <c r="A5432" s="6"/>
    </row>
    <row r="5433" spans="1:1" x14ac:dyDescent="0.3">
      <c r="A5433" s="6"/>
    </row>
    <row r="5434" spans="1:1" x14ac:dyDescent="0.3">
      <c r="A5434" s="6"/>
    </row>
    <row r="5435" spans="1:1" x14ac:dyDescent="0.3">
      <c r="A5435" s="6"/>
    </row>
    <row r="5436" spans="1:1" x14ac:dyDescent="0.3">
      <c r="A5436" s="6"/>
    </row>
    <row r="5437" spans="1:1" x14ac:dyDescent="0.3">
      <c r="A5437" s="6"/>
    </row>
    <row r="5438" spans="1:1" x14ac:dyDescent="0.3">
      <c r="A5438" s="6"/>
    </row>
    <row r="5439" spans="1:1" x14ac:dyDescent="0.3">
      <c r="A5439" s="6"/>
    </row>
    <row r="5440" spans="1:1" x14ac:dyDescent="0.3">
      <c r="A5440" s="6"/>
    </row>
    <row r="5441" spans="1:1" x14ac:dyDescent="0.3">
      <c r="A5441" s="6"/>
    </row>
    <row r="5442" spans="1:1" x14ac:dyDescent="0.3">
      <c r="A5442" s="6"/>
    </row>
    <row r="5443" spans="1:1" x14ac:dyDescent="0.3">
      <c r="A5443" s="6"/>
    </row>
    <row r="5444" spans="1:1" x14ac:dyDescent="0.3">
      <c r="A5444" s="6"/>
    </row>
    <row r="5445" spans="1:1" x14ac:dyDescent="0.3">
      <c r="A5445" s="6"/>
    </row>
    <row r="5446" spans="1:1" x14ac:dyDescent="0.3">
      <c r="A5446" s="6"/>
    </row>
    <row r="5447" spans="1:1" x14ac:dyDescent="0.3">
      <c r="A5447" s="6"/>
    </row>
    <row r="5448" spans="1:1" x14ac:dyDescent="0.3">
      <c r="A5448" s="6"/>
    </row>
    <row r="5449" spans="1:1" x14ac:dyDescent="0.3">
      <c r="A5449" s="6"/>
    </row>
    <row r="5450" spans="1:1" x14ac:dyDescent="0.3">
      <c r="A5450" s="6"/>
    </row>
    <row r="5451" spans="1:1" x14ac:dyDescent="0.3">
      <c r="A5451" s="6"/>
    </row>
    <row r="5452" spans="1:1" x14ac:dyDescent="0.3">
      <c r="A5452" s="6"/>
    </row>
    <row r="5453" spans="1:1" x14ac:dyDescent="0.3">
      <c r="A5453" s="6"/>
    </row>
    <row r="5454" spans="1:1" x14ac:dyDescent="0.3">
      <c r="A5454" s="6"/>
    </row>
    <row r="5455" spans="1:1" x14ac:dyDescent="0.3">
      <c r="A5455" s="6"/>
    </row>
    <row r="5456" spans="1:1" x14ac:dyDescent="0.3">
      <c r="A5456" s="6"/>
    </row>
    <row r="5457" spans="1:1" x14ac:dyDescent="0.3">
      <c r="A5457" s="6"/>
    </row>
    <row r="5458" spans="1:1" x14ac:dyDescent="0.3">
      <c r="A5458" s="6"/>
    </row>
    <row r="5459" spans="1:1" x14ac:dyDescent="0.3">
      <c r="A5459" s="6"/>
    </row>
    <row r="5460" spans="1:1" x14ac:dyDescent="0.3">
      <c r="A5460" s="6"/>
    </row>
    <row r="5461" spans="1:1" x14ac:dyDescent="0.3">
      <c r="A5461" s="6"/>
    </row>
    <row r="5462" spans="1:1" x14ac:dyDescent="0.3">
      <c r="A5462" s="6"/>
    </row>
    <row r="5463" spans="1:1" x14ac:dyDescent="0.3">
      <c r="A5463" s="6"/>
    </row>
    <row r="5464" spans="1:1" x14ac:dyDescent="0.3">
      <c r="A5464" s="6"/>
    </row>
    <row r="5465" spans="1:1" x14ac:dyDescent="0.3">
      <c r="A5465" s="6"/>
    </row>
    <row r="5466" spans="1:1" x14ac:dyDescent="0.3">
      <c r="A5466" s="6"/>
    </row>
    <row r="5467" spans="1:1" x14ac:dyDescent="0.3">
      <c r="A5467" s="6"/>
    </row>
    <row r="5468" spans="1:1" x14ac:dyDescent="0.3">
      <c r="A5468" s="6"/>
    </row>
    <row r="5469" spans="1:1" x14ac:dyDescent="0.3">
      <c r="A5469" s="6"/>
    </row>
    <row r="5470" spans="1:1" x14ac:dyDescent="0.3">
      <c r="A5470" s="6"/>
    </row>
    <row r="5471" spans="1:1" x14ac:dyDescent="0.3">
      <c r="A5471" s="6"/>
    </row>
    <row r="5472" spans="1:1" x14ac:dyDescent="0.3">
      <c r="A5472" s="6"/>
    </row>
    <row r="5473" spans="1:1" x14ac:dyDescent="0.3">
      <c r="A5473" s="6"/>
    </row>
    <row r="5474" spans="1:1" x14ac:dyDescent="0.3">
      <c r="A5474" s="6"/>
    </row>
    <row r="5475" spans="1:1" x14ac:dyDescent="0.3">
      <c r="A5475" s="6"/>
    </row>
    <row r="5476" spans="1:1" x14ac:dyDescent="0.3">
      <c r="A5476" s="6"/>
    </row>
    <row r="5477" spans="1:1" x14ac:dyDescent="0.3">
      <c r="A5477" s="6"/>
    </row>
    <row r="5478" spans="1:1" x14ac:dyDescent="0.3">
      <c r="A5478" s="6"/>
    </row>
    <row r="5479" spans="1:1" x14ac:dyDescent="0.3">
      <c r="A5479" s="6"/>
    </row>
    <row r="5480" spans="1:1" x14ac:dyDescent="0.3">
      <c r="A5480" s="6"/>
    </row>
    <row r="5481" spans="1:1" x14ac:dyDescent="0.3">
      <c r="A5481" s="6"/>
    </row>
    <row r="5482" spans="1:1" x14ac:dyDescent="0.3">
      <c r="A5482" s="6"/>
    </row>
    <row r="5483" spans="1:1" x14ac:dyDescent="0.3">
      <c r="A5483" s="6"/>
    </row>
    <row r="5484" spans="1:1" x14ac:dyDescent="0.3">
      <c r="A5484" s="6"/>
    </row>
    <row r="5485" spans="1:1" x14ac:dyDescent="0.3">
      <c r="A5485" s="6"/>
    </row>
    <row r="5486" spans="1:1" x14ac:dyDescent="0.3">
      <c r="A5486" s="6"/>
    </row>
    <row r="5487" spans="1:1" x14ac:dyDescent="0.3">
      <c r="A5487" s="6"/>
    </row>
    <row r="5488" spans="1:1" x14ac:dyDescent="0.3">
      <c r="A5488" s="6"/>
    </row>
    <row r="5489" spans="1:1" x14ac:dyDescent="0.3">
      <c r="A5489" s="6"/>
    </row>
    <row r="5490" spans="1:1" x14ac:dyDescent="0.3">
      <c r="A5490" s="6"/>
    </row>
    <row r="5491" spans="1:1" x14ac:dyDescent="0.3">
      <c r="A5491" s="6"/>
    </row>
    <row r="5492" spans="1:1" x14ac:dyDescent="0.3">
      <c r="A5492" s="6"/>
    </row>
    <row r="5493" spans="1:1" x14ac:dyDescent="0.3">
      <c r="A5493" s="6"/>
    </row>
    <row r="5494" spans="1:1" x14ac:dyDescent="0.3">
      <c r="A5494" s="6"/>
    </row>
    <row r="5495" spans="1:1" x14ac:dyDescent="0.3">
      <c r="A5495" s="6"/>
    </row>
    <row r="5496" spans="1:1" x14ac:dyDescent="0.3">
      <c r="A5496" s="6"/>
    </row>
    <row r="5497" spans="1:1" x14ac:dyDescent="0.3">
      <c r="A5497" s="6"/>
    </row>
    <row r="5498" spans="1:1" x14ac:dyDescent="0.3">
      <c r="A5498" s="6"/>
    </row>
    <row r="5499" spans="1:1" x14ac:dyDescent="0.3">
      <c r="A5499" s="6"/>
    </row>
    <row r="5500" spans="1:1" x14ac:dyDescent="0.3">
      <c r="A5500" s="6"/>
    </row>
    <row r="5501" spans="1:1" x14ac:dyDescent="0.3">
      <c r="A5501" s="6"/>
    </row>
    <row r="5502" spans="1:1" x14ac:dyDescent="0.3">
      <c r="A5502" s="6"/>
    </row>
    <row r="5503" spans="1:1" x14ac:dyDescent="0.3">
      <c r="A5503" s="6"/>
    </row>
    <row r="5504" spans="1:1" x14ac:dyDescent="0.3">
      <c r="A5504" s="6"/>
    </row>
    <row r="5505" spans="1:1" x14ac:dyDescent="0.3">
      <c r="A5505" s="6"/>
    </row>
    <row r="5506" spans="1:1" x14ac:dyDescent="0.3">
      <c r="A5506" s="6"/>
    </row>
    <row r="5507" spans="1:1" x14ac:dyDescent="0.3">
      <c r="A5507" s="6"/>
    </row>
    <row r="5508" spans="1:1" x14ac:dyDescent="0.3">
      <c r="A5508" s="6"/>
    </row>
    <row r="5509" spans="1:1" x14ac:dyDescent="0.3">
      <c r="A5509" s="6"/>
    </row>
    <row r="5510" spans="1:1" x14ac:dyDescent="0.3">
      <c r="A5510" s="6"/>
    </row>
    <row r="5511" spans="1:1" x14ac:dyDescent="0.3">
      <c r="A5511" s="6"/>
    </row>
    <row r="5512" spans="1:1" x14ac:dyDescent="0.3">
      <c r="A5512" s="6"/>
    </row>
    <row r="5513" spans="1:1" x14ac:dyDescent="0.3">
      <c r="A5513" s="6"/>
    </row>
    <row r="5514" spans="1:1" x14ac:dyDescent="0.3">
      <c r="A5514" s="6"/>
    </row>
    <row r="5515" spans="1:1" x14ac:dyDescent="0.3">
      <c r="A5515" s="6"/>
    </row>
    <row r="5516" spans="1:1" x14ac:dyDescent="0.3">
      <c r="A5516" s="6"/>
    </row>
    <row r="5517" spans="1:1" x14ac:dyDescent="0.3">
      <c r="A5517" s="6"/>
    </row>
    <row r="5518" spans="1:1" x14ac:dyDescent="0.3">
      <c r="A5518" s="6"/>
    </row>
    <row r="5519" spans="1:1" x14ac:dyDescent="0.3">
      <c r="A5519" s="6"/>
    </row>
    <row r="5520" spans="1:1" x14ac:dyDescent="0.3">
      <c r="A5520" s="6"/>
    </row>
    <row r="5521" spans="1:1" x14ac:dyDescent="0.3">
      <c r="A5521" s="6"/>
    </row>
    <row r="5522" spans="1:1" x14ac:dyDescent="0.3">
      <c r="A5522" s="6"/>
    </row>
    <row r="5523" spans="1:1" x14ac:dyDescent="0.3">
      <c r="A5523" s="6"/>
    </row>
    <row r="5524" spans="1:1" x14ac:dyDescent="0.3">
      <c r="A5524" s="6"/>
    </row>
    <row r="5525" spans="1:1" x14ac:dyDescent="0.3">
      <c r="A5525" s="6"/>
    </row>
    <row r="5526" spans="1:1" x14ac:dyDescent="0.3">
      <c r="A5526" s="6"/>
    </row>
    <row r="5527" spans="1:1" x14ac:dyDescent="0.3">
      <c r="A5527" s="6"/>
    </row>
    <row r="5528" spans="1:1" x14ac:dyDescent="0.3">
      <c r="A5528" s="6"/>
    </row>
    <row r="5529" spans="1:1" x14ac:dyDescent="0.3">
      <c r="A5529" s="6"/>
    </row>
    <row r="5530" spans="1:1" x14ac:dyDescent="0.3">
      <c r="A5530" s="6"/>
    </row>
    <row r="5531" spans="1:1" x14ac:dyDescent="0.3">
      <c r="A5531" s="6"/>
    </row>
    <row r="5532" spans="1:1" x14ac:dyDescent="0.3">
      <c r="A5532" s="6"/>
    </row>
    <row r="5533" spans="1:1" x14ac:dyDescent="0.3">
      <c r="A5533" s="6"/>
    </row>
    <row r="5534" spans="1:1" x14ac:dyDescent="0.3">
      <c r="A5534" s="6"/>
    </row>
    <row r="5535" spans="1:1" x14ac:dyDescent="0.3">
      <c r="A5535" s="6"/>
    </row>
    <row r="5536" spans="1:1" x14ac:dyDescent="0.3">
      <c r="A5536" s="6"/>
    </row>
    <row r="5537" spans="1:1" x14ac:dyDescent="0.3">
      <c r="A5537" s="6"/>
    </row>
    <row r="5538" spans="1:1" x14ac:dyDescent="0.3">
      <c r="A5538" s="6"/>
    </row>
    <row r="5539" spans="1:1" x14ac:dyDescent="0.3">
      <c r="A5539" s="6"/>
    </row>
    <row r="5540" spans="1:1" x14ac:dyDescent="0.3">
      <c r="A5540" s="6"/>
    </row>
    <row r="5541" spans="1:1" x14ac:dyDescent="0.3">
      <c r="A5541" s="6"/>
    </row>
    <row r="5542" spans="1:1" x14ac:dyDescent="0.3">
      <c r="A5542" s="6"/>
    </row>
    <row r="5543" spans="1:1" x14ac:dyDescent="0.3">
      <c r="A5543" s="6"/>
    </row>
    <row r="5544" spans="1:1" x14ac:dyDescent="0.3">
      <c r="A5544" s="6"/>
    </row>
    <row r="5545" spans="1:1" x14ac:dyDescent="0.3">
      <c r="A5545" s="6"/>
    </row>
    <row r="5546" spans="1:1" x14ac:dyDescent="0.3">
      <c r="A5546" s="6"/>
    </row>
    <row r="5547" spans="1:1" x14ac:dyDescent="0.3">
      <c r="A5547" s="6"/>
    </row>
    <row r="5548" spans="1:1" x14ac:dyDescent="0.3">
      <c r="A5548" s="6"/>
    </row>
    <row r="5549" spans="1:1" x14ac:dyDescent="0.3">
      <c r="A5549" s="6"/>
    </row>
    <row r="5550" spans="1:1" x14ac:dyDescent="0.3">
      <c r="A5550" s="6"/>
    </row>
    <row r="5551" spans="1:1" x14ac:dyDescent="0.3">
      <c r="A5551" s="6"/>
    </row>
    <row r="5552" spans="1:1" x14ac:dyDescent="0.3">
      <c r="A5552" s="6"/>
    </row>
    <row r="5553" spans="1:1" x14ac:dyDescent="0.3">
      <c r="A5553" s="6"/>
    </row>
    <row r="5554" spans="1:1" x14ac:dyDescent="0.3">
      <c r="A5554" s="6"/>
    </row>
    <row r="5555" spans="1:1" x14ac:dyDescent="0.3">
      <c r="A5555" s="6"/>
    </row>
    <row r="5556" spans="1:1" x14ac:dyDescent="0.3">
      <c r="A5556" s="6"/>
    </row>
    <row r="5557" spans="1:1" x14ac:dyDescent="0.3">
      <c r="A5557" s="6"/>
    </row>
    <row r="5558" spans="1:1" x14ac:dyDescent="0.3">
      <c r="A5558" s="6"/>
    </row>
    <row r="5559" spans="1:1" x14ac:dyDescent="0.3">
      <c r="A5559" s="6"/>
    </row>
    <row r="5560" spans="1:1" x14ac:dyDescent="0.3">
      <c r="A5560" s="6"/>
    </row>
    <row r="5561" spans="1:1" x14ac:dyDescent="0.3">
      <c r="A5561" s="6"/>
    </row>
    <row r="5562" spans="1:1" x14ac:dyDescent="0.3">
      <c r="A5562" s="6"/>
    </row>
    <row r="5563" spans="1:1" x14ac:dyDescent="0.3">
      <c r="A5563" s="6"/>
    </row>
    <row r="5564" spans="1:1" x14ac:dyDescent="0.3">
      <c r="A5564" s="6"/>
    </row>
    <row r="5565" spans="1:1" x14ac:dyDescent="0.3">
      <c r="A5565" s="6"/>
    </row>
    <row r="5566" spans="1:1" x14ac:dyDescent="0.3">
      <c r="A5566" s="6"/>
    </row>
    <row r="5567" spans="1:1" x14ac:dyDescent="0.3">
      <c r="A5567" s="6"/>
    </row>
    <row r="5568" spans="1:1" x14ac:dyDescent="0.3">
      <c r="A5568" s="6"/>
    </row>
    <row r="5569" spans="1:1" x14ac:dyDescent="0.3">
      <c r="A5569" s="6"/>
    </row>
    <row r="5570" spans="1:1" x14ac:dyDescent="0.3">
      <c r="A5570" s="6"/>
    </row>
    <row r="5571" spans="1:1" x14ac:dyDescent="0.3">
      <c r="A5571" s="6"/>
    </row>
    <row r="5572" spans="1:1" x14ac:dyDescent="0.3">
      <c r="A5572" s="6"/>
    </row>
    <row r="5573" spans="1:1" x14ac:dyDescent="0.3">
      <c r="A5573" s="6"/>
    </row>
    <row r="5574" spans="1:1" x14ac:dyDescent="0.3">
      <c r="A5574" s="6"/>
    </row>
    <row r="5575" spans="1:1" x14ac:dyDescent="0.3">
      <c r="A5575" s="6"/>
    </row>
    <row r="5576" spans="1:1" x14ac:dyDescent="0.3">
      <c r="A5576" s="6"/>
    </row>
    <row r="5577" spans="1:1" x14ac:dyDescent="0.3">
      <c r="A5577" s="6"/>
    </row>
    <row r="5578" spans="1:1" x14ac:dyDescent="0.3">
      <c r="A5578" s="6"/>
    </row>
    <row r="5579" spans="1:1" x14ac:dyDescent="0.3">
      <c r="A5579" s="6"/>
    </row>
    <row r="5580" spans="1:1" x14ac:dyDescent="0.3">
      <c r="A5580" s="6"/>
    </row>
    <row r="5581" spans="1:1" x14ac:dyDescent="0.3">
      <c r="A5581" s="6"/>
    </row>
    <row r="5582" spans="1:1" x14ac:dyDescent="0.3">
      <c r="A5582" s="6"/>
    </row>
    <row r="5583" spans="1:1" x14ac:dyDescent="0.3">
      <c r="A5583" s="6"/>
    </row>
    <row r="5584" spans="1:1" x14ac:dyDescent="0.3">
      <c r="A5584" s="6"/>
    </row>
    <row r="5585" spans="1:1" x14ac:dyDescent="0.3">
      <c r="A5585" s="6"/>
    </row>
    <row r="5586" spans="1:1" x14ac:dyDescent="0.3">
      <c r="A5586" s="6"/>
    </row>
    <row r="5587" spans="1:1" x14ac:dyDescent="0.3">
      <c r="A5587" s="6"/>
    </row>
    <row r="5588" spans="1:1" x14ac:dyDescent="0.3">
      <c r="A5588" s="6"/>
    </row>
    <row r="5589" spans="1:1" x14ac:dyDescent="0.3">
      <c r="A5589" s="6"/>
    </row>
    <row r="5590" spans="1:1" x14ac:dyDescent="0.3">
      <c r="A5590" s="6"/>
    </row>
    <row r="5591" spans="1:1" x14ac:dyDescent="0.3">
      <c r="A5591" s="6"/>
    </row>
    <row r="5592" spans="1:1" x14ac:dyDescent="0.3">
      <c r="A5592" s="6"/>
    </row>
    <row r="5593" spans="1:1" x14ac:dyDescent="0.3">
      <c r="A5593" s="6"/>
    </row>
    <row r="5594" spans="1:1" x14ac:dyDescent="0.3">
      <c r="A5594" s="6"/>
    </row>
    <row r="5595" spans="1:1" x14ac:dyDescent="0.3">
      <c r="A5595" s="6"/>
    </row>
    <row r="5596" spans="1:1" x14ac:dyDescent="0.3">
      <c r="A5596" s="6"/>
    </row>
    <row r="5597" spans="1:1" x14ac:dyDescent="0.3">
      <c r="A5597" s="6"/>
    </row>
    <row r="5598" spans="1:1" x14ac:dyDescent="0.3">
      <c r="A5598" s="6"/>
    </row>
    <row r="5599" spans="1:1" x14ac:dyDescent="0.3">
      <c r="A5599" s="6"/>
    </row>
    <row r="5600" spans="1:1" x14ac:dyDescent="0.3">
      <c r="A5600" s="6"/>
    </row>
    <row r="5601" spans="1:1" x14ac:dyDescent="0.3">
      <c r="A5601" s="6"/>
    </row>
    <row r="5602" spans="1:1" x14ac:dyDescent="0.3">
      <c r="A5602" s="6"/>
    </row>
    <row r="5603" spans="1:1" x14ac:dyDescent="0.3">
      <c r="A5603" s="6"/>
    </row>
    <row r="5604" spans="1:1" x14ac:dyDescent="0.3">
      <c r="A5604" s="6"/>
    </row>
    <row r="5605" spans="1:1" x14ac:dyDescent="0.3">
      <c r="A5605" s="6"/>
    </row>
    <row r="5606" spans="1:1" x14ac:dyDescent="0.3">
      <c r="A5606" s="6"/>
    </row>
    <row r="5607" spans="1:1" x14ac:dyDescent="0.3">
      <c r="A5607" s="6"/>
    </row>
    <row r="5608" spans="1:1" x14ac:dyDescent="0.3">
      <c r="A5608" s="6"/>
    </row>
    <row r="5609" spans="1:1" x14ac:dyDescent="0.3">
      <c r="A5609" s="6"/>
    </row>
    <row r="5610" spans="1:1" x14ac:dyDescent="0.3">
      <c r="A5610" s="6"/>
    </row>
    <row r="5611" spans="1:1" x14ac:dyDescent="0.3">
      <c r="A5611" s="6"/>
    </row>
    <row r="5612" spans="1:1" x14ac:dyDescent="0.3">
      <c r="A5612" s="6"/>
    </row>
    <row r="5613" spans="1:1" x14ac:dyDescent="0.3">
      <c r="A5613" s="6"/>
    </row>
    <row r="5614" spans="1:1" x14ac:dyDescent="0.3">
      <c r="A5614" s="6"/>
    </row>
    <row r="5615" spans="1:1" x14ac:dyDescent="0.3">
      <c r="A5615" s="6"/>
    </row>
    <row r="5616" spans="1:1" x14ac:dyDescent="0.3">
      <c r="A5616" s="6"/>
    </row>
    <row r="5617" spans="1:1" x14ac:dyDescent="0.3">
      <c r="A5617" s="6"/>
    </row>
    <row r="5618" spans="1:1" x14ac:dyDescent="0.3">
      <c r="A5618" s="6"/>
    </row>
    <row r="5619" spans="1:1" x14ac:dyDescent="0.3">
      <c r="A5619" s="6"/>
    </row>
    <row r="5620" spans="1:1" x14ac:dyDescent="0.3">
      <c r="A5620" s="6"/>
    </row>
    <row r="5621" spans="1:1" x14ac:dyDescent="0.3">
      <c r="A5621" s="6"/>
    </row>
    <row r="5622" spans="1:1" x14ac:dyDescent="0.3">
      <c r="A5622" s="6"/>
    </row>
    <row r="5623" spans="1:1" x14ac:dyDescent="0.3">
      <c r="A5623" s="6"/>
    </row>
    <row r="5624" spans="1:1" x14ac:dyDescent="0.3">
      <c r="A5624" s="6"/>
    </row>
    <row r="5625" spans="1:1" x14ac:dyDescent="0.3">
      <c r="A5625" s="6"/>
    </row>
    <row r="5626" spans="1:1" x14ac:dyDescent="0.3">
      <c r="A5626" s="6"/>
    </row>
    <row r="5627" spans="1:1" x14ac:dyDescent="0.3">
      <c r="A5627" s="6"/>
    </row>
    <row r="5628" spans="1:1" x14ac:dyDescent="0.3">
      <c r="A5628" s="6"/>
    </row>
    <row r="5629" spans="1:1" x14ac:dyDescent="0.3">
      <c r="A5629" s="6"/>
    </row>
    <row r="5630" spans="1:1" x14ac:dyDescent="0.3">
      <c r="A5630" s="6"/>
    </row>
    <row r="5631" spans="1:1" x14ac:dyDescent="0.3">
      <c r="A5631" s="6"/>
    </row>
    <row r="5632" spans="1:1" x14ac:dyDescent="0.3">
      <c r="A5632" s="6"/>
    </row>
    <row r="5633" spans="1:1" x14ac:dyDescent="0.3">
      <c r="A5633" s="6"/>
    </row>
    <row r="5634" spans="1:1" x14ac:dyDescent="0.3">
      <c r="A5634" s="6"/>
    </row>
    <row r="5635" spans="1:1" x14ac:dyDescent="0.3">
      <c r="A5635" s="6"/>
    </row>
    <row r="5636" spans="1:1" x14ac:dyDescent="0.3">
      <c r="A5636" s="6"/>
    </row>
    <row r="5637" spans="1:1" x14ac:dyDescent="0.3">
      <c r="A5637" s="6"/>
    </row>
    <row r="5638" spans="1:1" x14ac:dyDescent="0.3">
      <c r="A5638" s="6"/>
    </row>
    <row r="5639" spans="1:1" x14ac:dyDescent="0.3">
      <c r="A5639" s="6"/>
    </row>
    <row r="5640" spans="1:1" x14ac:dyDescent="0.3">
      <c r="A5640" s="6"/>
    </row>
    <row r="5641" spans="1:1" x14ac:dyDescent="0.3">
      <c r="A5641" s="6"/>
    </row>
    <row r="5642" spans="1:1" x14ac:dyDescent="0.3">
      <c r="A5642" s="6"/>
    </row>
    <row r="5643" spans="1:1" x14ac:dyDescent="0.3">
      <c r="A5643" s="6"/>
    </row>
    <row r="5644" spans="1:1" x14ac:dyDescent="0.3">
      <c r="A5644" s="6"/>
    </row>
    <row r="5645" spans="1:1" x14ac:dyDescent="0.3">
      <c r="A5645" s="6"/>
    </row>
    <row r="5646" spans="1:1" x14ac:dyDescent="0.3">
      <c r="A5646" s="6"/>
    </row>
    <row r="5647" spans="1:1" x14ac:dyDescent="0.3">
      <c r="A5647" s="6"/>
    </row>
    <row r="5648" spans="1:1" x14ac:dyDescent="0.3">
      <c r="A5648" s="6"/>
    </row>
    <row r="5649" spans="1:1" x14ac:dyDescent="0.3">
      <c r="A5649" s="6"/>
    </row>
    <row r="5650" spans="1:1" x14ac:dyDescent="0.3">
      <c r="A5650" s="6"/>
    </row>
    <row r="5651" spans="1:1" x14ac:dyDescent="0.3">
      <c r="A5651" s="6"/>
    </row>
    <row r="5652" spans="1:1" x14ac:dyDescent="0.3">
      <c r="A5652" s="6"/>
    </row>
    <row r="5653" spans="1:1" x14ac:dyDescent="0.3">
      <c r="A5653" s="6"/>
    </row>
    <row r="5654" spans="1:1" x14ac:dyDescent="0.3">
      <c r="A5654" s="6"/>
    </row>
    <row r="5655" spans="1:1" x14ac:dyDescent="0.3">
      <c r="A5655" s="6"/>
    </row>
    <row r="5656" spans="1:1" x14ac:dyDescent="0.3">
      <c r="A5656" s="6"/>
    </row>
    <row r="5657" spans="1:1" x14ac:dyDescent="0.3">
      <c r="A5657" s="6"/>
    </row>
    <row r="5658" spans="1:1" x14ac:dyDescent="0.3">
      <c r="A5658" s="6"/>
    </row>
    <row r="5659" spans="1:1" x14ac:dyDescent="0.3">
      <c r="A5659" s="6"/>
    </row>
    <row r="5660" spans="1:1" x14ac:dyDescent="0.3">
      <c r="A5660" s="6"/>
    </row>
    <row r="5661" spans="1:1" x14ac:dyDescent="0.3">
      <c r="A5661" s="6"/>
    </row>
    <row r="5662" spans="1:1" x14ac:dyDescent="0.3">
      <c r="A5662" s="6"/>
    </row>
    <row r="5663" spans="1:1" x14ac:dyDescent="0.3">
      <c r="A5663" s="6"/>
    </row>
    <row r="5664" spans="1:1" x14ac:dyDescent="0.3">
      <c r="A5664" s="6"/>
    </row>
    <row r="5665" spans="1:1" x14ac:dyDescent="0.3">
      <c r="A5665" s="6"/>
    </row>
    <row r="5666" spans="1:1" x14ac:dyDescent="0.3">
      <c r="A5666" s="6"/>
    </row>
    <row r="5667" spans="1:1" x14ac:dyDescent="0.3">
      <c r="A5667" s="6"/>
    </row>
    <row r="5668" spans="1:1" x14ac:dyDescent="0.3">
      <c r="A5668" s="6"/>
    </row>
    <row r="5669" spans="1:1" x14ac:dyDescent="0.3">
      <c r="A5669" s="6"/>
    </row>
    <row r="5670" spans="1:1" x14ac:dyDescent="0.3">
      <c r="A5670" s="6"/>
    </row>
    <row r="5671" spans="1:1" x14ac:dyDescent="0.3">
      <c r="A5671" s="6"/>
    </row>
    <row r="5672" spans="1:1" x14ac:dyDescent="0.3">
      <c r="A5672" s="6"/>
    </row>
    <row r="5673" spans="1:1" x14ac:dyDescent="0.3">
      <c r="A5673" s="6"/>
    </row>
    <row r="5674" spans="1:1" x14ac:dyDescent="0.3">
      <c r="A5674" s="6"/>
    </row>
    <row r="5675" spans="1:1" x14ac:dyDescent="0.3">
      <c r="A5675" s="6"/>
    </row>
    <row r="5676" spans="1:1" x14ac:dyDescent="0.3">
      <c r="A5676" s="6"/>
    </row>
    <row r="5677" spans="1:1" x14ac:dyDescent="0.3">
      <c r="A5677" s="6"/>
    </row>
    <row r="5678" spans="1:1" x14ac:dyDescent="0.3">
      <c r="A5678" s="6"/>
    </row>
    <row r="5679" spans="1:1" x14ac:dyDescent="0.3">
      <c r="A5679" s="6"/>
    </row>
    <row r="5680" spans="1:1" x14ac:dyDescent="0.3">
      <c r="A5680" s="6"/>
    </row>
    <row r="5681" spans="1:1" x14ac:dyDescent="0.3">
      <c r="A5681" s="6"/>
    </row>
    <row r="5682" spans="1:1" x14ac:dyDescent="0.3">
      <c r="A5682" s="6"/>
    </row>
    <row r="5683" spans="1:1" x14ac:dyDescent="0.3">
      <c r="A5683" s="6"/>
    </row>
    <row r="5684" spans="1:1" x14ac:dyDescent="0.3">
      <c r="A5684" s="6"/>
    </row>
    <row r="5685" spans="1:1" x14ac:dyDescent="0.3">
      <c r="A5685" s="6"/>
    </row>
    <row r="5686" spans="1:1" x14ac:dyDescent="0.3">
      <c r="A5686" s="6"/>
    </row>
    <row r="5687" spans="1:1" x14ac:dyDescent="0.3">
      <c r="A5687" s="6"/>
    </row>
    <row r="5688" spans="1:1" x14ac:dyDescent="0.3">
      <c r="A5688" s="6"/>
    </row>
    <row r="5689" spans="1:1" x14ac:dyDescent="0.3">
      <c r="A5689" s="6"/>
    </row>
    <row r="5690" spans="1:1" x14ac:dyDescent="0.3">
      <c r="A5690" s="6"/>
    </row>
    <row r="5691" spans="1:1" x14ac:dyDescent="0.3">
      <c r="A5691" s="6"/>
    </row>
    <row r="5692" spans="1:1" x14ac:dyDescent="0.3">
      <c r="A5692" s="6"/>
    </row>
    <row r="5693" spans="1:1" x14ac:dyDescent="0.3">
      <c r="A5693" s="6"/>
    </row>
    <row r="5694" spans="1:1" x14ac:dyDescent="0.3">
      <c r="A5694" s="6"/>
    </row>
    <row r="5695" spans="1:1" x14ac:dyDescent="0.3">
      <c r="A5695" s="6"/>
    </row>
    <row r="5696" spans="1:1" x14ac:dyDescent="0.3">
      <c r="A5696" s="6"/>
    </row>
    <row r="5697" spans="1:1" x14ac:dyDescent="0.3">
      <c r="A5697" s="6"/>
    </row>
    <row r="5698" spans="1:1" x14ac:dyDescent="0.3">
      <c r="A5698" s="6"/>
    </row>
    <row r="5699" spans="1:1" x14ac:dyDescent="0.3">
      <c r="A5699" s="6"/>
    </row>
    <row r="5700" spans="1:1" x14ac:dyDescent="0.3">
      <c r="A5700" s="6"/>
    </row>
    <row r="5701" spans="1:1" x14ac:dyDescent="0.3">
      <c r="A5701" s="6"/>
    </row>
    <row r="5702" spans="1:1" x14ac:dyDescent="0.3">
      <c r="A5702" s="6"/>
    </row>
    <row r="5703" spans="1:1" x14ac:dyDescent="0.3">
      <c r="A5703" s="6"/>
    </row>
    <row r="5704" spans="1:1" x14ac:dyDescent="0.3">
      <c r="A5704" s="6"/>
    </row>
    <row r="5705" spans="1:1" x14ac:dyDescent="0.3">
      <c r="A5705" s="6"/>
    </row>
    <row r="5706" spans="1:1" x14ac:dyDescent="0.3">
      <c r="A5706" s="6"/>
    </row>
    <row r="5707" spans="1:1" x14ac:dyDescent="0.3">
      <c r="A5707" s="6"/>
    </row>
    <row r="5708" spans="1:1" x14ac:dyDescent="0.3">
      <c r="A5708" s="6"/>
    </row>
    <row r="5709" spans="1:1" x14ac:dyDescent="0.3">
      <c r="A5709" s="6"/>
    </row>
    <row r="5710" spans="1:1" x14ac:dyDescent="0.3">
      <c r="A5710" s="6"/>
    </row>
    <row r="5711" spans="1:1" x14ac:dyDescent="0.3">
      <c r="A5711" s="6"/>
    </row>
    <row r="5712" spans="1:1" x14ac:dyDescent="0.3">
      <c r="A5712" s="6"/>
    </row>
    <row r="5713" spans="1:1" x14ac:dyDescent="0.3">
      <c r="A5713" s="6"/>
    </row>
    <row r="5714" spans="1:1" x14ac:dyDescent="0.3">
      <c r="A5714" s="6"/>
    </row>
    <row r="5715" spans="1:1" x14ac:dyDescent="0.3">
      <c r="A5715" s="6"/>
    </row>
    <row r="5716" spans="1:1" x14ac:dyDescent="0.3">
      <c r="A5716" s="6"/>
    </row>
    <row r="5717" spans="1:1" x14ac:dyDescent="0.3">
      <c r="A5717" s="6"/>
    </row>
    <row r="5718" spans="1:1" x14ac:dyDescent="0.3">
      <c r="A5718" s="6"/>
    </row>
    <row r="5719" spans="1:1" x14ac:dyDescent="0.3">
      <c r="A5719" s="6"/>
    </row>
    <row r="5720" spans="1:1" x14ac:dyDescent="0.3">
      <c r="A5720" s="6"/>
    </row>
    <row r="5721" spans="1:1" x14ac:dyDescent="0.3">
      <c r="A5721" s="6"/>
    </row>
    <row r="5722" spans="1:1" x14ac:dyDescent="0.3">
      <c r="A5722" s="6"/>
    </row>
    <row r="5723" spans="1:1" x14ac:dyDescent="0.3">
      <c r="A5723" s="6"/>
    </row>
    <row r="5724" spans="1:1" x14ac:dyDescent="0.3">
      <c r="A5724" s="6"/>
    </row>
    <row r="5725" spans="1:1" x14ac:dyDescent="0.3">
      <c r="A5725" s="6"/>
    </row>
    <row r="5726" spans="1:1" x14ac:dyDescent="0.3">
      <c r="A5726" s="6"/>
    </row>
    <row r="5727" spans="1:1" x14ac:dyDescent="0.3">
      <c r="A5727" s="6"/>
    </row>
    <row r="5728" spans="1:1" x14ac:dyDescent="0.3">
      <c r="A5728" s="6"/>
    </row>
    <row r="5729" spans="1:1" x14ac:dyDescent="0.3">
      <c r="A5729" s="6"/>
    </row>
    <row r="5730" spans="1:1" x14ac:dyDescent="0.3">
      <c r="A5730" s="6"/>
    </row>
    <row r="5731" spans="1:1" x14ac:dyDescent="0.3">
      <c r="A5731" s="6"/>
    </row>
    <row r="5732" spans="1:1" x14ac:dyDescent="0.3">
      <c r="A5732" s="6"/>
    </row>
    <row r="5733" spans="1:1" x14ac:dyDescent="0.3">
      <c r="A5733" s="6"/>
    </row>
    <row r="5734" spans="1:1" x14ac:dyDescent="0.3">
      <c r="A5734" s="6"/>
    </row>
    <row r="5735" spans="1:1" x14ac:dyDescent="0.3">
      <c r="A5735" s="6"/>
    </row>
    <row r="5736" spans="1:1" x14ac:dyDescent="0.3">
      <c r="A5736" s="6"/>
    </row>
    <row r="5737" spans="1:1" x14ac:dyDescent="0.3">
      <c r="A5737" s="6"/>
    </row>
    <row r="5738" spans="1:1" x14ac:dyDescent="0.3">
      <c r="A5738" s="6"/>
    </row>
    <row r="5739" spans="1:1" x14ac:dyDescent="0.3">
      <c r="A5739" s="6"/>
    </row>
    <row r="5740" spans="1:1" x14ac:dyDescent="0.3">
      <c r="A5740" s="6"/>
    </row>
    <row r="5741" spans="1:1" x14ac:dyDescent="0.3">
      <c r="A5741" s="6"/>
    </row>
    <row r="5742" spans="1:1" x14ac:dyDescent="0.3">
      <c r="A5742" s="6"/>
    </row>
    <row r="5743" spans="1:1" x14ac:dyDescent="0.3">
      <c r="A5743" s="6"/>
    </row>
    <row r="5744" spans="1:1" x14ac:dyDescent="0.3">
      <c r="A5744" s="6"/>
    </row>
    <row r="5745" spans="1:1" x14ac:dyDescent="0.3">
      <c r="A5745" s="6"/>
    </row>
    <row r="5746" spans="1:1" x14ac:dyDescent="0.3">
      <c r="A5746" s="6"/>
    </row>
    <row r="5747" spans="1:1" x14ac:dyDescent="0.3">
      <c r="A5747" s="6"/>
    </row>
    <row r="5748" spans="1:1" x14ac:dyDescent="0.3">
      <c r="A5748" s="6"/>
    </row>
    <row r="5749" spans="1:1" x14ac:dyDescent="0.3">
      <c r="A5749" s="6"/>
    </row>
    <row r="5750" spans="1:1" x14ac:dyDescent="0.3">
      <c r="A5750" s="6"/>
    </row>
    <row r="5751" spans="1:1" x14ac:dyDescent="0.3">
      <c r="A5751" s="6"/>
    </row>
    <row r="5752" spans="1:1" x14ac:dyDescent="0.3">
      <c r="A5752" s="6"/>
    </row>
    <row r="5753" spans="1:1" x14ac:dyDescent="0.3">
      <c r="A5753" s="6"/>
    </row>
    <row r="5754" spans="1:1" x14ac:dyDescent="0.3">
      <c r="A5754" s="6"/>
    </row>
    <row r="5755" spans="1:1" x14ac:dyDescent="0.3">
      <c r="A5755" s="6"/>
    </row>
    <row r="5756" spans="1:1" x14ac:dyDescent="0.3">
      <c r="A5756" s="6"/>
    </row>
    <row r="5757" spans="1:1" x14ac:dyDescent="0.3">
      <c r="A5757" s="6"/>
    </row>
    <row r="5758" spans="1:1" x14ac:dyDescent="0.3">
      <c r="A5758" s="6"/>
    </row>
    <row r="5759" spans="1:1" x14ac:dyDescent="0.3">
      <c r="A5759" s="6"/>
    </row>
    <row r="5760" spans="1:1" x14ac:dyDescent="0.3">
      <c r="A5760" s="6"/>
    </row>
    <row r="5761" spans="1:1" x14ac:dyDescent="0.3">
      <c r="A5761" s="6"/>
    </row>
    <row r="5762" spans="1:1" x14ac:dyDescent="0.3">
      <c r="A5762" s="6"/>
    </row>
    <row r="5763" spans="1:1" x14ac:dyDescent="0.3">
      <c r="A5763" s="6"/>
    </row>
    <row r="5764" spans="1:1" x14ac:dyDescent="0.3">
      <c r="A5764" s="6"/>
    </row>
    <row r="5765" spans="1:1" x14ac:dyDescent="0.3">
      <c r="A5765" s="6"/>
    </row>
    <row r="5766" spans="1:1" x14ac:dyDescent="0.3">
      <c r="A5766" s="6"/>
    </row>
    <row r="5767" spans="1:1" x14ac:dyDescent="0.3">
      <c r="A5767" s="6"/>
    </row>
    <row r="5768" spans="1:1" x14ac:dyDescent="0.3">
      <c r="A5768" s="6"/>
    </row>
    <row r="5769" spans="1:1" x14ac:dyDescent="0.3">
      <c r="A5769" s="6"/>
    </row>
    <row r="5770" spans="1:1" x14ac:dyDescent="0.3">
      <c r="A5770" s="6"/>
    </row>
    <row r="5771" spans="1:1" x14ac:dyDescent="0.3">
      <c r="A5771" s="6"/>
    </row>
    <row r="5772" spans="1:1" x14ac:dyDescent="0.3">
      <c r="A5772" s="6"/>
    </row>
    <row r="5773" spans="1:1" x14ac:dyDescent="0.3">
      <c r="A5773" s="6"/>
    </row>
    <row r="5774" spans="1:1" x14ac:dyDescent="0.3">
      <c r="A5774" s="6"/>
    </row>
    <row r="5775" spans="1:1" x14ac:dyDescent="0.3">
      <c r="A5775" s="6"/>
    </row>
    <row r="5776" spans="1:1" x14ac:dyDescent="0.3">
      <c r="A5776" s="6"/>
    </row>
    <row r="5777" spans="1:1" x14ac:dyDescent="0.3">
      <c r="A5777" s="6"/>
    </row>
    <row r="5778" spans="1:1" x14ac:dyDescent="0.3">
      <c r="A5778" s="6"/>
    </row>
    <row r="5779" spans="1:1" x14ac:dyDescent="0.3">
      <c r="A5779" s="6"/>
    </row>
    <row r="5780" spans="1:1" x14ac:dyDescent="0.3">
      <c r="A5780" s="6"/>
    </row>
    <row r="5781" spans="1:1" x14ac:dyDescent="0.3">
      <c r="A5781" s="6"/>
    </row>
    <row r="5782" spans="1:1" x14ac:dyDescent="0.3">
      <c r="A5782" s="6"/>
    </row>
    <row r="5783" spans="1:1" x14ac:dyDescent="0.3">
      <c r="A5783" s="6"/>
    </row>
    <row r="5784" spans="1:1" x14ac:dyDescent="0.3">
      <c r="A5784" s="6"/>
    </row>
    <row r="5785" spans="1:1" x14ac:dyDescent="0.3">
      <c r="A5785" s="6"/>
    </row>
    <row r="5786" spans="1:1" x14ac:dyDescent="0.3">
      <c r="A5786" s="6"/>
    </row>
    <row r="5787" spans="1:1" x14ac:dyDescent="0.3">
      <c r="A5787" s="6"/>
    </row>
    <row r="5788" spans="1:1" x14ac:dyDescent="0.3">
      <c r="A5788" s="6"/>
    </row>
    <row r="5789" spans="1:1" x14ac:dyDescent="0.3">
      <c r="A5789" s="6"/>
    </row>
    <row r="5790" spans="1:1" x14ac:dyDescent="0.3">
      <c r="A5790" s="6"/>
    </row>
    <row r="5791" spans="1:1" x14ac:dyDescent="0.3">
      <c r="A5791" s="6"/>
    </row>
    <row r="5792" spans="1:1" x14ac:dyDescent="0.3">
      <c r="A5792" s="6"/>
    </row>
    <row r="5793" spans="1:1" x14ac:dyDescent="0.3">
      <c r="A5793" s="6"/>
    </row>
    <row r="5794" spans="1:1" x14ac:dyDescent="0.3">
      <c r="A5794" s="6"/>
    </row>
    <row r="5795" spans="1:1" x14ac:dyDescent="0.3">
      <c r="A5795" s="6"/>
    </row>
    <row r="5796" spans="1:1" x14ac:dyDescent="0.3">
      <c r="A5796" s="6"/>
    </row>
    <row r="5797" spans="1:1" x14ac:dyDescent="0.3">
      <c r="A5797" s="6"/>
    </row>
    <row r="5798" spans="1:1" x14ac:dyDescent="0.3">
      <c r="A5798" s="6"/>
    </row>
    <row r="5799" spans="1:1" x14ac:dyDescent="0.3">
      <c r="A5799" s="6"/>
    </row>
    <row r="5800" spans="1:1" x14ac:dyDescent="0.3">
      <c r="A5800" s="6"/>
    </row>
    <row r="5801" spans="1:1" x14ac:dyDescent="0.3">
      <c r="A5801" s="6"/>
    </row>
    <row r="5802" spans="1:1" x14ac:dyDescent="0.3">
      <c r="A5802" s="6"/>
    </row>
    <row r="5803" spans="1:1" x14ac:dyDescent="0.3">
      <c r="A5803" s="6"/>
    </row>
    <row r="5804" spans="1:1" x14ac:dyDescent="0.3">
      <c r="A5804" s="6"/>
    </row>
    <row r="5805" spans="1:1" x14ac:dyDescent="0.3">
      <c r="A5805" s="6"/>
    </row>
    <row r="5806" spans="1:1" x14ac:dyDescent="0.3">
      <c r="A5806" s="6"/>
    </row>
    <row r="5807" spans="1:1" x14ac:dyDescent="0.3">
      <c r="A5807" s="6"/>
    </row>
    <row r="5808" spans="1:1" x14ac:dyDescent="0.3">
      <c r="A5808" s="6"/>
    </row>
    <row r="5809" spans="1:1" x14ac:dyDescent="0.3">
      <c r="A5809" s="6"/>
    </row>
    <row r="5810" spans="1:1" x14ac:dyDescent="0.3">
      <c r="A5810" s="6"/>
    </row>
    <row r="5811" spans="1:1" x14ac:dyDescent="0.3">
      <c r="A5811" s="6"/>
    </row>
    <row r="5812" spans="1:1" x14ac:dyDescent="0.3">
      <c r="A5812" s="6"/>
    </row>
    <row r="5813" spans="1:1" x14ac:dyDescent="0.3">
      <c r="A5813" s="6"/>
    </row>
    <row r="5814" spans="1:1" x14ac:dyDescent="0.3">
      <c r="A5814" s="6"/>
    </row>
    <row r="5815" spans="1:1" x14ac:dyDescent="0.3">
      <c r="A5815" s="6"/>
    </row>
    <row r="5816" spans="1:1" x14ac:dyDescent="0.3">
      <c r="A5816" s="6"/>
    </row>
    <row r="5817" spans="1:1" x14ac:dyDescent="0.3">
      <c r="A5817" s="6"/>
    </row>
    <row r="5818" spans="1:1" x14ac:dyDescent="0.3">
      <c r="A5818" s="6"/>
    </row>
    <row r="5819" spans="1:1" x14ac:dyDescent="0.3">
      <c r="A5819" s="6"/>
    </row>
    <row r="5820" spans="1:1" x14ac:dyDescent="0.3">
      <c r="A5820" s="6"/>
    </row>
    <row r="5821" spans="1:1" x14ac:dyDescent="0.3">
      <c r="A5821" s="6"/>
    </row>
    <row r="5822" spans="1:1" x14ac:dyDescent="0.3">
      <c r="A5822" s="6"/>
    </row>
    <row r="5823" spans="1:1" x14ac:dyDescent="0.3">
      <c r="A5823" s="6"/>
    </row>
    <row r="5824" spans="1:1" x14ac:dyDescent="0.3">
      <c r="A5824" s="6"/>
    </row>
    <row r="5825" spans="1:1" x14ac:dyDescent="0.3">
      <c r="A5825" s="6"/>
    </row>
    <row r="5826" spans="1:1" x14ac:dyDescent="0.3">
      <c r="A5826" s="6"/>
    </row>
    <row r="5827" spans="1:1" x14ac:dyDescent="0.3">
      <c r="A5827" s="6"/>
    </row>
    <row r="5828" spans="1:1" x14ac:dyDescent="0.3">
      <c r="A5828" s="6"/>
    </row>
    <row r="5829" spans="1:1" x14ac:dyDescent="0.3">
      <c r="A5829" s="6"/>
    </row>
    <row r="5830" spans="1:1" x14ac:dyDescent="0.3">
      <c r="A5830" s="6"/>
    </row>
    <row r="5831" spans="1:1" x14ac:dyDescent="0.3">
      <c r="A5831" s="6"/>
    </row>
    <row r="5832" spans="1:1" x14ac:dyDescent="0.3">
      <c r="A5832" s="6"/>
    </row>
    <row r="5833" spans="1:1" x14ac:dyDescent="0.3">
      <c r="A5833" s="6"/>
    </row>
    <row r="5834" spans="1:1" x14ac:dyDescent="0.3">
      <c r="A5834" s="6"/>
    </row>
    <row r="5835" spans="1:1" x14ac:dyDescent="0.3">
      <c r="A5835" s="6"/>
    </row>
    <row r="5836" spans="1:1" x14ac:dyDescent="0.3">
      <c r="A5836" s="6"/>
    </row>
    <row r="5837" spans="1:1" x14ac:dyDescent="0.3">
      <c r="A5837" s="6"/>
    </row>
    <row r="5838" spans="1:1" x14ac:dyDescent="0.3">
      <c r="A5838" s="6"/>
    </row>
    <row r="5839" spans="1:1" x14ac:dyDescent="0.3">
      <c r="A5839" s="6"/>
    </row>
    <row r="5840" spans="1:1" x14ac:dyDescent="0.3">
      <c r="A5840" s="6"/>
    </row>
    <row r="5841" spans="1:1" x14ac:dyDescent="0.3">
      <c r="A5841" s="6"/>
    </row>
    <row r="5842" spans="1:1" x14ac:dyDescent="0.3">
      <c r="A5842" s="6"/>
    </row>
    <row r="5843" spans="1:1" x14ac:dyDescent="0.3">
      <c r="A5843" s="6"/>
    </row>
    <row r="5844" spans="1:1" x14ac:dyDescent="0.3">
      <c r="A5844" s="6"/>
    </row>
    <row r="5845" spans="1:1" x14ac:dyDescent="0.3">
      <c r="A5845" s="6"/>
    </row>
    <row r="5846" spans="1:1" x14ac:dyDescent="0.3">
      <c r="A5846" s="6"/>
    </row>
    <row r="5847" spans="1:1" x14ac:dyDescent="0.3">
      <c r="A5847" s="6"/>
    </row>
    <row r="5848" spans="1:1" x14ac:dyDescent="0.3">
      <c r="A5848" s="6"/>
    </row>
    <row r="5849" spans="1:1" x14ac:dyDescent="0.3">
      <c r="A5849" s="6"/>
    </row>
    <row r="5850" spans="1:1" x14ac:dyDescent="0.3">
      <c r="A5850" s="6"/>
    </row>
    <row r="5851" spans="1:1" x14ac:dyDescent="0.3">
      <c r="A5851" s="6"/>
    </row>
    <row r="5852" spans="1:1" x14ac:dyDescent="0.3">
      <c r="A5852" s="6"/>
    </row>
    <row r="5853" spans="1:1" x14ac:dyDescent="0.3">
      <c r="A5853" s="6"/>
    </row>
    <row r="5854" spans="1:1" x14ac:dyDescent="0.3">
      <c r="A5854" s="6"/>
    </row>
    <row r="5855" spans="1:1" x14ac:dyDescent="0.3">
      <c r="A5855" s="6"/>
    </row>
    <row r="5856" spans="1:1" x14ac:dyDescent="0.3">
      <c r="A5856" s="6"/>
    </row>
    <row r="5857" spans="1:1" x14ac:dyDescent="0.3">
      <c r="A5857" s="6"/>
    </row>
    <row r="5858" spans="1:1" x14ac:dyDescent="0.3">
      <c r="A5858" s="6"/>
    </row>
    <row r="5859" spans="1:1" x14ac:dyDescent="0.3">
      <c r="A5859" s="6"/>
    </row>
    <row r="5860" spans="1:1" x14ac:dyDescent="0.3">
      <c r="A5860" s="6"/>
    </row>
    <row r="5861" spans="1:1" x14ac:dyDescent="0.3">
      <c r="A5861" s="6"/>
    </row>
    <row r="5862" spans="1:1" x14ac:dyDescent="0.3">
      <c r="A5862" s="6"/>
    </row>
    <row r="5863" spans="1:1" x14ac:dyDescent="0.3">
      <c r="A5863" s="6"/>
    </row>
    <row r="5864" spans="1:1" x14ac:dyDescent="0.3">
      <c r="A5864" s="6"/>
    </row>
    <row r="5865" spans="1:1" x14ac:dyDescent="0.3">
      <c r="A5865" s="6"/>
    </row>
    <row r="5866" spans="1:1" x14ac:dyDescent="0.3">
      <c r="A5866" s="6"/>
    </row>
    <row r="5867" spans="1:1" x14ac:dyDescent="0.3">
      <c r="A5867" s="6"/>
    </row>
    <row r="5868" spans="1:1" x14ac:dyDescent="0.3">
      <c r="A5868" s="6"/>
    </row>
    <row r="5869" spans="1:1" x14ac:dyDescent="0.3">
      <c r="A5869" s="6"/>
    </row>
    <row r="5870" spans="1:1" x14ac:dyDescent="0.3">
      <c r="A5870" s="6"/>
    </row>
    <row r="5871" spans="1:1" x14ac:dyDescent="0.3">
      <c r="A5871" s="6"/>
    </row>
    <row r="5872" spans="1:1" x14ac:dyDescent="0.3">
      <c r="A5872" s="6"/>
    </row>
    <row r="5873" spans="1:1" x14ac:dyDescent="0.3">
      <c r="A5873" s="6"/>
    </row>
    <row r="5874" spans="1:1" x14ac:dyDescent="0.3">
      <c r="A5874" s="6"/>
    </row>
    <row r="5875" spans="1:1" x14ac:dyDescent="0.3">
      <c r="A5875" s="6"/>
    </row>
    <row r="5876" spans="1:1" x14ac:dyDescent="0.3">
      <c r="A5876" s="6"/>
    </row>
    <row r="5877" spans="1:1" x14ac:dyDescent="0.3">
      <c r="A5877" s="6"/>
    </row>
    <row r="5878" spans="1:1" x14ac:dyDescent="0.3">
      <c r="A5878" s="6"/>
    </row>
    <row r="5879" spans="1:1" x14ac:dyDescent="0.3">
      <c r="A5879" s="6"/>
    </row>
    <row r="5880" spans="1:1" x14ac:dyDescent="0.3">
      <c r="A5880" s="6"/>
    </row>
    <row r="5881" spans="1:1" x14ac:dyDescent="0.3">
      <c r="A5881" s="6"/>
    </row>
    <row r="5882" spans="1:1" x14ac:dyDescent="0.3">
      <c r="A5882" s="6"/>
    </row>
    <row r="5883" spans="1:1" x14ac:dyDescent="0.3">
      <c r="A5883" s="6"/>
    </row>
    <row r="5884" spans="1:1" x14ac:dyDescent="0.3">
      <c r="A5884" s="6"/>
    </row>
    <row r="5885" spans="1:1" x14ac:dyDescent="0.3">
      <c r="A5885" s="6"/>
    </row>
    <row r="5886" spans="1:1" x14ac:dyDescent="0.3">
      <c r="A5886" s="6"/>
    </row>
    <row r="5887" spans="1:1" x14ac:dyDescent="0.3">
      <c r="A5887" s="6"/>
    </row>
    <row r="5888" spans="1:1" x14ac:dyDescent="0.3">
      <c r="A5888" s="6"/>
    </row>
    <row r="5889" spans="1:1" x14ac:dyDescent="0.3">
      <c r="A5889" s="6"/>
    </row>
    <row r="5890" spans="1:1" x14ac:dyDescent="0.3">
      <c r="A5890" s="6"/>
    </row>
    <row r="5891" spans="1:1" x14ac:dyDescent="0.3">
      <c r="A5891" s="6"/>
    </row>
    <row r="5892" spans="1:1" x14ac:dyDescent="0.3">
      <c r="A5892" s="6"/>
    </row>
    <row r="5893" spans="1:1" x14ac:dyDescent="0.3">
      <c r="A5893" s="6"/>
    </row>
    <row r="5894" spans="1:1" x14ac:dyDescent="0.3">
      <c r="A5894" s="6"/>
    </row>
    <row r="5895" spans="1:1" x14ac:dyDescent="0.3">
      <c r="A5895" s="6"/>
    </row>
    <row r="5896" spans="1:1" x14ac:dyDescent="0.3">
      <c r="A5896" s="6"/>
    </row>
    <row r="5897" spans="1:1" x14ac:dyDescent="0.3">
      <c r="A5897" s="6"/>
    </row>
    <row r="5898" spans="1:1" x14ac:dyDescent="0.3">
      <c r="A5898" s="6"/>
    </row>
    <row r="5899" spans="1:1" x14ac:dyDescent="0.3">
      <c r="A5899" s="6"/>
    </row>
    <row r="5900" spans="1:1" x14ac:dyDescent="0.3">
      <c r="A5900" s="6"/>
    </row>
    <row r="5901" spans="1:1" x14ac:dyDescent="0.3">
      <c r="A5901" s="6"/>
    </row>
    <row r="5902" spans="1:1" x14ac:dyDescent="0.3">
      <c r="A5902" s="6"/>
    </row>
    <row r="5903" spans="1:1" x14ac:dyDescent="0.3">
      <c r="A5903" s="6"/>
    </row>
    <row r="5904" spans="1:1" x14ac:dyDescent="0.3">
      <c r="A5904" s="6"/>
    </row>
    <row r="5905" spans="1:1" x14ac:dyDescent="0.3">
      <c r="A5905" s="6"/>
    </row>
    <row r="5906" spans="1:1" x14ac:dyDescent="0.3">
      <c r="A5906" s="6"/>
    </row>
    <row r="5907" spans="1:1" x14ac:dyDescent="0.3">
      <c r="A5907" s="6"/>
    </row>
    <row r="5908" spans="1:1" x14ac:dyDescent="0.3">
      <c r="A5908" s="6"/>
    </row>
    <row r="5909" spans="1:1" x14ac:dyDescent="0.3">
      <c r="A5909" s="6"/>
    </row>
    <row r="5910" spans="1:1" x14ac:dyDescent="0.3">
      <c r="A5910" s="6"/>
    </row>
    <row r="5911" spans="1:1" x14ac:dyDescent="0.3">
      <c r="A5911" s="6"/>
    </row>
    <row r="5912" spans="1:1" x14ac:dyDescent="0.3">
      <c r="A5912" s="6"/>
    </row>
    <row r="5913" spans="1:1" x14ac:dyDescent="0.3">
      <c r="A5913" s="6"/>
    </row>
    <row r="5914" spans="1:1" x14ac:dyDescent="0.3">
      <c r="A5914" s="6"/>
    </row>
    <row r="5915" spans="1:1" x14ac:dyDescent="0.3">
      <c r="A5915" s="6"/>
    </row>
    <row r="5916" spans="1:1" x14ac:dyDescent="0.3">
      <c r="A5916" s="6"/>
    </row>
    <row r="5917" spans="1:1" x14ac:dyDescent="0.3">
      <c r="A5917" s="6"/>
    </row>
    <row r="5918" spans="1:1" x14ac:dyDescent="0.3">
      <c r="A5918" s="6"/>
    </row>
    <row r="5919" spans="1:1" x14ac:dyDescent="0.3">
      <c r="A5919" s="6"/>
    </row>
    <row r="5920" spans="1:1" x14ac:dyDescent="0.3">
      <c r="A5920" s="6"/>
    </row>
    <row r="5921" spans="1:1" x14ac:dyDescent="0.3">
      <c r="A5921" s="6"/>
    </row>
    <row r="5922" spans="1:1" x14ac:dyDescent="0.3">
      <c r="A5922" s="6"/>
    </row>
    <row r="5923" spans="1:1" x14ac:dyDescent="0.3">
      <c r="A5923" s="6"/>
    </row>
    <row r="5924" spans="1:1" x14ac:dyDescent="0.3">
      <c r="A5924" s="6"/>
    </row>
    <row r="5925" spans="1:1" x14ac:dyDescent="0.3">
      <c r="A5925" s="6"/>
    </row>
    <row r="5926" spans="1:1" x14ac:dyDescent="0.3">
      <c r="A5926" s="6"/>
    </row>
    <row r="5927" spans="1:1" x14ac:dyDescent="0.3">
      <c r="A5927" s="6"/>
    </row>
    <row r="5928" spans="1:1" x14ac:dyDescent="0.3">
      <c r="A5928" s="6"/>
    </row>
    <row r="5929" spans="1:1" x14ac:dyDescent="0.3">
      <c r="A5929" s="6"/>
    </row>
    <row r="5930" spans="1:1" x14ac:dyDescent="0.3">
      <c r="A5930" s="6"/>
    </row>
    <row r="5931" spans="1:1" x14ac:dyDescent="0.3">
      <c r="A5931" s="6"/>
    </row>
    <row r="5932" spans="1:1" x14ac:dyDescent="0.3">
      <c r="A5932" s="6"/>
    </row>
    <row r="5933" spans="1:1" x14ac:dyDescent="0.3">
      <c r="A5933" s="6"/>
    </row>
    <row r="5934" spans="1:1" x14ac:dyDescent="0.3">
      <c r="A5934" s="6"/>
    </row>
    <row r="5935" spans="1:1" x14ac:dyDescent="0.3">
      <c r="A5935" s="6"/>
    </row>
    <row r="5936" spans="1:1" x14ac:dyDescent="0.3">
      <c r="A5936" s="6"/>
    </row>
    <row r="5937" spans="1:1" x14ac:dyDescent="0.3">
      <c r="A5937" s="6"/>
    </row>
    <row r="5938" spans="1:1" x14ac:dyDescent="0.3">
      <c r="A5938" s="6"/>
    </row>
    <row r="5939" spans="1:1" x14ac:dyDescent="0.3">
      <c r="A5939" s="6"/>
    </row>
    <row r="5940" spans="1:1" x14ac:dyDescent="0.3">
      <c r="A5940" s="6"/>
    </row>
    <row r="5941" spans="1:1" x14ac:dyDescent="0.3">
      <c r="A5941" s="6"/>
    </row>
    <row r="5942" spans="1:1" x14ac:dyDescent="0.3">
      <c r="A5942" s="6"/>
    </row>
    <row r="5943" spans="1:1" x14ac:dyDescent="0.3">
      <c r="A5943" s="6"/>
    </row>
    <row r="5944" spans="1:1" x14ac:dyDescent="0.3">
      <c r="A5944" s="6"/>
    </row>
    <row r="5945" spans="1:1" x14ac:dyDescent="0.3">
      <c r="A5945" s="6"/>
    </row>
    <row r="5946" spans="1:1" x14ac:dyDescent="0.3">
      <c r="A5946" s="6"/>
    </row>
    <row r="5947" spans="1:1" x14ac:dyDescent="0.3">
      <c r="A5947" s="6"/>
    </row>
    <row r="5948" spans="1:1" x14ac:dyDescent="0.3">
      <c r="A5948" s="6"/>
    </row>
    <row r="5949" spans="1:1" x14ac:dyDescent="0.3">
      <c r="A5949" s="6"/>
    </row>
    <row r="5950" spans="1:1" x14ac:dyDescent="0.3">
      <c r="A5950" s="6"/>
    </row>
    <row r="5951" spans="1:1" x14ac:dyDescent="0.3">
      <c r="A5951" s="6"/>
    </row>
    <row r="5952" spans="1:1" x14ac:dyDescent="0.3">
      <c r="A5952" s="6"/>
    </row>
    <row r="5953" spans="1:1" x14ac:dyDescent="0.3">
      <c r="A5953" s="6"/>
    </row>
    <row r="5954" spans="1:1" x14ac:dyDescent="0.3">
      <c r="A5954" s="6"/>
    </row>
    <row r="5955" spans="1:1" x14ac:dyDescent="0.3">
      <c r="A5955" s="6"/>
    </row>
    <row r="5956" spans="1:1" x14ac:dyDescent="0.3">
      <c r="A5956" s="6"/>
    </row>
    <row r="5957" spans="1:1" x14ac:dyDescent="0.3">
      <c r="A5957" s="6"/>
    </row>
    <row r="5958" spans="1:1" x14ac:dyDescent="0.3">
      <c r="A5958" s="6"/>
    </row>
    <row r="5959" spans="1:1" x14ac:dyDescent="0.3">
      <c r="A5959" s="6"/>
    </row>
    <row r="5960" spans="1:1" x14ac:dyDescent="0.3">
      <c r="A5960" s="6"/>
    </row>
    <row r="5961" spans="1:1" x14ac:dyDescent="0.3">
      <c r="A5961" s="6"/>
    </row>
    <row r="5962" spans="1:1" x14ac:dyDescent="0.3">
      <c r="A5962" s="6"/>
    </row>
    <row r="5963" spans="1:1" x14ac:dyDescent="0.3">
      <c r="A5963" s="6"/>
    </row>
    <row r="5964" spans="1:1" x14ac:dyDescent="0.3">
      <c r="A5964" s="6"/>
    </row>
    <row r="5965" spans="1:1" x14ac:dyDescent="0.3">
      <c r="A5965" s="6"/>
    </row>
    <row r="5966" spans="1:1" x14ac:dyDescent="0.3">
      <c r="A5966" s="6"/>
    </row>
    <row r="5967" spans="1:1" x14ac:dyDescent="0.3">
      <c r="A5967" s="6"/>
    </row>
    <row r="5968" spans="1:1" x14ac:dyDescent="0.3">
      <c r="A5968" s="6"/>
    </row>
    <row r="5969" spans="1:1" x14ac:dyDescent="0.3">
      <c r="A5969" s="6"/>
    </row>
    <row r="5970" spans="1:1" x14ac:dyDescent="0.3">
      <c r="A5970" s="6"/>
    </row>
    <row r="5971" spans="1:1" x14ac:dyDescent="0.3">
      <c r="A5971" s="6"/>
    </row>
    <row r="5972" spans="1:1" x14ac:dyDescent="0.3">
      <c r="A5972" s="6"/>
    </row>
    <row r="5973" spans="1:1" x14ac:dyDescent="0.3">
      <c r="A5973" s="6"/>
    </row>
    <row r="5974" spans="1:1" x14ac:dyDescent="0.3">
      <c r="A5974" s="6"/>
    </row>
    <row r="5975" spans="1:1" x14ac:dyDescent="0.3">
      <c r="A5975" s="6"/>
    </row>
    <row r="5976" spans="1:1" x14ac:dyDescent="0.3">
      <c r="A5976" s="6"/>
    </row>
    <row r="5977" spans="1:1" x14ac:dyDescent="0.3">
      <c r="A5977" s="6"/>
    </row>
    <row r="5978" spans="1:1" x14ac:dyDescent="0.3">
      <c r="A5978" s="6"/>
    </row>
    <row r="5979" spans="1:1" x14ac:dyDescent="0.3">
      <c r="A5979" s="6"/>
    </row>
    <row r="5980" spans="1:1" x14ac:dyDescent="0.3">
      <c r="A5980" s="6"/>
    </row>
    <row r="5981" spans="1:1" x14ac:dyDescent="0.3">
      <c r="A5981" s="6"/>
    </row>
    <row r="5982" spans="1:1" x14ac:dyDescent="0.3">
      <c r="A5982" s="6"/>
    </row>
    <row r="5983" spans="1:1" x14ac:dyDescent="0.3">
      <c r="A5983" s="6"/>
    </row>
    <row r="5984" spans="1:1" x14ac:dyDescent="0.3">
      <c r="A5984" s="6"/>
    </row>
    <row r="5985" spans="1:1" x14ac:dyDescent="0.3">
      <c r="A5985" s="6"/>
    </row>
    <row r="5986" spans="1:1" x14ac:dyDescent="0.3">
      <c r="A5986" s="6"/>
    </row>
    <row r="5987" spans="1:1" x14ac:dyDescent="0.3">
      <c r="A5987" s="6"/>
    </row>
    <row r="5988" spans="1:1" x14ac:dyDescent="0.3">
      <c r="A5988" s="6"/>
    </row>
    <row r="5989" spans="1:1" x14ac:dyDescent="0.3">
      <c r="A5989" s="6"/>
    </row>
    <row r="5990" spans="1:1" x14ac:dyDescent="0.3">
      <c r="A5990" s="6"/>
    </row>
    <row r="5991" spans="1:1" x14ac:dyDescent="0.3">
      <c r="A5991" s="6"/>
    </row>
    <row r="5992" spans="1:1" x14ac:dyDescent="0.3">
      <c r="A5992" s="6"/>
    </row>
    <row r="5993" spans="1:1" x14ac:dyDescent="0.3">
      <c r="A5993" s="6"/>
    </row>
    <row r="5994" spans="1:1" x14ac:dyDescent="0.3">
      <c r="A5994" s="6"/>
    </row>
    <row r="5995" spans="1:1" x14ac:dyDescent="0.3">
      <c r="A5995" s="6"/>
    </row>
    <row r="5996" spans="1:1" x14ac:dyDescent="0.3">
      <c r="A5996" s="6"/>
    </row>
    <row r="5997" spans="1:1" x14ac:dyDescent="0.3">
      <c r="A5997" s="6"/>
    </row>
    <row r="5998" spans="1:1" x14ac:dyDescent="0.3">
      <c r="A5998" s="6"/>
    </row>
    <row r="5999" spans="1:1" x14ac:dyDescent="0.3">
      <c r="A5999" s="6"/>
    </row>
    <row r="6000" spans="1:1" x14ac:dyDescent="0.3">
      <c r="A6000" s="6"/>
    </row>
    <row r="6001" spans="1:1" x14ac:dyDescent="0.3">
      <c r="A6001" s="6"/>
    </row>
    <row r="6002" spans="1:1" x14ac:dyDescent="0.3">
      <c r="A6002" s="6"/>
    </row>
    <row r="6003" spans="1:1" x14ac:dyDescent="0.3">
      <c r="A6003" s="6"/>
    </row>
    <row r="6004" spans="1:1" x14ac:dyDescent="0.3">
      <c r="A6004" s="6"/>
    </row>
    <row r="6005" spans="1:1" x14ac:dyDescent="0.3">
      <c r="A6005" s="6"/>
    </row>
    <row r="6006" spans="1:1" x14ac:dyDescent="0.3">
      <c r="A6006" s="6"/>
    </row>
    <row r="6007" spans="1:1" x14ac:dyDescent="0.3">
      <c r="A6007" s="6"/>
    </row>
    <row r="6008" spans="1:1" x14ac:dyDescent="0.3">
      <c r="A6008" s="6"/>
    </row>
    <row r="6009" spans="1:1" x14ac:dyDescent="0.3">
      <c r="A6009" s="6"/>
    </row>
    <row r="6010" spans="1:1" x14ac:dyDescent="0.3">
      <c r="A6010" s="6"/>
    </row>
    <row r="6011" spans="1:1" x14ac:dyDescent="0.3">
      <c r="A6011" s="6"/>
    </row>
    <row r="6012" spans="1:1" x14ac:dyDescent="0.3">
      <c r="A6012" s="6"/>
    </row>
    <row r="6013" spans="1:1" x14ac:dyDescent="0.3">
      <c r="A6013" s="6"/>
    </row>
    <row r="6014" spans="1:1" x14ac:dyDescent="0.3">
      <c r="A6014" s="6"/>
    </row>
    <row r="6015" spans="1:1" x14ac:dyDescent="0.3">
      <c r="A6015" s="6"/>
    </row>
    <row r="6016" spans="1:1" x14ac:dyDescent="0.3">
      <c r="A6016" s="6"/>
    </row>
    <row r="6017" spans="1:1" x14ac:dyDescent="0.3">
      <c r="A6017" s="6"/>
    </row>
    <row r="6018" spans="1:1" x14ac:dyDescent="0.3">
      <c r="A6018" s="6"/>
    </row>
    <row r="6019" spans="1:1" x14ac:dyDescent="0.3">
      <c r="A6019" s="6"/>
    </row>
    <row r="6020" spans="1:1" x14ac:dyDescent="0.3">
      <c r="A6020" s="6"/>
    </row>
    <row r="6021" spans="1:1" x14ac:dyDescent="0.3">
      <c r="A6021" s="6"/>
    </row>
    <row r="6022" spans="1:1" x14ac:dyDescent="0.3">
      <c r="A6022" s="6"/>
    </row>
    <row r="6023" spans="1:1" x14ac:dyDescent="0.3">
      <c r="A6023" s="6"/>
    </row>
    <row r="6024" spans="1:1" x14ac:dyDescent="0.3">
      <c r="A6024" s="6"/>
    </row>
    <row r="6025" spans="1:1" x14ac:dyDescent="0.3">
      <c r="A6025" s="6"/>
    </row>
    <row r="6026" spans="1:1" x14ac:dyDescent="0.3">
      <c r="A6026" s="6"/>
    </row>
    <row r="6027" spans="1:1" x14ac:dyDescent="0.3">
      <c r="A6027" s="6"/>
    </row>
    <row r="6028" spans="1:1" x14ac:dyDescent="0.3">
      <c r="A6028" s="6"/>
    </row>
    <row r="6029" spans="1:1" x14ac:dyDescent="0.3">
      <c r="A6029" s="6"/>
    </row>
    <row r="6030" spans="1:1" x14ac:dyDescent="0.3">
      <c r="A6030" s="6"/>
    </row>
    <row r="6031" spans="1:1" x14ac:dyDescent="0.3">
      <c r="A6031" s="6"/>
    </row>
    <row r="6032" spans="1:1" x14ac:dyDescent="0.3">
      <c r="A6032" s="6"/>
    </row>
    <row r="6033" spans="1:1" x14ac:dyDescent="0.3">
      <c r="A6033" s="6"/>
    </row>
    <row r="6034" spans="1:1" x14ac:dyDescent="0.3">
      <c r="A6034" s="6"/>
    </row>
    <row r="6035" spans="1:1" x14ac:dyDescent="0.3">
      <c r="A6035" s="6"/>
    </row>
    <row r="6036" spans="1:1" x14ac:dyDescent="0.3">
      <c r="A6036" s="6"/>
    </row>
    <row r="6037" spans="1:1" x14ac:dyDescent="0.3">
      <c r="A6037" s="6"/>
    </row>
    <row r="6038" spans="1:1" x14ac:dyDescent="0.3">
      <c r="A6038" s="6"/>
    </row>
    <row r="6039" spans="1:1" x14ac:dyDescent="0.3">
      <c r="A6039" s="6"/>
    </row>
    <row r="6040" spans="1:1" x14ac:dyDescent="0.3">
      <c r="A6040" s="6"/>
    </row>
    <row r="6041" spans="1:1" x14ac:dyDescent="0.3">
      <c r="A6041" s="6"/>
    </row>
    <row r="6042" spans="1:1" x14ac:dyDescent="0.3">
      <c r="A6042" s="6"/>
    </row>
    <row r="6043" spans="1:1" x14ac:dyDescent="0.3">
      <c r="A6043" s="6"/>
    </row>
    <row r="6044" spans="1:1" x14ac:dyDescent="0.3">
      <c r="A6044" s="6"/>
    </row>
    <row r="6045" spans="1:1" x14ac:dyDescent="0.3">
      <c r="A6045" s="6"/>
    </row>
    <row r="6046" spans="1:1" x14ac:dyDescent="0.3">
      <c r="A6046" s="6"/>
    </row>
    <row r="6047" spans="1:1" x14ac:dyDescent="0.3">
      <c r="A6047" s="6"/>
    </row>
    <row r="6048" spans="1:1" x14ac:dyDescent="0.3">
      <c r="A6048" s="6"/>
    </row>
    <row r="6049" spans="1:1" x14ac:dyDescent="0.3">
      <c r="A6049" s="6"/>
    </row>
    <row r="6050" spans="1:1" x14ac:dyDescent="0.3">
      <c r="A6050" s="6"/>
    </row>
    <row r="6051" spans="1:1" x14ac:dyDescent="0.3">
      <c r="A6051" s="6"/>
    </row>
    <row r="6052" spans="1:1" x14ac:dyDescent="0.3">
      <c r="A6052" s="6"/>
    </row>
    <row r="6053" spans="1:1" x14ac:dyDescent="0.3">
      <c r="A6053" s="6"/>
    </row>
    <row r="6054" spans="1:1" x14ac:dyDescent="0.3">
      <c r="A6054" s="6"/>
    </row>
    <row r="6055" spans="1:1" x14ac:dyDescent="0.3">
      <c r="A6055" s="6"/>
    </row>
    <row r="6056" spans="1:1" x14ac:dyDescent="0.3">
      <c r="A6056" s="6"/>
    </row>
    <row r="6057" spans="1:1" x14ac:dyDescent="0.3">
      <c r="A6057" s="6"/>
    </row>
    <row r="6058" spans="1:1" x14ac:dyDescent="0.3">
      <c r="A6058" s="6"/>
    </row>
    <row r="6059" spans="1:1" x14ac:dyDescent="0.3">
      <c r="A6059" s="6"/>
    </row>
    <row r="6060" spans="1:1" x14ac:dyDescent="0.3">
      <c r="A6060" s="6"/>
    </row>
    <row r="6061" spans="1:1" x14ac:dyDescent="0.3">
      <c r="A6061" s="6"/>
    </row>
    <row r="6062" spans="1:1" x14ac:dyDescent="0.3">
      <c r="A6062" s="6"/>
    </row>
    <row r="6063" spans="1:1" x14ac:dyDescent="0.3">
      <c r="A6063" s="6"/>
    </row>
    <row r="6064" spans="1:1" x14ac:dyDescent="0.3">
      <c r="A6064" s="6"/>
    </row>
    <row r="6065" spans="1:1" x14ac:dyDescent="0.3">
      <c r="A6065" s="6"/>
    </row>
    <row r="6066" spans="1:1" x14ac:dyDescent="0.3">
      <c r="A6066" s="6"/>
    </row>
    <row r="6067" spans="1:1" x14ac:dyDescent="0.3">
      <c r="A6067" s="6"/>
    </row>
    <row r="6068" spans="1:1" x14ac:dyDescent="0.3">
      <c r="A6068" s="6"/>
    </row>
    <row r="6069" spans="1:1" x14ac:dyDescent="0.3">
      <c r="A6069" s="6"/>
    </row>
    <row r="6070" spans="1:1" x14ac:dyDescent="0.3">
      <c r="A6070" s="6"/>
    </row>
    <row r="6071" spans="1:1" x14ac:dyDescent="0.3">
      <c r="A6071" s="6"/>
    </row>
    <row r="6072" spans="1:1" x14ac:dyDescent="0.3">
      <c r="A6072" s="6"/>
    </row>
    <row r="6073" spans="1:1" x14ac:dyDescent="0.3">
      <c r="A6073" s="6"/>
    </row>
    <row r="6074" spans="1:1" x14ac:dyDescent="0.3">
      <c r="A6074" s="6"/>
    </row>
    <row r="6075" spans="1:1" x14ac:dyDescent="0.3">
      <c r="A6075" s="6"/>
    </row>
    <row r="6076" spans="1:1" x14ac:dyDescent="0.3">
      <c r="A6076" s="6"/>
    </row>
    <row r="6077" spans="1:1" x14ac:dyDescent="0.3">
      <c r="A6077" s="6"/>
    </row>
    <row r="6078" spans="1:1" x14ac:dyDescent="0.3">
      <c r="A6078" s="6"/>
    </row>
    <row r="6079" spans="1:1" x14ac:dyDescent="0.3">
      <c r="A6079" s="6"/>
    </row>
    <row r="6080" spans="1:1" x14ac:dyDescent="0.3">
      <c r="A6080" s="6"/>
    </row>
    <row r="6081" spans="1:1" x14ac:dyDescent="0.3">
      <c r="A6081" s="6"/>
    </row>
    <row r="6082" spans="1:1" x14ac:dyDescent="0.3">
      <c r="A6082" s="6"/>
    </row>
    <row r="6083" spans="1:1" x14ac:dyDescent="0.3">
      <c r="A6083" s="6"/>
    </row>
    <row r="6084" spans="1:1" x14ac:dyDescent="0.3">
      <c r="A6084" s="6"/>
    </row>
    <row r="6085" spans="1:1" x14ac:dyDescent="0.3">
      <c r="A6085" s="6"/>
    </row>
    <row r="6086" spans="1:1" x14ac:dyDescent="0.3">
      <c r="A6086" s="6"/>
    </row>
    <row r="6087" spans="1:1" x14ac:dyDescent="0.3">
      <c r="A6087" s="6"/>
    </row>
    <row r="6088" spans="1:1" x14ac:dyDescent="0.3">
      <c r="A6088" s="6"/>
    </row>
    <row r="6089" spans="1:1" x14ac:dyDescent="0.3">
      <c r="A6089" s="6"/>
    </row>
    <row r="6090" spans="1:1" x14ac:dyDescent="0.3">
      <c r="A6090" s="6"/>
    </row>
    <row r="6091" spans="1:1" x14ac:dyDescent="0.3">
      <c r="A6091" s="6"/>
    </row>
    <row r="6092" spans="1:1" x14ac:dyDescent="0.3">
      <c r="A6092" s="6"/>
    </row>
    <row r="6093" spans="1:1" x14ac:dyDescent="0.3">
      <c r="A6093" s="6"/>
    </row>
    <row r="6094" spans="1:1" x14ac:dyDescent="0.3">
      <c r="A6094" s="6"/>
    </row>
    <row r="6095" spans="1:1" x14ac:dyDescent="0.3">
      <c r="A6095" s="6"/>
    </row>
    <row r="6096" spans="1:1" x14ac:dyDescent="0.3">
      <c r="A6096" s="6"/>
    </row>
    <row r="6097" spans="1:1" x14ac:dyDescent="0.3">
      <c r="A6097" s="6"/>
    </row>
    <row r="6098" spans="1:1" x14ac:dyDescent="0.3">
      <c r="A6098" s="6"/>
    </row>
    <row r="6099" spans="1:1" x14ac:dyDescent="0.3">
      <c r="A6099" s="6"/>
    </row>
    <row r="6100" spans="1:1" x14ac:dyDescent="0.3">
      <c r="A6100" s="6"/>
    </row>
    <row r="6101" spans="1:1" x14ac:dyDescent="0.3">
      <c r="A6101" s="6"/>
    </row>
    <row r="6102" spans="1:1" x14ac:dyDescent="0.3">
      <c r="A6102" s="6"/>
    </row>
    <row r="6103" spans="1:1" x14ac:dyDescent="0.3">
      <c r="A6103" s="6"/>
    </row>
    <row r="6104" spans="1:1" x14ac:dyDescent="0.3">
      <c r="A6104" s="6"/>
    </row>
    <row r="6105" spans="1:1" x14ac:dyDescent="0.3">
      <c r="A6105" s="6"/>
    </row>
    <row r="6106" spans="1:1" x14ac:dyDescent="0.3">
      <c r="A6106" s="6"/>
    </row>
    <row r="6107" spans="1:1" x14ac:dyDescent="0.3">
      <c r="A6107" s="6"/>
    </row>
    <row r="6108" spans="1:1" x14ac:dyDescent="0.3">
      <c r="A6108" s="6"/>
    </row>
    <row r="6109" spans="1:1" x14ac:dyDescent="0.3">
      <c r="A6109" s="6"/>
    </row>
    <row r="6110" spans="1:1" x14ac:dyDescent="0.3">
      <c r="A6110" s="6"/>
    </row>
    <row r="6111" spans="1:1" x14ac:dyDescent="0.3">
      <c r="A6111" s="6"/>
    </row>
    <row r="6112" spans="1:1" x14ac:dyDescent="0.3">
      <c r="A6112" s="6"/>
    </row>
    <row r="6113" spans="1:1" x14ac:dyDescent="0.3">
      <c r="A6113" s="6"/>
    </row>
    <row r="6114" spans="1:1" x14ac:dyDescent="0.3">
      <c r="A6114" s="6"/>
    </row>
    <row r="6115" spans="1:1" x14ac:dyDescent="0.3">
      <c r="A6115" s="6"/>
    </row>
    <row r="6116" spans="1:1" x14ac:dyDescent="0.3">
      <c r="A6116" s="6"/>
    </row>
    <row r="6117" spans="1:1" x14ac:dyDescent="0.3">
      <c r="A6117" s="6"/>
    </row>
    <row r="6118" spans="1:1" x14ac:dyDescent="0.3">
      <c r="A6118" s="6"/>
    </row>
    <row r="6119" spans="1:1" x14ac:dyDescent="0.3">
      <c r="A6119" s="6"/>
    </row>
    <row r="6120" spans="1:1" x14ac:dyDescent="0.3">
      <c r="A6120" s="6"/>
    </row>
    <row r="6121" spans="1:1" x14ac:dyDescent="0.3">
      <c r="A6121" s="6"/>
    </row>
    <row r="6122" spans="1:1" x14ac:dyDescent="0.3">
      <c r="A6122" s="6"/>
    </row>
    <row r="6123" spans="1:1" x14ac:dyDescent="0.3">
      <c r="A6123" s="6"/>
    </row>
    <row r="6124" spans="1:1" x14ac:dyDescent="0.3">
      <c r="A6124" s="6"/>
    </row>
    <row r="6125" spans="1:1" x14ac:dyDescent="0.3">
      <c r="A6125" s="6"/>
    </row>
    <row r="6126" spans="1:1" x14ac:dyDescent="0.3">
      <c r="A6126" s="6"/>
    </row>
    <row r="6127" spans="1:1" x14ac:dyDescent="0.3">
      <c r="A6127" s="6"/>
    </row>
    <row r="6128" spans="1:1" x14ac:dyDescent="0.3">
      <c r="A6128" s="6"/>
    </row>
    <row r="6129" spans="1:1" x14ac:dyDescent="0.3">
      <c r="A6129" s="6"/>
    </row>
    <row r="6130" spans="1:1" x14ac:dyDescent="0.3">
      <c r="A6130" s="6"/>
    </row>
    <row r="6131" spans="1:1" x14ac:dyDescent="0.3">
      <c r="A6131" s="6"/>
    </row>
    <row r="6132" spans="1:1" x14ac:dyDescent="0.3">
      <c r="A6132" s="6"/>
    </row>
    <row r="6133" spans="1:1" x14ac:dyDescent="0.3">
      <c r="A6133" s="6"/>
    </row>
    <row r="6134" spans="1:1" x14ac:dyDescent="0.3">
      <c r="A6134" s="6"/>
    </row>
    <row r="6135" spans="1:1" x14ac:dyDescent="0.3">
      <c r="A6135" s="6"/>
    </row>
    <row r="6136" spans="1:1" x14ac:dyDescent="0.3">
      <c r="A6136" s="6"/>
    </row>
    <row r="6137" spans="1:1" x14ac:dyDescent="0.3">
      <c r="A6137" s="6"/>
    </row>
    <row r="6138" spans="1:1" x14ac:dyDescent="0.3">
      <c r="A6138" s="6"/>
    </row>
    <row r="6139" spans="1:1" x14ac:dyDescent="0.3">
      <c r="A6139" s="6"/>
    </row>
    <row r="6140" spans="1:1" x14ac:dyDescent="0.3">
      <c r="A6140" s="6"/>
    </row>
    <row r="6141" spans="1:1" x14ac:dyDescent="0.3">
      <c r="A6141" s="6"/>
    </row>
    <row r="6142" spans="1:1" x14ac:dyDescent="0.3">
      <c r="A6142" s="6"/>
    </row>
    <row r="6143" spans="1:1" x14ac:dyDescent="0.3">
      <c r="A6143" s="6"/>
    </row>
    <row r="6144" spans="1:1" x14ac:dyDescent="0.3">
      <c r="A6144" s="6"/>
    </row>
    <row r="6145" spans="1:1" x14ac:dyDescent="0.3">
      <c r="A6145" s="6"/>
    </row>
    <row r="6146" spans="1:1" x14ac:dyDescent="0.3">
      <c r="A6146" s="6"/>
    </row>
    <row r="6147" spans="1:1" x14ac:dyDescent="0.3">
      <c r="A6147" s="6"/>
    </row>
    <row r="6148" spans="1:1" x14ac:dyDescent="0.3">
      <c r="A6148" s="6"/>
    </row>
    <row r="6149" spans="1:1" x14ac:dyDescent="0.3">
      <c r="A6149" s="6"/>
    </row>
    <row r="6150" spans="1:1" x14ac:dyDescent="0.3">
      <c r="A6150" s="6"/>
    </row>
    <row r="6151" spans="1:1" x14ac:dyDescent="0.3">
      <c r="A6151" s="6"/>
    </row>
    <row r="6152" spans="1:1" x14ac:dyDescent="0.3">
      <c r="A6152" s="6"/>
    </row>
    <row r="6153" spans="1:1" x14ac:dyDescent="0.3">
      <c r="A6153" s="6"/>
    </row>
    <row r="6154" spans="1:1" x14ac:dyDescent="0.3">
      <c r="A6154" s="6"/>
    </row>
    <row r="6155" spans="1:1" x14ac:dyDescent="0.3">
      <c r="A6155" s="6"/>
    </row>
    <row r="6156" spans="1:1" x14ac:dyDescent="0.3">
      <c r="A6156" s="6"/>
    </row>
    <row r="6157" spans="1:1" x14ac:dyDescent="0.3">
      <c r="A6157" s="6"/>
    </row>
    <row r="6158" spans="1:1" x14ac:dyDescent="0.3">
      <c r="A6158" s="6"/>
    </row>
    <row r="6159" spans="1:1" x14ac:dyDescent="0.3">
      <c r="A6159" s="6"/>
    </row>
    <row r="6160" spans="1:1" x14ac:dyDescent="0.3">
      <c r="A6160" s="6"/>
    </row>
    <row r="6161" spans="1:1" x14ac:dyDescent="0.3">
      <c r="A6161" s="6"/>
    </row>
    <row r="6162" spans="1:1" x14ac:dyDescent="0.3">
      <c r="A6162" s="6"/>
    </row>
    <row r="6163" spans="1:1" x14ac:dyDescent="0.3">
      <c r="A6163" s="6"/>
    </row>
    <row r="6164" spans="1:1" x14ac:dyDescent="0.3">
      <c r="A6164" s="6"/>
    </row>
    <row r="6165" spans="1:1" x14ac:dyDescent="0.3">
      <c r="A6165" s="6"/>
    </row>
    <row r="6166" spans="1:1" x14ac:dyDescent="0.3">
      <c r="A6166" s="6"/>
    </row>
    <row r="6167" spans="1:1" x14ac:dyDescent="0.3">
      <c r="A6167" s="6"/>
    </row>
    <row r="6168" spans="1:1" x14ac:dyDescent="0.3">
      <c r="A6168" s="6"/>
    </row>
    <row r="6169" spans="1:1" x14ac:dyDescent="0.3">
      <c r="A6169" s="6"/>
    </row>
    <row r="6170" spans="1:1" x14ac:dyDescent="0.3">
      <c r="A6170" s="6"/>
    </row>
    <row r="6171" spans="1:1" x14ac:dyDescent="0.3">
      <c r="A6171" s="6"/>
    </row>
    <row r="6172" spans="1:1" x14ac:dyDescent="0.3">
      <c r="A6172" s="6"/>
    </row>
    <row r="6173" spans="1:1" x14ac:dyDescent="0.3">
      <c r="A6173" s="6"/>
    </row>
    <row r="6174" spans="1:1" x14ac:dyDescent="0.3">
      <c r="A6174" s="6"/>
    </row>
    <row r="6175" spans="1:1" x14ac:dyDescent="0.3">
      <c r="A6175" s="6"/>
    </row>
    <row r="6176" spans="1:1" x14ac:dyDescent="0.3">
      <c r="A6176" s="6"/>
    </row>
    <row r="6177" spans="1:1" x14ac:dyDescent="0.3">
      <c r="A6177" s="6"/>
    </row>
    <row r="6178" spans="1:1" x14ac:dyDescent="0.3">
      <c r="A6178" s="6"/>
    </row>
    <row r="6179" spans="1:1" x14ac:dyDescent="0.3">
      <c r="A6179" s="6"/>
    </row>
    <row r="6180" spans="1:1" x14ac:dyDescent="0.3">
      <c r="A6180" s="6"/>
    </row>
    <row r="6181" spans="1:1" x14ac:dyDescent="0.3">
      <c r="A6181" s="6"/>
    </row>
    <row r="6182" spans="1:1" x14ac:dyDescent="0.3">
      <c r="A6182" s="6"/>
    </row>
    <row r="6183" spans="1:1" x14ac:dyDescent="0.3">
      <c r="A6183" s="6"/>
    </row>
    <row r="6184" spans="1:1" x14ac:dyDescent="0.3">
      <c r="A6184" s="6"/>
    </row>
    <row r="6185" spans="1:1" x14ac:dyDescent="0.3">
      <c r="A6185" s="6"/>
    </row>
    <row r="6186" spans="1:1" x14ac:dyDescent="0.3">
      <c r="A6186" s="6"/>
    </row>
    <row r="6187" spans="1:1" x14ac:dyDescent="0.3">
      <c r="A6187" s="6"/>
    </row>
    <row r="6188" spans="1:1" x14ac:dyDescent="0.3">
      <c r="A6188" s="6"/>
    </row>
    <row r="6189" spans="1:1" x14ac:dyDescent="0.3">
      <c r="A6189" s="6"/>
    </row>
    <row r="6190" spans="1:1" x14ac:dyDescent="0.3">
      <c r="A6190" s="6"/>
    </row>
    <row r="6191" spans="1:1" x14ac:dyDescent="0.3">
      <c r="A6191" s="6"/>
    </row>
    <row r="6192" spans="1:1" x14ac:dyDescent="0.3">
      <c r="A6192" s="6"/>
    </row>
    <row r="6193" spans="1:1" x14ac:dyDescent="0.3">
      <c r="A6193" s="6"/>
    </row>
    <row r="6194" spans="1:1" x14ac:dyDescent="0.3">
      <c r="A6194" s="6"/>
    </row>
    <row r="6195" spans="1:1" x14ac:dyDescent="0.3">
      <c r="A6195" s="6"/>
    </row>
    <row r="6196" spans="1:1" x14ac:dyDescent="0.3">
      <c r="A6196" s="6"/>
    </row>
    <row r="6197" spans="1:1" x14ac:dyDescent="0.3">
      <c r="A6197" s="6"/>
    </row>
    <row r="6198" spans="1:1" x14ac:dyDescent="0.3">
      <c r="A6198" s="6"/>
    </row>
    <row r="6199" spans="1:1" x14ac:dyDescent="0.3">
      <c r="A6199" s="6"/>
    </row>
    <row r="6200" spans="1:1" x14ac:dyDescent="0.3">
      <c r="A6200" s="6"/>
    </row>
    <row r="6201" spans="1:1" x14ac:dyDescent="0.3">
      <c r="A6201" s="6"/>
    </row>
    <row r="6202" spans="1:1" x14ac:dyDescent="0.3">
      <c r="A6202" s="6"/>
    </row>
    <row r="6203" spans="1:1" x14ac:dyDescent="0.3">
      <c r="A6203" s="6"/>
    </row>
    <row r="6204" spans="1:1" x14ac:dyDescent="0.3">
      <c r="A6204" s="6"/>
    </row>
    <row r="6205" spans="1:1" x14ac:dyDescent="0.3">
      <c r="A6205" s="6"/>
    </row>
    <row r="6206" spans="1:1" x14ac:dyDescent="0.3">
      <c r="A6206" s="6"/>
    </row>
    <row r="6207" spans="1:1" x14ac:dyDescent="0.3">
      <c r="A6207" s="6"/>
    </row>
    <row r="6208" spans="1:1" x14ac:dyDescent="0.3">
      <c r="A6208" s="6"/>
    </row>
    <row r="6209" spans="1:1" x14ac:dyDescent="0.3">
      <c r="A6209" s="6"/>
    </row>
    <row r="6210" spans="1:1" x14ac:dyDescent="0.3">
      <c r="A6210" s="6"/>
    </row>
    <row r="6211" spans="1:1" x14ac:dyDescent="0.3">
      <c r="A6211" s="6"/>
    </row>
    <row r="6212" spans="1:1" x14ac:dyDescent="0.3">
      <c r="A6212" s="6"/>
    </row>
    <row r="6213" spans="1:1" x14ac:dyDescent="0.3">
      <c r="A6213" s="6"/>
    </row>
    <row r="6214" spans="1:1" x14ac:dyDescent="0.3">
      <c r="A6214" s="6"/>
    </row>
    <row r="6215" spans="1:1" x14ac:dyDescent="0.3">
      <c r="A6215" s="6"/>
    </row>
    <row r="6216" spans="1:1" x14ac:dyDescent="0.3">
      <c r="A6216" s="6"/>
    </row>
    <row r="6217" spans="1:1" x14ac:dyDescent="0.3">
      <c r="A6217" s="6"/>
    </row>
    <row r="6218" spans="1:1" x14ac:dyDescent="0.3">
      <c r="A6218" s="6"/>
    </row>
    <row r="6219" spans="1:1" x14ac:dyDescent="0.3">
      <c r="A6219" s="6"/>
    </row>
    <row r="6220" spans="1:1" x14ac:dyDescent="0.3">
      <c r="A6220" s="6"/>
    </row>
    <row r="6221" spans="1:1" x14ac:dyDescent="0.3">
      <c r="A6221" s="6"/>
    </row>
    <row r="6222" spans="1:1" x14ac:dyDescent="0.3">
      <c r="A6222" s="6"/>
    </row>
    <row r="6223" spans="1:1" x14ac:dyDescent="0.3">
      <c r="A6223" s="6"/>
    </row>
    <row r="6224" spans="1:1" x14ac:dyDescent="0.3">
      <c r="A6224" s="6"/>
    </row>
    <row r="6225" spans="1:1" x14ac:dyDescent="0.3">
      <c r="A6225" s="6"/>
    </row>
    <row r="6226" spans="1:1" x14ac:dyDescent="0.3">
      <c r="A6226" s="6"/>
    </row>
    <row r="6227" spans="1:1" x14ac:dyDescent="0.3">
      <c r="A6227" s="6"/>
    </row>
    <row r="6228" spans="1:1" x14ac:dyDescent="0.3">
      <c r="A6228" s="6"/>
    </row>
    <row r="6229" spans="1:1" x14ac:dyDescent="0.3">
      <c r="A6229" s="6"/>
    </row>
    <row r="6230" spans="1:1" x14ac:dyDescent="0.3">
      <c r="A6230" s="6"/>
    </row>
    <row r="6231" spans="1:1" x14ac:dyDescent="0.3">
      <c r="A6231" s="6"/>
    </row>
    <row r="6232" spans="1:1" x14ac:dyDescent="0.3">
      <c r="A6232" s="6"/>
    </row>
    <row r="6233" spans="1:1" x14ac:dyDescent="0.3">
      <c r="A6233" s="6"/>
    </row>
    <row r="6234" spans="1:1" x14ac:dyDescent="0.3">
      <c r="A6234" s="6"/>
    </row>
    <row r="6235" spans="1:1" x14ac:dyDescent="0.3">
      <c r="A6235" s="6"/>
    </row>
    <row r="6236" spans="1:1" x14ac:dyDescent="0.3">
      <c r="A6236" s="6"/>
    </row>
    <row r="6237" spans="1:1" x14ac:dyDescent="0.3">
      <c r="A6237" s="6"/>
    </row>
    <row r="6238" spans="1:1" x14ac:dyDescent="0.3">
      <c r="A6238" s="6"/>
    </row>
    <row r="6239" spans="1:1" x14ac:dyDescent="0.3">
      <c r="A6239" s="6"/>
    </row>
    <row r="6240" spans="1:1" x14ac:dyDescent="0.3">
      <c r="A6240" s="6"/>
    </row>
    <row r="6241" spans="1:1" x14ac:dyDescent="0.3">
      <c r="A6241" s="6"/>
    </row>
    <row r="6242" spans="1:1" x14ac:dyDescent="0.3">
      <c r="A6242" s="6"/>
    </row>
    <row r="6243" spans="1:1" x14ac:dyDescent="0.3">
      <c r="A6243" s="6"/>
    </row>
    <row r="6244" spans="1:1" x14ac:dyDescent="0.3">
      <c r="A6244" s="6"/>
    </row>
    <row r="6245" spans="1:1" x14ac:dyDescent="0.3">
      <c r="A6245" s="6"/>
    </row>
    <row r="6246" spans="1:1" x14ac:dyDescent="0.3">
      <c r="A6246" s="6"/>
    </row>
    <row r="6247" spans="1:1" x14ac:dyDescent="0.3">
      <c r="A6247" s="6"/>
    </row>
    <row r="6248" spans="1:1" x14ac:dyDescent="0.3">
      <c r="A6248" s="6"/>
    </row>
    <row r="6249" spans="1:1" x14ac:dyDescent="0.3">
      <c r="A6249" s="6"/>
    </row>
    <row r="6250" spans="1:1" x14ac:dyDescent="0.3">
      <c r="A6250" s="6"/>
    </row>
    <row r="6251" spans="1:1" x14ac:dyDescent="0.3">
      <c r="A6251" s="6"/>
    </row>
    <row r="6252" spans="1:1" x14ac:dyDescent="0.3">
      <c r="A6252" s="6"/>
    </row>
    <row r="6253" spans="1:1" x14ac:dyDescent="0.3">
      <c r="A6253" s="6"/>
    </row>
    <row r="6254" spans="1:1" x14ac:dyDescent="0.3">
      <c r="A6254" s="6"/>
    </row>
    <row r="6255" spans="1:1" x14ac:dyDescent="0.3">
      <c r="A6255" s="6"/>
    </row>
    <row r="6256" spans="1:1" x14ac:dyDescent="0.3">
      <c r="A6256" s="6"/>
    </row>
    <row r="6257" spans="1:1" x14ac:dyDescent="0.3">
      <c r="A6257" s="6"/>
    </row>
    <row r="6258" spans="1:1" x14ac:dyDescent="0.3">
      <c r="A6258" s="6"/>
    </row>
    <row r="6259" spans="1:1" x14ac:dyDescent="0.3">
      <c r="A6259" s="6"/>
    </row>
    <row r="6260" spans="1:1" x14ac:dyDescent="0.3">
      <c r="A6260" s="6"/>
    </row>
    <row r="6261" spans="1:1" x14ac:dyDescent="0.3">
      <c r="A6261" s="6"/>
    </row>
    <row r="6262" spans="1:1" x14ac:dyDescent="0.3">
      <c r="A6262" s="6"/>
    </row>
    <row r="6263" spans="1:1" x14ac:dyDescent="0.3">
      <c r="A6263" s="6"/>
    </row>
    <row r="6264" spans="1:1" x14ac:dyDescent="0.3">
      <c r="A6264" s="6"/>
    </row>
    <row r="6265" spans="1:1" x14ac:dyDescent="0.3">
      <c r="A6265" s="6"/>
    </row>
    <row r="6266" spans="1:1" x14ac:dyDescent="0.3">
      <c r="A6266" s="6"/>
    </row>
    <row r="6267" spans="1:1" x14ac:dyDescent="0.3">
      <c r="A6267" s="6"/>
    </row>
    <row r="6268" spans="1:1" x14ac:dyDescent="0.3">
      <c r="A6268" s="6"/>
    </row>
    <row r="6269" spans="1:1" x14ac:dyDescent="0.3">
      <c r="A6269" s="6"/>
    </row>
    <row r="6270" spans="1:1" x14ac:dyDescent="0.3">
      <c r="A6270" s="6"/>
    </row>
    <row r="6271" spans="1:1" x14ac:dyDescent="0.3">
      <c r="A6271" s="6"/>
    </row>
    <row r="6272" spans="1:1" x14ac:dyDescent="0.3">
      <c r="A6272" s="6"/>
    </row>
    <row r="6273" spans="1:1" x14ac:dyDescent="0.3">
      <c r="A6273" s="6"/>
    </row>
    <row r="6274" spans="1:1" x14ac:dyDescent="0.3">
      <c r="A6274" s="6"/>
    </row>
    <row r="6275" spans="1:1" x14ac:dyDescent="0.3">
      <c r="A6275" s="6"/>
    </row>
    <row r="6276" spans="1:1" x14ac:dyDescent="0.3">
      <c r="A6276" s="6"/>
    </row>
    <row r="6277" spans="1:1" x14ac:dyDescent="0.3">
      <c r="A6277" s="6"/>
    </row>
    <row r="6278" spans="1:1" x14ac:dyDescent="0.3">
      <c r="A6278" s="6"/>
    </row>
    <row r="6279" spans="1:1" x14ac:dyDescent="0.3">
      <c r="A6279" s="6"/>
    </row>
    <row r="6280" spans="1:1" x14ac:dyDescent="0.3">
      <c r="A6280" s="6"/>
    </row>
    <row r="6281" spans="1:1" x14ac:dyDescent="0.3">
      <c r="A6281" s="6"/>
    </row>
    <row r="6282" spans="1:1" x14ac:dyDescent="0.3">
      <c r="A6282" s="6"/>
    </row>
    <row r="6283" spans="1:1" x14ac:dyDescent="0.3">
      <c r="A6283" s="6"/>
    </row>
    <row r="6284" spans="1:1" x14ac:dyDescent="0.3">
      <c r="A6284" s="6"/>
    </row>
    <row r="6285" spans="1:1" x14ac:dyDescent="0.3">
      <c r="A6285" s="6"/>
    </row>
    <row r="6286" spans="1:1" x14ac:dyDescent="0.3">
      <c r="A6286" s="6"/>
    </row>
    <row r="6287" spans="1:1" x14ac:dyDescent="0.3">
      <c r="A6287" s="6"/>
    </row>
    <row r="6288" spans="1:1" x14ac:dyDescent="0.3">
      <c r="A6288" s="6"/>
    </row>
    <row r="6289" spans="1:1" x14ac:dyDescent="0.3">
      <c r="A6289" s="6"/>
    </row>
    <row r="6290" spans="1:1" x14ac:dyDescent="0.3">
      <c r="A6290" s="6"/>
    </row>
    <row r="6291" spans="1:1" x14ac:dyDescent="0.3">
      <c r="A6291" s="6"/>
    </row>
    <row r="6292" spans="1:1" x14ac:dyDescent="0.3">
      <c r="A6292" s="6"/>
    </row>
    <row r="6293" spans="1:1" x14ac:dyDescent="0.3">
      <c r="A6293" s="6"/>
    </row>
    <row r="6294" spans="1:1" x14ac:dyDescent="0.3">
      <c r="A6294" s="6"/>
    </row>
    <row r="6295" spans="1:1" x14ac:dyDescent="0.3">
      <c r="A6295" s="6"/>
    </row>
    <row r="6296" spans="1:1" x14ac:dyDescent="0.3">
      <c r="A6296" s="6"/>
    </row>
    <row r="6297" spans="1:1" x14ac:dyDescent="0.3">
      <c r="A6297" s="6"/>
    </row>
    <row r="6298" spans="1:1" x14ac:dyDescent="0.3">
      <c r="A6298" s="6"/>
    </row>
    <row r="6299" spans="1:1" x14ac:dyDescent="0.3">
      <c r="A6299" s="6"/>
    </row>
    <row r="6300" spans="1:1" x14ac:dyDescent="0.3">
      <c r="A6300" s="6"/>
    </row>
    <row r="6301" spans="1:1" x14ac:dyDescent="0.3">
      <c r="A6301" s="6"/>
    </row>
    <row r="6302" spans="1:1" x14ac:dyDescent="0.3">
      <c r="A6302" s="6"/>
    </row>
    <row r="6303" spans="1:1" x14ac:dyDescent="0.3">
      <c r="A6303" s="6"/>
    </row>
    <row r="6304" spans="1:1" x14ac:dyDescent="0.3">
      <c r="A6304" s="6"/>
    </row>
    <row r="6305" spans="1:1" x14ac:dyDescent="0.3">
      <c r="A6305" s="6"/>
    </row>
    <row r="6306" spans="1:1" x14ac:dyDescent="0.3">
      <c r="A6306" s="6"/>
    </row>
    <row r="6307" spans="1:1" x14ac:dyDescent="0.3">
      <c r="A6307" s="6"/>
    </row>
    <row r="6308" spans="1:1" x14ac:dyDescent="0.3">
      <c r="A6308" s="6"/>
    </row>
    <row r="6309" spans="1:1" x14ac:dyDescent="0.3">
      <c r="A6309" s="6"/>
    </row>
    <row r="6310" spans="1:1" x14ac:dyDescent="0.3">
      <c r="A6310" s="6"/>
    </row>
    <row r="6311" spans="1:1" x14ac:dyDescent="0.3">
      <c r="A6311" s="6"/>
    </row>
    <row r="6312" spans="1:1" x14ac:dyDescent="0.3">
      <c r="A6312" s="6"/>
    </row>
    <row r="6313" spans="1:1" x14ac:dyDescent="0.3">
      <c r="A6313" s="6"/>
    </row>
    <row r="6314" spans="1:1" x14ac:dyDescent="0.3">
      <c r="A6314" s="6"/>
    </row>
    <row r="6315" spans="1:1" x14ac:dyDescent="0.3">
      <c r="A6315" s="6"/>
    </row>
    <row r="6316" spans="1:1" x14ac:dyDescent="0.3">
      <c r="A6316" s="6"/>
    </row>
    <row r="6317" spans="1:1" x14ac:dyDescent="0.3">
      <c r="A6317" s="6"/>
    </row>
    <row r="6318" spans="1:1" x14ac:dyDescent="0.3">
      <c r="A6318" s="6"/>
    </row>
    <row r="6319" spans="1:1" x14ac:dyDescent="0.3">
      <c r="A6319" s="6"/>
    </row>
    <row r="6320" spans="1:1" x14ac:dyDescent="0.3">
      <c r="A6320" s="6"/>
    </row>
    <row r="6321" spans="1:1" x14ac:dyDescent="0.3">
      <c r="A6321" s="6"/>
    </row>
    <row r="6322" spans="1:1" x14ac:dyDescent="0.3">
      <c r="A6322" s="6"/>
    </row>
    <row r="6323" spans="1:1" x14ac:dyDescent="0.3">
      <c r="A6323" s="6"/>
    </row>
    <row r="6324" spans="1:1" x14ac:dyDescent="0.3">
      <c r="A6324" s="6"/>
    </row>
    <row r="6325" spans="1:1" x14ac:dyDescent="0.3">
      <c r="A6325" s="6"/>
    </row>
    <row r="6326" spans="1:1" x14ac:dyDescent="0.3">
      <c r="A6326" s="6"/>
    </row>
    <row r="6327" spans="1:1" x14ac:dyDescent="0.3">
      <c r="A6327" s="6"/>
    </row>
    <row r="6328" spans="1:1" x14ac:dyDescent="0.3">
      <c r="A6328" s="6"/>
    </row>
    <row r="6329" spans="1:1" x14ac:dyDescent="0.3">
      <c r="A6329" s="6"/>
    </row>
    <row r="6330" spans="1:1" x14ac:dyDescent="0.3">
      <c r="A6330" s="6"/>
    </row>
    <row r="6331" spans="1:1" x14ac:dyDescent="0.3">
      <c r="A6331" s="6"/>
    </row>
    <row r="6332" spans="1:1" x14ac:dyDescent="0.3">
      <c r="A6332" s="6"/>
    </row>
    <row r="6333" spans="1:1" x14ac:dyDescent="0.3">
      <c r="A6333" s="6"/>
    </row>
    <row r="6334" spans="1:1" x14ac:dyDescent="0.3">
      <c r="A6334" s="6"/>
    </row>
    <row r="6335" spans="1:1" x14ac:dyDescent="0.3">
      <c r="A6335" s="6"/>
    </row>
    <row r="6336" spans="1:1" x14ac:dyDescent="0.3">
      <c r="A6336" s="6"/>
    </row>
    <row r="6337" spans="1:1" x14ac:dyDescent="0.3">
      <c r="A6337" s="6"/>
    </row>
    <row r="6338" spans="1:1" x14ac:dyDescent="0.3">
      <c r="A6338" s="6"/>
    </row>
    <row r="6339" spans="1:1" x14ac:dyDescent="0.3">
      <c r="A6339" s="6"/>
    </row>
    <row r="6340" spans="1:1" x14ac:dyDescent="0.3">
      <c r="A6340" s="6"/>
    </row>
    <row r="6341" spans="1:1" x14ac:dyDescent="0.3">
      <c r="A6341" s="6"/>
    </row>
    <row r="6342" spans="1:1" x14ac:dyDescent="0.3">
      <c r="A6342" s="6"/>
    </row>
    <row r="6343" spans="1:1" x14ac:dyDescent="0.3">
      <c r="A6343" s="6"/>
    </row>
    <row r="6344" spans="1:1" x14ac:dyDescent="0.3">
      <c r="A6344" s="6"/>
    </row>
    <row r="6345" spans="1:1" x14ac:dyDescent="0.3">
      <c r="A6345" s="6"/>
    </row>
    <row r="6346" spans="1:1" x14ac:dyDescent="0.3">
      <c r="A6346" s="6"/>
    </row>
    <row r="6347" spans="1:1" x14ac:dyDescent="0.3">
      <c r="A6347" s="6"/>
    </row>
    <row r="6348" spans="1:1" x14ac:dyDescent="0.3">
      <c r="A6348" s="6"/>
    </row>
    <row r="6349" spans="1:1" x14ac:dyDescent="0.3">
      <c r="A6349" s="6"/>
    </row>
    <row r="6350" spans="1:1" x14ac:dyDescent="0.3">
      <c r="A6350" s="6"/>
    </row>
    <row r="6351" spans="1:1" x14ac:dyDescent="0.3">
      <c r="A6351" s="6"/>
    </row>
    <row r="6352" spans="1:1" x14ac:dyDescent="0.3">
      <c r="A6352" s="6"/>
    </row>
    <row r="6353" spans="1:1" x14ac:dyDescent="0.3">
      <c r="A6353" s="6"/>
    </row>
    <row r="6354" spans="1:1" x14ac:dyDescent="0.3">
      <c r="A6354" s="6"/>
    </row>
    <row r="6355" spans="1:1" x14ac:dyDescent="0.3">
      <c r="A6355" s="6"/>
    </row>
    <row r="6356" spans="1:1" x14ac:dyDescent="0.3">
      <c r="A6356" s="6"/>
    </row>
    <row r="6357" spans="1:1" x14ac:dyDescent="0.3">
      <c r="A6357" s="6"/>
    </row>
    <row r="6358" spans="1:1" x14ac:dyDescent="0.3">
      <c r="A6358" s="6"/>
    </row>
    <row r="6359" spans="1:1" x14ac:dyDescent="0.3">
      <c r="A6359" s="6"/>
    </row>
    <row r="6360" spans="1:1" x14ac:dyDescent="0.3">
      <c r="A6360" s="6"/>
    </row>
    <row r="6361" spans="1:1" x14ac:dyDescent="0.3">
      <c r="A6361" s="6"/>
    </row>
    <row r="6362" spans="1:1" x14ac:dyDescent="0.3">
      <c r="A6362" s="6"/>
    </row>
    <row r="6363" spans="1:1" x14ac:dyDescent="0.3">
      <c r="A6363" s="6"/>
    </row>
    <row r="6364" spans="1:1" x14ac:dyDescent="0.3">
      <c r="A6364" s="6"/>
    </row>
    <row r="6365" spans="1:1" x14ac:dyDescent="0.3">
      <c r="A6365" s="6"/>
    </row>
    <row r="6366" spans="1:1" x14ac:dyDescent="0.3">
      <c r="A6366" s="6"/>
    </row>
    <row r="6367" spans="1:1" x14ac:dyDescent="0.3">
      <c r="A6367" s="6"/>
    </row>
    <row r="6368" spans="1:1" x14ac:dyDescent="0.3">
      <c r="A6368" s="6"/>
    </row>
    <row r="6369" spans="1:1" x14ac:dyDescent="0.3">
      <c r="A6369" s="6"/>
    </row>
    <row r="6370" spans="1:1" x14ac:dyDescent="0.3">
      <c r="A6370" s="6"/>
    </row>
    <row r="6371" spans="1:1" x14ac:dyDescent="0.3">
      <c r="A6371" s="6"/>
    </row>
    <row r="6372" spans="1:1" x14ac:dyDescent="0.3">
      <c r="A6372" s="6"/>
    </row>
    <row r="6373" spans="1:1" x14ac:dyDescent="0.3">
      <c r="A6373" s="6"/>
    </row>
    <row r="6374" spans="1:1" x14ac:dyDescent="0.3">
      <c r="A6374" s="6"/>
    </row>
    <row r="6375" spans="1:1" x14ac:dyDescent="0.3">
      <c r="A6375" s="6"/>
    </row>
    <row r="6376" spans="1:1" x14ac:dyDescent="0.3">
      <c r="A6376" s="6"/>
    </row>
    <row r="6377" spans="1:1" x14ac:dyDescent="0.3">
      <c r="A6377" s="6"/>
    </row>
    <row r="6378" spans="1:1" x14ac:dyDescent="0.3">
      <c r="A6378" s="6"/>
    </row>
    <row r="6379" spans="1:1" x14ac:dyDescent="0.3">
      <c r="A6379" s="6"/>
    </row>
    <row r="6380" spans="1:1" x14ac:dyDescent="0.3">
      <c r="A6380" s="6"/>
    </row>
    <row r="6381" spans="1:1" x14ac:dyDescent="0.3">
      <c r="A6381" s="6"/>
    </row>
    <row r="6382" spans="1:1" x14ac:dyDescent="0.3">
      <c r="A6382" s="6"/>
    </row>
    <row r="6383" spans="1:1" x14ac:dyDescent="0.3">
      <c r="A6383" s="6"/>
    </row>
    <row r="6384" spans="1:1" x14ac:dyDescent="0.3">
      <c r="A6384" s="6"/>
    </row>
    <row r="6385" spans="1:1" x14ac:dyDescent="0.3">
      <c r="A6385" s="6"/>
    </row>
    <row r="6386" spans="1:1" x14ac:dyDescent="0.3">
      <c r="A6386" s="6"/>
    </row>
    <row r="6387" spans="1:1" x14ac:dyDescent="0.3">
      <c r="A6387" s="6"/>
    </row>
    <row r="6388" spans="1:1" x14ac:dyDescent="0.3">
      <c r="A6388" s="6"/>
    </row>
    <row r="6389" spans="1:1" x14ac:dyDescent="0.3">
      <c r="A6389" s="6"/>
    </row>
    <row r="6390" spans="1:1" x14ac:dyDescent="0.3">
      <c r="A6390" s="6"/>
    </row>
    <row r="6391" spans="1:1" x14ac:dyDescent="0.3">
      <c r="A6391" s="6"/>
    </row>
    <row r="6392" spans="1:1" x14ac:dyDescent="0.3">
      <c r="A6392" s="6"/>
    </row>
    <row r="6393" spans="1:1" x14ac:dyDescent="0.3">
      <c r="A6393" s="6"/>
    </row>
    <row r="6394" spans="1:1" x14ac:dyDescent="0.3">
      <c r="A6394" s="6"/>
    </row>
    <row r="6395" spans="1:1" x14ac:dyDescent="0.3">
      <c r="A6395" s="6"/>
    </row>
    <row r="6396" spans="1:1" x14ac:dyDescent="0.3">
      <c r="A6396" s="6"/>
    </row>
    <row r="6397" spans="1:1" x14ac:dyDescent="0.3">
      <c r="A6397" s="6"/>
    </row>
    <row r="6398" spans="1:1" x14ac:dyDescent="0.3">
      <c r="A6398" s="6"/>
    </row>
    <row r="6399" spans="1:1" x14ac:dyDescent="0.3">
      <c r="A6399" s="6"/>
    </row>
    <row r="6400" spans="1:1" x14ac:dyDescent="0.3">
      <c r="A6400" s="6"/>
    </row>
    <row r="6401" spans="1:1" x14ac:dyDescent="0.3">
      <c r="A6401" s="6"/>
    </row>
    <row r="6402" spans="1:1" x14ac:dyDescent="0.3">
      <c r="A6402" s="6"/>
    </row>
    <row r="6403" spans="1:1" x14ac:dyDescent="0.3">
      <c r="A6403" s="6"/>
    </row>
    <row r="6404" spans="1:1" x14ac:dyDescent="0.3">
      <c r="A6404" s="6"/>
    </row>
    <row r="6405" spans="1:1" x14ac:dyDescent="0.3">
      <c r="A6405" s="6"/>
    </row>
    <row r="6406" spans="1:1" x14ac:dyDescent="0.3">
      <c r="A6406" s="6"/>
    </row>
    <row r="6407" spans="1:1" x14ac:dyDescent="0.3">
      <c r="A6407" s="6"/>
    </row>
    <row r="6408" spans="1:1" x14ac:dyDescent="0.3">
      <c r="A6408" s="6"/>
    </row>
    <row r="6409" spans="1:1" x14ac:dyDescent="0.3">
      <c r="A6409" s="6"/>
    </row>
    <row r="6410" spans="1:1" x14ac:dyDescent="0.3">
      <c r="A6410" s="6"/>
    </row>
    <row r="6411" spans="1:1" x14ac:dyDescent="0.3">
      <c r="A6411" s="6"/>
    </row>
    <row r="6412" spans="1:1" x14ac:dyDescent="0.3">
      <c r="A6412" s="6"/>
    </row>
    <row r="6413" spans="1:1" x14ac:dyDescent="0.3">
      <c r="A6413" s="6"/>
    </row>
    <row r="6414" spans="1:1" x14ac:dyDescent="0.3">
      <c r="A6414" s="6"/>
    </row>
    <row r="6415" spans="1:1" x14ac:dyDescent="0.3">
      <c r="A6415" s="6"/>
    </row>
    <row r="6416" spans="1:1" x14ac:dyDescent="0.3">
      <c r="A6416" s="6"/>
    </row>
    <row r="6417" spans="1:1" x14ac:dyDescent="0.3">
      <c r="A6417" s="6"/>
    </row>
    <row r="6418" spans="1:1" x14ac:dyDescent="0.3">
      <c r="A6418" s="6"/>
    </row>
    <row r="6419" spans="1:1" x14ac:dyDescent="0.3">
      <c r="A6419" s="6"/>
    </row>
    <row r="6420" spans="1:1" x14ac:dyDescent="0.3">
      <c r="A6420" s="6"/>
    </row>
    <row r="6421" spans="1:1" x14ac:dyDescent="0.3">
      <c r="A6421" s="6"/>
    </row>
    <row r="6422" spans="1:1" x14ac:dyDescent="0.3">
      <c r="A6422" s="6"/>
    </row>
    <row r="6423" spans="1:1" x14ac:dyDescent="0.3">
      <c r="A6423" s="6"/>
    </row>
    <row r="6424" spans="1:1" x14ac:dyDescent="0.3">
      <c r="A6424" s="6"/>
    </row>
    <row r="6425" spans="1:1" x14ac:dyDescent="0.3">
      <c r="A6425" s="6"/>
    </row>
    <row r="6426" spans="1:1" x14ac:dyDescent="0.3">
      <c r="A6426" s="6"/>
    </row>
    <row r="6427" spans="1:1" x14ac:dyDescent="0.3">
      <c r="A6427" s="6"/>
    </row>
    <row r="6428" spans="1:1" x14ac:dyDescent="0.3">
      <c r="A6428" s="6"/>
    </row>
    <row r="6429" spans="1:1" x14ac:dyDescent="0.3">
      <c r="A6429" s="6"/>
    </row>
    <row r="6430" spans="1:1" x14ac:dyDescent="0.3">
      <c r="A6430" s="6"/>
    </row>
    <row r="6431" spans="1:1" x14ac:dyDescent="0.3">
      <c r="A6431" s="6"/>
    </row>
    <row r="6432" spans="1:1" x14ac:dyDescent="0.3">
      <c r="A6432" s="6"/>
    </row>
    <row r="6433" spans="1:1" x14ac:dyDescent="0.3">
      <c r="A6433" s="6"/>
    </row>
    <row r="6434" spans="1:1" x14ac:dyDescent="0.3">
      <c r="A6434" s="6"/>
    </row>
    <row r="6435" spans="1:1" x14ac:dyDescent="0.3">
      <c r="A6435" s="6"/>
    </row>
    <row r="6436" spans="1:1" x14ac:dyDescent="0.3">
      <c r="A6436" s="6"/>
    </row>
    <row r="6437" spans="1:1" x14ac:dyDescent="0.3">
      <c r="A6437" s="6"/>
    </row>
    <row r="6438" spans="1:1" x14ac:dyDescent="0.3">
      <c r="A6438" s="6"/>
    </row>
    <row r="6439" spans="1:1" x14ac:dyDescent="0.3">
      <c r="A6439" s="6"/>
    </row>
    <row r="6440" spans="1:1" x14ac:dyDescent="0.3">
      <c r="A6440" s="6"/>
    </row>
    <row r="6441" spans="1:1" x14ac:dyDescent="0.3">
      <c r="A6441" s="6"/>
    </row>
    <row r="6442" spans="1:1" x14ac:dyDescent="0.3">
      <c r="A6442" s="6"/>
    </row>
    <row r="6443" spans="1:1" x14ac:dyDescent="0.3">
      <c r="A6443" s="6"/>
    </row>
    <row r="6444" spans="1:1" x14ac:dyDescent="0.3">
      <c r="A6444" s="6"/>
    </row>
    <row r="6445" spans="1:1" x14ac:dyDescent="0.3">
      <c r="A6445" s="6"/>
    </row>
    <row r="6446" spans="1:1" x14ac:dyDescent="0.3">
      <c r="A6446" s="6"/>
    </row>
    <row r="6447" spans="1:1" x14ac:dyDescent="0.3">
      <c r="A6447" s="6"/>
    </row>
    <row r="6448" spans="1:1" x14ac:dyDescent="0.3">
      <c r="A6448" s="6"/>
    </row>
    <row r="6449" spans="1:1" x14ac:dyDescent="0.3">
      <c r="A6449" s="6"/>
    </row>
    <row r="6450" spans="1:1" x14ac:dyDescent="0.3">
      <c r="A6450" s="6"/>
    </row>
    <row r="6451" spans="1:1" x14ac:dyDescent="0.3">
      <c r="A6451" s="6"/>
    </row>
    <row r="6452" spans="1:1" x14ac:dyDescent="0.3">
      <c r="A6452" s="6"/>
    </row>
    <row r="6453" spans="1:1" x14ac:dyDescent="0.3">
      <c r="A6453" s="6"/>
    </row>
    <row r="6454" spans="1:1" x14ac:dyDescent="0.3">
      <c r="A6454" s="6"/>
    </row>
    <row r="6455" spans="1:1" x14ac:dyDescent="0.3">
      <c r="A6455" s="6"/>
    </row>
    <row r="6456" spans="1:1" x14ac:dyDescent="0.3">
      <c r="A6456" s="6"/>
    </row>
    <row r="6457" spans="1:1" x14ac:dyDescent="0.3">
      <c r="A6457" s="6"/>
    </row>
    <row r="6458" spans="1:1" x14ac:dyDescent="0.3">
      <c r="A6458" s="6"/>
    </row>
    <row r="6459" spans="1:1" x14ac:dyDescent="0.3">
      <c r="A6459" s="6"/>
    </row>
    <row r="6460" spans="1:1" x14ac:dyDescent="0.3">
      <c r="A6460" s="6"/>
    </row>
    <row r="6461" spans="1:1" x14ac:dyDescent="0.3">
      <c r="A6461" s="6"/>
    </row>
    <row r="6462" spans="1:1" x14ac:dyDescent="0.3">
      <c r="A6462" s="6"/>
    </row>
    <row r="6463" spans="1:1" x14ac:dyDescent="0.3">
      <c r="A6463" s="6"/>
    </row>
    <row r="6464" spans="1:1" x14ac:dyDescent="0.3">
      <c r="A6464" s="6"/>
    </row>
    <row r="6465" spans="1:1" x14ac:dyDescent="0.3">
      <c r="A6465" s="6"/>
    </row>
    <row r="6466" spans="1:1" x14ac:dyDescent="0.3">
      <c r="A6466" s="6"/>
    </row>
    <row r="6467" spans="1:1" x14ac:dyDescent="0.3">
      <c r="A6467" s="6"/>
    </row>
    <row r="6468" spans="1:1" x14ac:dyDescent="0.3">
      <c r="A6468" s="6"/>
    </row>
    <row r="6469" spans="1:1" x14ac:dyDescent="0.3">
      <c r="A6469" s="6"/>
    </row>
    <row r="6470" spans="1:1" x14ac:dyDescent="0.3">
      <c r="A6470" s="6"/>
    </row>
    <row r="6471" spans="1:1" x14ac:dyDescent="0.3">
      <c r="A6471" s="6"/>
    </row>
    <row r="6472" spans="1:1" x14ac:dyDescent="0.3">
      <c r="A6472" s="6"/>
    </row>
    <row r="6473" spans="1:1" x14ac:dyDescent="0.3">
      <c r="A6473" s="6"/>
    </row>
    <row r="6474" spans="1:1" x14ac:dyDescent="0.3">
      <c r="A6474" s="6"/>
    </row>
    <row r="6475" spans="1:1" x14ac:dyDescent="0.3">
      <c r="A6475" s="6"/>
    </row>
    <row r="6476" spans="1:1" x14ac:dyDescent="0.3">
      <c r="A6476" s="6"/>
    </row>
    <row r="6477" spans="1:1" x14ac:dyDescent="0.3">
      <c r="A6477" s="6"/>
    </row>
    <row r="6478" spans="1:1" x14ac:dyDescent="0.3">
      <c r="A6478" s="6"/>
    </row>
    <row r="6479" spans="1:1" x14ac:dyDescent="0.3">
      <c r="A6479" s="6"/>
    </row>
    <row r="6480" spans="1:1" x14ac:dyDescent="0.3">
      <c r="A6480" s="6"/>
    </row>
    <row r="6481" spans="1:1" x14ac:dyDescent="0.3">
      <c r="A6481" s="6"/>
    </row>
    <row r="6482" spans="1:1" x14ac:dyDescent="0.3">
      <c r="A6482" s="6"/>
    </row>
    <row r="6483" spans="1:1" x14ac:dyDescent="0.3">
      <c r="A6483" s="6"/>
    </row>
    <row r="6484" spans="1:1" x14ac:dyDescent="0.3">
      <c r="A6484" s="6"/>
    </row>
    <row r="6485" spans="1:1" x14ac:dyDescent="0.3">
      <c r="A6485" s="6"/>
    </row>
    <row r="6486" spans="1:1" x14ac:dyDescent="0.3">
      <c r="A6486" s="6"/>
    </row>
    <row r="6487" spans="1:1" x14ac:dyDescent="0.3">
      <c r="A6487" s="6"/>
    </row>
    <row r="6488" spans="1:1" x14ac:dyDescent="0.3">
      <c r="A6488" s="6"/>
    </row>
    <row r="6489" spans="1:1" x14ac:dyDescent="0.3">
      <c r="A6489" s="6"/>
    </row>
    <row r="6490" spans="1:1" x14ac:dyDescent="0.3">
      <c r="A6490" s="6"/>
    </row>
    <row r="6491" spans="1:1" x14ac:dyDescent="0.3">
      <c r="A6491" s="6"/>
    </row>
    <row r="6492" spans="1:1" x14ac:dyDescent="0.3">
      <c r="A6492" s="6"/>
    </row>
    <row r="6493" spans="1:1" x14ac:dyDescent="0.3">
      <c r="A6493" s="6"/>
    </row>
    <row r="6494" spans="1:1" x14ac:dyDescent="0.3">
      <c r="A6494" s="6"/>
    </row>
    <row r="6495" spans="1:1" x14ac:dyDescent="0.3">
      <c r="A6495" s="6"/>
    </row>
    <row r="6496" spans="1:1" x14ac:dyDescent="0.3">
      <c r="A6496" s="6"/>
    </row>
    <row r="6497" spans="1:1" x14ac:dyDescent="0.3">
      <c r="A6497" s="6"/>
    </row>
    <row r="6498" spans="1:1" x14ac:dyDescent="0.3">
      <c r="A6498" s="6"/>
    </row>
    <row r="6499" spans="1:1" x14ac:dyDescent="0.3">
      <c r="A6499" s="6"/>
    </row>
    <row r="6500" spans="1:1" x14ac:dyDescent="0.3">
      <c r="A6500" s="6"/>
    </row>
    <row r="6501" spans="1:1" x14ac:dyDescent="0.3">
      <c r="A6501" s="6"/>
    </row>
    <row r="6502" spans="1:1" x14ac:dyDescent="0.3">
      <c r="A6502" s="6"/>
    </row>
    <row r="6503" spans="1:1" x14ac:dyDescent="0.3">
      <c r="A6503" s="6"/>
    </row>
    <row r="6504" spans="1:1" x14ac:dyDescent="0.3">
      <c r="A6504" s="6"/>
    </row>
    <row r="6505" spans="1:1" x14ac:dyDescent="0.3">
      <c r="A6505" s="6"/>
    </row>
    <row r="6506" spans="1:1" x14ac:dyDescent="0.3">
      <c r="A6506" s="6"/>
    </row>
    <row r="6507" spans="1:1" x14ac:dyDescent="0.3">
      <c r="A6507" s="6"/>
    </row>
    <row r="6508" spans="1:1" x14ac:dyDescent="0.3">
      <c r="A6508" s="6"/>
    </row>
    <row r="6509" spans="1:1" x14ac:dyDescent="0.3">
      <c r="A6509" s="6"/>
    </row>
    <row r="6510" spans="1:1" x14ac:dyDescent="0.3">
      <c r="A6510" s="6"/>
    </row>
    <row r="6511" spans="1:1" x14ac:dyDescent="0.3">
      <c r="A6511" s="6"/>
    </row>
    <row r="6512" spans="1:1" x14ac:dyDescent="0.3">
      <c r="A6512" s="6"/>
    </row>
    <row r="6513" spans="1:1" x14ac:dyDescent="0.3">
      <c r="A6513" s="6"/>
    </row>
    <row r="6514" spans="1:1" x14ac:dyDescent="0.3">
      <c r="A6514" s="6"/>
    </row>
    <row r="6515" spans="1:1" x14ac:dyDescent="0.3">
      <c r="A6515" s="6"/>
    </row>
    <row r="6516" spans="1:1" x14ac:dyDescent="0.3">
      <c r="A6516" s="6"/>
    </row>
    <row r="6517" spans="1:1" x14ac:dyDescent="0.3">
      <c r="A6517" s="6"/>
    </row>
    <row r="6518" spans="1:1" x14ac:dyDescent="0.3">
      <c r="A6518" s="6"/>
    </row>
    <row r="6519" spans="1:1" x14ac:dyDescent="0.3">
      <c r="A6519" s="6"/>
    </row>
    <row r="6520" spans="1:1" x14ac:dyDescent="0.3">
      <c r="A6520" s="6"/>
    </row>
    <row r="6521" spans="1:1" x14ac:dyDescent="0.3">
      <c r="A6521" s="6"/>
    </row>
    <row r="6522" spans="1:1" x14ac:dyDescent="0.3">
      <c r="A6522" s="6"/>
    </row>
    <row r="6523" spans="1:1" x14ac:dyDescent="0.3">
      <c r="A6523" s="6"/>
    </row>
    <row r="6524" spans="1:1" x14ac:dyDescent="0.3">
      <c r="A6524" s="6"/>
    </row>
    <row r="6525" spans="1:1" x14ac:dyDescent="0.3">
      <c r="A6525" s="6"/>
    </row>
    <row r="6526" spans="1:1" x14ac:dyDescent="0.3">
      <c r="A6526" s="6"/>
    </row>
    <row r="6527" spans="1:1" x14ac:dyDescent="0.3">
      <c r="A6527" s="6"/>
    </row>
    <row r="6528" spans="1:1" x14ac:dyDescent="0.3">
      <c r="A6528" s="6"/>
    </row>
    <row r="6529" spans="1:1" x14ac:dyDescent="0.3">
      <c r="A6529" s="6"/>
    </row>
    <row r="6530" spans="1:1" x14ac:dyDescent="0.3">
      <c r="A6530" s="6"/>
    </row>
    <row r="6531" spans="1:1" x14ac:dyDescent="0.3">
      <c r="A6531" s="6"/>
    </row>
    <row r="6532" spans="1:1" x14ac:dyDescent="0.3">
      <c r="A6532" s="6"/>
    </row>
    <row r="6533" spans="1:1" x14ac:dyDescent="0.3">
      <c r="A6533" s="6"/>
    </row>
    <row r="6534" spans="1:1" x14ac:dyDescent="0.3">
      <c r="A6534" s="6"/>
    </row>
    <row r="6535" spans="1:1" x14ac:dyDescent="0.3">
      <c r="A6535" s="6"/>
    </row>
    <row r="6536" spans="1:1" x14ac:dyDescent="0.3">
      <c r="A6536" s="6"/>
    </row>
    <row r="6537" spans="1:1" x14ac:dyDescent="0.3">
      <c r="A6537" s="6"/>
    </row>
    <row r="6538" spans="1:1" x14ac:dyDescent="0.3">
      <c r="A6538" s="6"/>
    </row>
    <row r="6539" spans="1:1" x14ac:dyDescent="0.3">
      <c r="A6539" s="6"/>
    </row>
    <row r="6540" spans="1:1" x14ac:dyDescent="0.3">
      <c r="A6540" s="6"/>
    </row>
    <row r="6541" spans="1:1" x14ac:dyDescent="0.3">
      <c r="A6541" s="6"/>
    </row>
    <row r="6542" spans="1:1" x14ac:dyDescent="0.3">
      <c r="A6542" s="6"/>
    </row>
    <row r="6543" spans="1:1" x14ac:dyDescent="0.3">
      <c r="A6543" s="6"/>
    </row>
    <row r="6544" spans="1:1" x14ac:dyDescent="0.3">
      <c r="A6544" s="6"/>
    </row>
    <row r="6545" spans="1:1" x14ac:dyDescent="0.3">
      <c r="A6545" s="6"/>
    </row>
    <row r="6546" spans="1:1" x14ac:dyDescent="0.3">
      <c r="A6546" s="6"/>
    </row>
    <row r="6547" spans="1:1" x14ac:dyDescent="0.3">
      <c r="A6547" s="6"/>
    </row>
    <row r="6548" spans="1:1" x14ac:dyDescent="0.3">
      <c r="A6548" s="6"/>
    </row>
    <row r="6549" spans="1:1" x14ac:dyDescent="0.3">
      <c r="A6549" s="6"/>
    </row>
    <row r="6550" spans="1:1" x14ac:dyDescent="0.3">
      <c r="A6550" s="6"/>
    </row>
    <row r="6551" spans="1:1" x14ac:dyDescent="0.3">
      <c r="A6551" s="6"/>
    </row>
    <row r="6552" spans="1:1" x14ac:dyDescent="0.3">
      <c r="A6552" s="6"/>
    </row>
    <row r="6553" spans="1:1" x14ac:dyDescent="0.3">
      <c r="A6553" s="6"/>
    </row>
    <row r="6554" spans="1:1" x14ac:dyDescent="0.3">
      <c r="A6554" s="6"/>
    </row>
    <row r="6555" spans="1:1" x14ac:dyDescent="0.3">
      <c r="A6555" s="6"/>
    </row>
    <row r="6556" spans="1:1" x14ac:dyDescent="0.3">
      <c r="A6556" s="6"/>
    </row>
    <row r="6557" spans="1:1" x14ac:dyDescent="0.3">
      <c r="A6557" s="6"/>
    </row>
    <row r="6558" spans="1:1" x14ac:dyDescent="0.3">
      <c r="A6558" s="6"/>
    </row>
    <row r="6559" spans="1:1" x14ac:dyDescent="0.3">
      <c r="A6559" s="6"/>
    </row>
    <row r="6560" spans="1:1" x14ac:dyDescent="0.3">
      <c r="A6560" s="6"/>
    </row>
    <row r="6561" spans="1:1" x14ac:dyDescent="0.3">
      <c r="A6561" s="6"/>
    </row>
    <row r="6562" spans="1:1" x14ac:dyDescent="0.3">
      <c r="A6562" s="6"/>
    </row>
    <row r="6563" spans="1:1" x14ac:dyDescent="0.3">
      <c r="A6563" s="6"/>
    </row>
    <row r="6564" spans="1:1" x14ac:dyDescent="0.3">
      <c r="A6564" s="6"/>
    </row>
    <row r="6565" spans="1:1" x14ac:dyDescent="0.3">
      <c r="A6565" s="6"/>
    </row>
    <row r="6566" spans="1:1" x14ac:dyDescent="0.3">
      <c r="A6566" s="6"/>
    </row>
    <row r="6567" spans="1:1" x14ac:dyDescent="0.3">
      <c r="A6567" s="6"/>
    </row>
    <row r="6568" spans="1:1" x14ac:dyDescent="0.3">
      <c r="A6568" s="6"/>
    </row>
    <row r="6569" spans="1:1" x14ac:dyDescent="0.3">
      <c r="A6569" s="6"/>
    </row>
    <row r="6570" spans="1:1" x14ac:dyDescent="0.3">
      <c r="A6570" s="6"/>
    </row>
    <row r="6571" spans="1:1" x14ac:dyDescent="0.3">
      <c r="A6571" s="6"/>
    </row>
    <row r="6572" spans="1:1" x14ac:dyDescent="0.3">
      <c r="A6572" s="6"/>
    </row>
    <row r="6573" spans="1:1" x14ac:dyDescent="0.3">
      <c r="A6573" s="6"/>
    </row>
    <row r="6574" spans="1:1" x14ac:dyDescent="0.3">
      <c r="A6574" s="6"/>
    </row>
    <row r="6575" spans="1:1" x14ac:dyDescent="0.3">
      <c r="A6575" s="6"/>
    </row>
    <row r="6576" spans="1:1" x14ac:dyDescent="0.3">
      <c r="A6576" s="6"/>
    </row>
    <row r="6577" spans="1:1" x14ac:dyDescent="0.3">
      <c r="A6577" s="6"/>
    </row>
    <row r="6578" spans="1:1" x14ac:dyDescent="0.3">
      <c r="A6578" s="6"/>
    </row>
    <row r="6579" spans="1:1" x14ac:dyDescent="0.3">
      <c r="A6579" s="6"/>
    </row>
    <row r="6580" spans="1:1" x14ac:dyDescent="0.3">
      <c r="A6580" s="6"/>
    </row>
    <row r="6581" spans="1:1" x14ac:dyDescent="0.3">
      <c r="A6581" s="6"/>
    </row>
    <row r="6582" spans="1:1" x14ac:dyDescent="0.3">
      <c r="A6582" s="6"/>
    </row>
    <row r="6583" spans="1:1" x14ac:dyDescent="0.3">
      <c r="A6583" s="6"/>
    </row>
    <row r="6584" spans="1:1" x14ac:dyDescent="0.3">
      <c r="A6584" s="6"/>
    </row>
    <row r="6585" spans="1:1" x14ac:dyDescent="0.3">
      <c r="A6585" s="6"/>
    </row>
    <row r="6586" spans="1:1" x14ac:dyDescent="0.3">
      <c r="A6586" s="6"/>
    </row>
    <row r="6587" spans="1:1" x14ac:dyDescent="0.3">
      <c r="A6587" s="6"/>
    </row>
    <row r="6588" spans="1:1" x14ac:dyDescent="0.3">
      <c r="A6588" s="6"/>
    </row>
    <row r="6589" spans="1:1" x14ac:dyDescent="0.3">
      <c r="A6589" s="6"/>
    </row>
    <row r="6590" spans="1:1" x14ac:dyDescent="0.3">
      <c r="A6590" s="6"/>
    </row>
    <row r="6591" spans="1:1" x14ac:dyDescent="0.3">
      <c r="A6591" s="6"/>
    </row>
    <row r="6592" spans="1:1" x14ac:dyDescent="0.3">
      <c r="A6592" s="6"/>
    </row>
    <row r="6593" spans="1:1" x14ac:dyDescent="0.3">
      <c r="A6593" s="6"/>
    </row>
    <row r="6594" spans="1:1" x14ac:dyDescent="0.3">
      <c r="A6594" s="6"/>
    </row>
    <row r="6595" spans="1:1" x14ac:dyDescent="0.3">
      <c r="A6595" s="6"/>
    </row>
    <row r="6596" spans="1:1" x14ac:dyDescent="0.3">
      <c r="A6596" s="6"/>
    </row>
    <row r="6597" spans="1:1" x14ac:dyDescent="0.3">
      <c r="A6597" s="6"/>
    </row>
    <row r="6598" spans="1:1" x14ac:dyDescent="0.3">
      <c r="A6598" s="6"/>
    </row>
    <row r="6599" spans="1:1" x14ac:dyDescent="0.3">
      <c r="A6599" s="6"/>
    </row>
    <row r="6600" spans="1:1" x14ac:dyDescent="0.3">
      <c r="A6600" s="6"/>
    </row>
    <row r="6601" spans="1:1" x14ac:dyDescent="0.3">
      <c r="A6601" s="6"/>
    </row>
    <row r="6602" spans="1:1" x14ac:dyDescent="0.3">
      <c r="A6602" s="6"/>
    </row>
    <row r="6603" spans="1:1" x14ac:dyDescent="0.3">
      <c r="A6603" s="6"/>
    </row>
    <row r="6604" spans="1:1" x14ac:dyDescent="0.3">
      <c r="A6604" s="6"/>
    </row>
    <row r="6605" spans="1:1" x14ac:dyDescent="0.3">
      <c r="A6605" s="6"/>
    </row>
    <row r="6606" spans="1:1" x14ac:dyDescent="0.3">
      <c r="A6606" s="6"/>
    </row>
    <row r="6607" spans="1:1" x14ac:dyDescent="0.3">
      <c r="A6607" s="6"/>
    </row>
    <row r="6608" spans="1:1" x14ac:dyDescent="0.3">
      <c r="A6608" s="6"/>
    </row>
    <row r="6609" spans="1:1" x14ac:dyDescent="0.3">
      <c r="A6609" s="6"/>
    </row>
    <row r="6610" spans="1:1" x14ac:dyDescent="0.3">
      <c r="A6610" s="6"/>
    </row>
    <row r="6611" spans="1:1" x14ac:dyDescent="0.3">
      <c r="A6611" s="6"/>
    </row>
    <row r="6612" spans="1:1" x14ac:dyDescent="0.3">
      <c r="A6612" s="6"/>
    </row>
    <row r="6613" spans="1:1" x14ac:dyDescent="0.3">
      <c r="A6613" s="6"/>
    </row>
    <row r="6614" spans="1:1" x14ac:dyDescent="0.3">
      <c r="A6614" s="6"/>
    </row>
    <row r="6615" spans="1:1" x14ac:dyDescent="0.3">
      <c r="A6615" s="6"/>
    </row>
    <row r="6616" spans="1:1" x14ac:dyDescent="0.3">
      <c r="A6616" s="6"/>
    </row>
    <row r="6617" spans="1:1" x14ac:dyDescent="0.3">
      <c r="A6617" s="6"/>
    </row>
    <row r="6618" spans="1:1" x14ac:dyDescent="0.3">
      <c r="A6618" s="6"/>
    </row>
    <row r="6619" spans="1:1" x14ac:dyDescent="0.3">
      <c r="A6619" s="6"/>
    </row>
    <row r="6620" spans="1:1" x14ac:dyDescent="0.3">
      <c r="A6620" s="6"/>
    </row>
    <row r="6621" spans="1:1" x14ac:dyDescent="0.3">
      <c r="A6621" s="6"/>
    </row>
    <row r="6622" spans="1:1" x14ac:dyDescent="0.3">
      <c r="A6622" s="6"/>
    </row>
    <row r="6623" spans="1:1" x14ac:dyDescent="0.3">
      <c r="A6623" s="6"/>
    </row>
    <row r="6624" spans="1:1" x14ac:dyDescent="0.3">
      <c r="A6624" s="6"/>
    </row>
    <row r="6625" spans="1:1" x14ac:dyDescent="0.3">
      <c r="A6625" s="6"/>
    </row>
    <row r="6626" spans="1:1" x14ac:dyDescent="0.3">
      <c r="A6626" s="6"/>
    </row>
    <row r="6627" spans="1:1" x14ac:dyDescent="0.3">
      <c r="A6627" s="6"/>
    </row>
    <row r="6628" spans="1:1" x14ac:dyDescent="0.3">
      <c r="A6628" s="6"/>
    </row>
    <row r="6629" spans="1:1" x14ac:dyDescent="0.3">
      <c r="A6629" s="6"/>
    </row>
    <row r="6630" spans="1:1" x14ac:dyDescent="0.3">
      <c r="A6630" s="6"/>
    </row>
    <row r="6631" spans="1:1" x14ac:dyDescent="0.3">
      <c r="A6631" s="6"/>
    </row>
    <row r="6632" spans="1:1" x14ac:dyDescent="0.3">
      <c r="A6632" s="6"/>
    </row>
    <row r="6633" spans="1:1" x14ac:dyDescent="0.3">
      <c r="A6633" s="6"/>
    </row>
    <row r="6634" spans="1:1" x14ac:dyDescent="0.3">
      <c r="A6634" s="6"/>
    </row>
    <row r="6635" spans="1:1" x14ac:dyDescent="0.3">
      <c r="A6635" s="6"/>
    </row>
    <row r="6636" spans="1:1" x14ac:dyDescent="0.3">
      <c r="A6636" s="6"/>
    </row>
    <row r="6637" spans="1:1" x14ac:dyDescent="0.3">
      <c r="A6637" s="6"/>
    </row>
    <row r="6638" spans="1:1" x14ac:dyDescent="0.3">
      <c r="A6638" s="6"/>
    </row>
    <row r="6639" spans="1:1" x14ac:dyDescent="0.3">
      <c r="A6639" s="6"/>
    </row>
    <row r="6640" spans="1:1" x14ac:dyDescent="0.3">
      <c r="A6640" s="6"/>
    </row>
    <row r="6641" spans="1:1" x14ac:dyDescent="0.3">
      <c r="A6641" s="6"/>
    </row>
    <row r="6642" spans="1:1" x14ac:dyDescent="0.3">
      <c r="A6642" s="6"/>
    </row>
    <row r="6643" spans="1:1" x14ac:dyDescent="0.3">
      <c r="A6643" s="6"/>
    </row>
    <row r="6644" spans="1:1" x14ac:dyDescent="0.3">
      <c r="A6644" s="6"/>
    </row>
    <row r="6645" spans="1:1" x14ac:dyDescent="0.3">
      <c r="A6645" s="6"/>
    </row>
    <row r="6646" spans="1:1" x14ac:dyDescent="0.3">
      <c r="A6646" s="6"/>
    </row>
    <row r="6647" spans="1:1" x14ac:dyDescent="0.3">
      <c r="A6647" s="6"/>
    </row>
    <row r="6648" spans="1:1" x14ac:dyDescent="0.3">
      <c r="A6648" s="6"/>
    </row>
    <row r="6649" spans="1:1" x14ac:dyDescent="0.3">
      <c r="A6649" s="6"/>
    </row>
    <row r="6650" spans="1:1" x14ac:dyDescent="0.3">
      <c r="A6650" s="6"/>
    </row>
    <row r="6651" spans="1:1" x14ac:dyDescent="0.3">
      <c r="A6651" s="6"/>
    </row>
    <row r="6652" spans="1:1" x14ac:dyDescent="0.3">
      <c r="A6652" s="6"/>
    </row>
    <row r="6653" spans="1:1" x14ac:dyDescent="0.3">
      <c r="A6653" s="6"/>
    </row>
    <row r="6654" spans="1:1" x14ac:dyDescent="0.3">
      <c r="A6654" s="6"/>
    </row>
    <row r="6655" spans="1:1" x14ac:dyDescent="0.3">
      <c r="A6655" s="6"/>
    </row>
    <row r="6656" spans="1:1" x14ac:dyDescent="0.3">
      <c r="A6656" s="6"/>
    </row>
    <row r="6657" spans="1:1" x14ac:dyDescent="0.3">
      <c r="A6657" s="6"/>
    </row>
    <row r="6658" spans="1:1" x14ac:dyDescent="0.3">
      <c r="A6658" s="6"/>
    </row>
    <row r="6659" spans="1:1" x14ac:dyDescent="0.3">
      <c r="A6659" s="6"/>
    </row>
    <row r="6660" spans="1:1" x14ac:dyDescent="0.3">
      <c r="A6660" s="6"/>
    </row>
    <row r="6661" spans="1:1" x14ac:dyDescent="0.3">
      <c r="A6661" s="6"/>
    </row>
    <row r="6662" spans="1:1" x14ac:dyDescent="0.3">
      <c r="A6662" s="6"/>
    </row>
    <row r="6663" spans="1:1" x14ac:dyDescent="0.3">
      <c r="A6663" s="6"/>
    </row>
    <row r="6664" spans="1:1" x14ac:dyDescent="0.3">
      <c r="A6664" s="6"/>
    </row>
    <row r="6665" spans="1:1" x14ac:dyDescent="0.3">
      <c r="A6665" s="6"/>
    </row>
    <row r="6666" spans="1:1" x14ac:dyDescent="0.3">
      <c r="A6666" s="6"/>
    </row>
    <row r="6667" spans="1:1" x14ac:dyDescent="0.3">
      <c r="A6667" s="6"/>
    </row>
    <row r="6668" spans="1:1" x14ac:dyDescent="0.3">
      <c r="A6668" s="6"/>
    </row>
    <row r="6669" spans="1:1" x14ac:dyDescent="0.3">
      <c r="A6669" s="6"/>
    </row>
    <row r="6670" spans="1:1" x14ac:dyDescent="0.3">
      <c r="A6670" s="6"/>
    </row>
    <row r="6671" spans="1:1" x14ac:dyDescent="0.3">
      <c r="A6671" s="6"/>
    </row>
    <row r="6672" spans="1:1" x14ac:dyDescent="0.3">
      <c r="A6672" s="6"/>
    </row>
    <row r="6673" spans="1:1" x14ac:dyDescent="0.3">
      <c r="A6673" s="6"/>
    </row>
    <row r="6674" spans="1:1" x14ac:dyDescent="0.3">
      <c r="A6674" s="6"/>
    </row>
    <row r="6675" spans="1:1" x14ac:dyDescent="0.3">
      <c r="A6675" s="6"/>
    </row>
    <row r="6676" spans="1:1" x14ac:dyDescent="0.3">
      <c r="A6676" s="6"/>
    </row>
    <row r="6677" spans="1:1" x14ac:dyDescent="0.3">
      <c r="A6677" s="6"/>
    </row>
    <row r="6678" spans="1:1" x14ac:dyDescent="0.3">
      <c r="A6678" s="6"/>
    </row>
    <row r="6679" spans="1:1" x14ac:dyDescent="0.3">
      <c r="A6679" s="6"/>
    </row>
    <row r="6680" spans="1:1" x14ac:dyDescent="0.3">
      <c r="A6680" s="6"/>
    </row>
    <row r="6681" spans="1:1" x14ac:dyDescent="0.3">
      <c r="A6681" s="6"/>
    </row>
    <row r="6682" spans="1:1" x14ac:dyDescent="0.3">
      <c r="A6682" s="6"/>
    </row>
    <row r="6683" spans="1:1" x14ac:dyDescent="0.3">
      <c r="A6683" s="6"/>
    </row>
    <row r="6684" spans="1:1" x14ac:dyDescent="0.3">
      <c r="A6684" s="6"/>
    </row>
    <row r="6685" spans="1:1" x14ac:dyDescent="0.3">
      <c r="A6685" s="6"/>
    </row>
    <row r="6686" spans="1:1" x14ac:dyDescent="0.3">
      <c r="A6686" s="6"/>
    </row>
    <row r="6687" spans="1:1" x14ac:dyDescent="0.3">
      <c r="A6687" s="6"/>
    </row>
    <row r="6688" spans="1:1" x14ac:dyDescent="0.3">
      <c r="A6688" s="6"/>
    </row>
    <row r="6689" spans="1:1" x14ac:dyDescent="0.3">
      <c r="A6689" s="6"/>
    </row>
    <row r="6690" spans="1:1" x14ac:dyDescent="0.3">
      <c r="A6690" s="6"/>
    </row>
    <row r="6691" spans="1:1" x14ac:dyDescent="0.3">
      <c r="A6691" s="6"/>
    </row>
    <row r="6692" spans="1:1" x14ac:dyDescent="0.3">
      <c r="A6692" s="6"/>
    </row>
    <row r="6693" spans="1:1" x14ac:dyDescent="0.3">
      <c r="A6693" s="6"/>
    </row>
    <row r="6694" spans="1:1" x14ac:dyDescent="0.3">
      <c r="A6694" s="6"/>
    </row>
    <row r="6695" spans="1:1" x14ac:dyDescent="0.3">
      <c r="A6695" s="6"/>
    </row>
    <row r="6696" spans="1:1" x14ac:dyDescent="0.3">
      <c r="A6696" s="6"/>
    </row>
    <row r="6697" spans="1:1" x14ac:dyDescent="0.3">
      <c r="A6697" s="6"/>
    </row>
    <row r="6698" spans="1:1" x14ac:dyDescent="0.3">
      <c r="A6698" s="6"/>
    </row>
    <row r="6699" spans="1:1" x14ac:dyDescent="0.3">
      <c r="A6699" s="6"/>
    </row>
    <row r="6700" spans="1:1" x14ac:dyDescent="0.3">
      <c r="A6700" s="6"/>
    </row>
    <row r="6701" spans="1:1" x14ac:dyDescent="0.3">
      <c r="A6701" s="6"/>
    </row>
    <row r="6702" spans="1:1" x14ac:dyDescent="0.3">
      <c r="A6702" s="6"/>
    </row>
    <row r="6703" spans="1:1" x14ac:dyDescent="0.3">
      <c r="A6703" s="6"/>
    </row>
    <row r="6704" spans="1:1" x14ac:dyDescent="0.3">
      <c r="A6704" s="6"/>
    </row>
    <row r="6705" spans="1:1" x14ac:dyDescent="0.3">
      <c r="A6705" s="6"/>
    </row>
    <row r="6706" spans="1:1" x14ac:dyDescent="0.3">
      <c r="A6706" s="6"/>
    </row>
    <row r="6707" spans="1:1" x14ac:dyDescent="0.3">
      <c r="A6707" s="6"/>
    </row>
    <row r="6708" spans="1:1" x14ac:dyDescent="0.3">
      <c r="A6708" s="6"/>
    </row>
    <row r="6709" spans="1:1" x14ac:dyDescent="0.3">
      <c r="A6709" s="6"/>
    </row>
    <row r="6710" spans="1:1" x14ac:dyDescent="0.3">
      <c r="A6710" s="6"/>
    </row>
    <row r="6711" spans="1:1" x14ac:dyDescent="0.3">
      <c r="A6711" s="6"/>
    </row>
    <row r="6712" spans="1:1" x14ac:dyDescent="0.3">
      <c r="A6712" s="6"/>
    </row>
    <row r="6713" spans="1:1" x14ac:dyDescent="0.3">
      <c r="A6713" s="6"/>
    </row>
    <row r="6714" spans="1:1" x14ac:dyDescent="0.3">
      <c r="A6714" s="6"/>
    </row>
    <row r="6715" spans="1:1" x14ac:dyDescent="0.3">
      <c r="A6715" s="6"/>
    </row>
    <row r="6716" spans="1:1" x14ac:dyDescent="0.3">
      <c r="A6716" s="6"/>
    </row>
    <row r="6717" spans="1:1" x14ac:dyDescent="0.3">
      <c r="A6717" s="6"/>
    </row>
    <row r="6718" spans="1:1" x14ac:dyDescent="0.3">
      <c r="A6718" s="6"/>
    </row>
    <row r="6719" spans="1:1" x14ac:dyDescent="0.3">
      <c r="A6719" s="6"/>
    </row>
    <row r="6720" spans="1:1" x14ac:dyDescent="0.3">
      <c r="A6720" s="6"/>
    </row>
    <row r="6721" spans="1:1" x14ac:dyDescent="0.3">
      <c r="A6721" s="6"/>
    </row>
    <row r="6722" spans="1:1" x14ac:dyDescent="0.3">
      <c r="A6722" s="6"/>
    </row>
    <row r="6723" spans="1:1" x14ac:dyDescent="0.3">
      <c r="A6723" s="6"/>
    </row>
    <row r="6724" spans="1:1" x14ac:dyDescent="0.3">
      <c r="A6724" s="6"/>
    </row>
    <row r="6725" spans="1:1" x14ac:dyDescent="0.3">
      <c r="A6725" s="6"/>
    </row>
    <row r="6726" spans="1:1" x14ac:dyDescent="0.3">
      <c r="A6726" s="6"/>
    </row>
    <row r="6727" spans="1:1" x14ac:dyDescent="0.3">
      <c r="A6727" s="6"/>
    </row>
    <row r="6728" spans="1:1" x14ac:dyDescent="0.3">
      <c r="A6728" s="6"/>
    </row>
    <row r="6729" spans="1:1" x14ac:dyDescent="0.3">
      <c r="A6729" s="6"/>
    </row>
    <row r="6730" spans="1:1" x14ac:dyDescent="0.3">
      <c r="A6730" s="6"/>
    </row>
    <row r="6731" spans="1:1" x14ac:dyDescent="0.3">
      <c r="A6731" s="6"/>
    </row>
    <row r="6732" spans="1:1" x14ac:dyDescent="0.3">
      <c r="A6732" s="6"/>
    </row>
    <row r="6733" spans="1:1" x14ac:dyDescent="0.3">
      <c r="A6733" s="6"/>
    </row>
    <row r="6734" spans="1:1" x14ac:dyDescent="0.3">
      <c r="A6734" s="6"/>
    </row>
    <row r="6735" spans="1:1" x14ac:dyDescent="0.3">
      <c r="A6735" s="6"/>
    </row>
    <row r="6736" spans="1:1" x14ac:dyDescent="0.3">
      <c r="A6736" s="6"/>
    </row>
    <row r="6737" spans="1:1" x14ac:dyDescent="0.3">
      <c r="A6737" s="6"/>
    </row>
    <row r="6738" spans="1:1" x14ac:dyDescent="0.3">
      <c r="A6738" s="6"/>
    </row>
    <row r="6739" spans="1:1" x14ac:dyDescent="0.3">
      <c r="A6739" s="6"/>
    </row>
    <row r="6740" spans="1:1" x14ac:dyDescent="0.3">
      <c r="A6740" s="6"/>
    </row>
    <row r="6741" spans="1:1" x14ac:dyDescent="0.3">
      <c r="A6741" s="6"/>
    </row>
    <row r="6742" spans="1:1" x14ac:dyDescent="0.3">
      <c r="A6742" s="6"/>
    </row>
    <row r="6743" spans="1:1" x14ac:dyDescent="0.3">
      <c r="A6743" s="6"/>
    </row>
    <row r="6744" spans="1:1" x14ac:dyDescent="0.3">
      <c r="A6744" s="6"/>
    </row>
    <row r="6745" spans="1:1" x14ac:dyDescent="0.3">
      <c r="A6745" s="6"/>
    </row>
    <row r="6746" spans="1:1" x14ac:dyDescent="0.3">
      <c r="A6746" s="6"/>
    </row>
    <row r="6747" spans="1:1" x14ac:dyDescent="0.3">
      <c r="A6747" s="6"/>
    </row>
    <row r="6748" spans="1:1" x14ac:dyDescent="0.3">
      <c r="A6748" s="6"/>
    </row>
    <row r="6749" spans="1:1" x14ac:dyDescent="0.3">
      <c r="A6749" s="6"/>
    </row>
    <row r="6750" spans="1:1" x14ac:dyDescent="0.3">
      <c r="A6750" s="6"/>
    </row>
    <row r="6751" spans="1:1" x14ac:dyDescent="0.3">
      <c r="A6751" s="6"/>
    </row>
    <row r="6752" spans="1:1" x14ac:dyDescent="0.3">
      <c r="A6752" s="6"/>
    </row>
    <row r="6753" spans="1:1" x14ac:dyDescent="0.3">
      <c r="A6753" s="6"/>
    </row>
    <row r="6754" spans="1:1" x14ac:dyDescent="0.3">
      <c r="A6754" s="6"/>
    </row>
    <row r="6755" spans="1:1" x14ac:dyDescent="0.3">
      <c r="A6755" s="6"/>
    </row>
    <row r="6756" spans="1:1" x14ac:dyDescent="0.3">
      <c r="A6756" s="6"/>
    </row>
    <row r="6757" spans="1:1" x14ac:dyDescent="0.3">
      <c r="A6757" s="6"/>
    </row>
    <row r="6758" spans="1:1" x14ac:dyDescent="0.3">
      <c r="A6758" s="6"/>
    </row>
    <row r="6759" spans="1:1" x14ac:dyDescent="0.3">
      <c r="A6759" s="6"/>
    </row>
    <row r="6760" spans="1:1" x14ac:dyDescent="0.3">
      <c r="A6760" s="6"/>
    </row>
    <row r="6761" spans="1:1" x14ac:dyDescent="0.3">
      <c r="A6761" s="6"/>
    </row>
    <row r="6762" spans="1:1" x14ac:dyDescent="0.3">
      <c r="A6762" s="6"/>
    </row>
    <row r="6763" spans="1:1" x14ac:dyDescent="0.3">
      <c r="A6763" s="6"/>
    </row>
    <row r="6764" spans="1:1" x14ac:dyDescent="0.3">
      <c r="A6764" s="6"/>
    </row>
    <row r="6765" spans="1:1" x14ac:dyDescent="0.3">
      <c r="A6765" s="6"/>
    </row>
    <row r="6766" spans="1:1" x14ac:dyDescent="0.3">
      <c r="A6766" s="6"/>
    </row>
    <row r="6767" spans="1:1" x14ac:dyDescent="0.3">
      <c r="A6767" s="6"/>
    </row>
    <row r="6768" spans="1:1" x14ac:dyDescent="0.3">
      <c r="A6768" s="6"/>
    </row>
    <row r="6769" spans="1:1" x14ac:dyDescent="0.3">
      <c r="A6769" s="6"/>
    </row>
    <row r="6770" spans="1:1" x14ac:dyDescent="0.3">
      <c r="A6770" s="6"/>
    </row>
    <row r="6771" spans="1:1" x14ac:dyDescent="0.3">
      <c r="A6771" s="6"/>
    </row>
    <row r="6772" spans="1:1" x14ac:dyDescent="0.3">
      <c r="A6772" s="6"/>
    </row>
    <row r="6773" spans="1:1" x14ac:dyDescent="0.3">
      <c r="A6773" s="6"/>
    </row>
    <row r="6774" spans="1:1" x14ac:dyDescent="0.3">
      <c r="A6774" s="6"/>
    </row>
    <row r="6775" spans="1:1" x14ac:dyDescent="0.3">
      <c r="A6775" s="6"/>
    </row>
    <row r="6776" spans="1:1" x14ac:dyDescent="0.3">
      <c r="A6776" s="6"/>
    </row>
    <row r="6777" spans="1:1" x14ac:dyDescent="0.3">
      <c r="A6777" s="6"/>
    </row>
    <row r="6778" spans="1:1" x14ac:dyDescent="0.3">
      <c r="A6778" s="6"/>
    </row>
    <row r="6779" spans="1:1" x14ac:dyDescent="0.3">
      <c r="A6779" s="6"/>
    </row>
    <row r="6780" spans="1:1" x14ac:dyDescent="0.3">
      <c r="A6780" s="6"/>
    </row>
    <row r="6781" spans="1:1" x14ac:dyDescent="0.3">
      <c r="A6781" s="6"/>
    </row>
    <row r="6782" spans="1:1" x14ac:dyDescent="0.3">
      <c r="A6782" s="6"/>
    </row>
    <row r="6783" spans="1:1" x14ac:dyDescent="0.3">
      <c r="A6783" s="6"/>
    </row>
    <row r="6784" spans="1:1" x14ac:dyDescent="0.3">
      <c r="A6784" s="6"/>
    </row>
    <row r="6785" spans="1:1" x14ac:dyDescent="0.3">
      <c r="A6785" s="6"/>
    </row>
    <row r="6786" spans="1:1" x14ac:dyDescent="0.3">
      <c r="A6786" s="6"/>
    </row>
    <row r="6787" spans="1:1" x14ac:dyDescent="0.3">
      <c r="A6787" s="6"/>
    </row>
    <row r="6788" spans="1:1" x14ac:dyDescent="0.3">
      <c r="A6788" s="6"/>
    </row>
    <row r="6789" spans="1:1" x14ac:dyDescent="0.3">
      <c r="A6789" s="6"/>
    </row>
    <row r="6790" spans="1:1" x14ac:dyDescent="0.3">
      <c r="A6790" s="6"/>
    </row>
    <row r="6791" spans="1:1" x14ac:dyDescent="0.3">
      <c r="A6791" s="6"/>
    </row>
    <row r="6792" spans="1:1" x14ac:dyDescent="0.3">
      <c r="A6792" s="6"/>
    </row>
    <row r="6793" spans="1:1" x14ac:dyDescent="0.3">
      <c r="A6793" s="6"/>
    </row>
    <row r="6794" spans="1:1" x14ac:dyDescent="0.3">
      <c r="A6794" s="6"/>
    </row>
    <row r="6795" spans="1:1" x14ac:dyDescent="0.3">
      <c r="A6795" s="6"/>
    </row>
    <row r="6796" spans="1:1" x14ac:dyDescent="0.3">
      <c r="A6796" s="6"/>
    </row>
    <row r="6797" spans="1:1" x14ac:dyDescent="0.3">
      <c r="A6797" s="6"/>
    </row>
    <row r="6798" spans="1:1" x14ac:dyDescent="0.3">
      <c r="A6798" s="6"/>
    </row>
    <row r="6799" spans="1:1" x14ac:dyDescent="0.3">
      <c r="A6799" s="6"/>
    </row>
    <row r="6800" spans="1:1" x14ac:dyDescent="0.3">
      <c r="A6800" s="6"/>
    </row>
    <row r="6801" spans="1:1" x14ac:dyDescent="0.3">
      <c r="A6801" s="6"/>
    </row>
    <row r="6802" spans="1:1" x14ac:dyDescent="0.3">
      <c r="A6802" s="6"/>
    </row>
    <row r="6803" spans="1:1" x14ac:dyDescent="0.3">
      <c r="A6803" s="6"/>
    </row>
    <row r="6804" spans="1:1" x14ac:dyDescent="0.3">
      <c r="A6804" s="6"/>
    </row>
    <row r="6805" spans="1:1" x14ac:dyDescent="0.3">
      <c r="A6805" s="6"/>
    </row>
    <row r="6806" spans="1:1" x14ac:dyDescent="0.3">
      <c r="A6806" s="6"/>
    </row>
    <row r="6807" spans="1:1" x14ac:dyDescent="0.3">
      <c r="A6807" s="6"/>
    </row>
    <row r="6808" spans="1:1" x14ac:dyDescent="0.3">
      <c r="A6808" s="6"/>
    </row>
    <row r="6809" spans="1:1" x14ac:dyDescent="0.3">
      <c r="A6809" s="6"/>
    </row>
    <row r="6810" spans="1:1" x14ac:dyDescent="0.3">
      <c r="A6810" s="6"/>
    </row>
    <row r="6811" spans="1:1" x14ac:dyDescent="0.3">
      <c r="A6811" s="6"/>
    </row>
    <row r="6812" spans="1:1" x14ac:dyDescent="0.3">
      <c r="A6812" s="6"/>
    </row>
    <row r="6813" spans="1:1" x14ac:dyDescent="0.3">
      <c r="A6813" s="6"/>
    </row>
    <row r="6814" spans="1:1" x14ac:dyDescent="0.3">
      <c r="A6814" s="6"/>
    </row>
    <row r="6815" spans="1:1" x14ac:dyDescent="0.3">
      <c r="A6815" s="6"/>
    </row>
    <row r="6816" spans="1:1" x14ac:dyDescent="0.3">
      <c r="A6816" s="6"/>
    </row>
    <row r="6817" spans="1:1" x14ac:dyDescent="0.3">
      <c r="A6817" s="6"/>
    </row>
    <row r="6818" spans="1:1" x14ac:dyDescent="0.3">
      <c r="A6818" s="6"/>
    </row>
    <row r="6819" spans="1:1" x14ac:dyDescent="0.3">
      <c r="A6819" s="6"/>
    </row>
    <row r="6820" spans="1:1" x14ac:dyDescent="0.3">
      <c r="A6820" s="6"/>
    </row>
    <row r="6821" spans="1:1" x14ac:dyDescent="0.3">
      <c r="A6821" s="6"/>
    </row>
    <row r="6822" spans="1:1" x14ac:dyDescent="0.3">
      <c r="A6822" s="6"/>
    </row>
    <row r="6823" spans="1:1" x14ac:dyDescent="0.3">
      <c r="A6823" s="6"/>
    </row>
    <row r="6824" spans="1:1" x14ac:dyDescent="0.3">
      <c r="A6824" s="6"/>
    </row>
    <row r="6825" spans="1:1" x14ac:dyDescent="0.3">
      <c r="A6825" s="6"/>
    </row>
    <row r="6826" spans="1:1" x14ac:dyDescent="0.3">
      <c r="A6826" s="6"/>
    </row>
    <row r="6827" spans="1:1" x14ac:dyDescent="0.3">
      <c r="A6827" s="6"/>
    </row>
    <row r="6828" spans="1:1" x14ac:dyDescent="0.3">
      <c r="A6828" s="6"/>
    </row>
    <row r="6829" spans="1:1" x14ac:dyDescent="0.3">
      <c r="A6829" s="6"/>
    </row>
    <row r="6830" spans="1:1" x14ac:dyDescent="0.3">
      <c r="A6830" s="6"/>
    </row>
    <row r="6831" spans="1:1" x14ac:dyDescent="0.3">
      <c r="A6831" s="6"/>
    </row>
    <row r="6832" spans="1:1" x14ac:dyDescent="0.3">
      <c r="A6832" s="6"/>
    </row>
    <row r="6833" spans="1:1" x14ac:dyDescent="0.3">
      <c r="A6833" s="6"/>
    </row>
    <row r="6834" spans="1:1" x14ac:dyDescent="0.3">
      <c r="A6834" s="6"/>
    </row>
    <row r="6835" spans="1:1" x14ac:dyDescent="0.3">
      <c r="A6835" s="6"/>
    </row>
    <row r="6836" spans="1:1" x14ac:dyDescent="0.3">
      <c r="A6836" s="6"/>
    </row>
    <row r="6837" spans="1:1" x14ac:dyDescent="0.3">
      <c r="A6837" s="6"/>
    </row>
    <row r="6838" spans="1:1" x14ac:dyDescent="0.3">
      <c r="A6838" s="6"/>
    </row>
    <row r="6839" spans="1:1" x14ac:dyDescent="0.3">
      <c r="A6839" s="6"/>
    </row>
    <row r="6840" spans="1:1" x14ac:dyDescent="0.3">
      <c r="A6840" s="6"/>
    </row>
    <row r="6841" spans="1:1" x14ac:dyDescent="0.3">
      <c r="A6841" s="6"/>
    </row>
    <row r="6842" spans="1:1" x14ac:dyDescent="0.3">
      <c r="A6842" s="6"/>
    </row>
    <row r="6843" spans="1:1" x14ac:dyDescent="0.3">
      <c r="A6843" s="6"/>
    </row>
    <row r="6844" spans="1:1" x14ac:dyDescent="0.3">
      <c r="A6844" s="6"/>
    </row>
    <row r="6845" spans="1:1" x14ac:dyDescent="0.3">
      <c r="A6845" s="6"/>
    </row>
    <row r="6846" spans="1:1" x14ac:dyDescent="0.3">
      <c r="A6846" s="6"/>
    </row>
    <row r="6847" spans="1:1" x14ac:dyDescent="0.3">
      <c r="A6847" s="6"/>
    </row>
    <row r="6848" spans="1:1" x14ac:dyDescent="0.3">
      <c r="A6848" s="6"/>
    </row>
    <row r="6849" spans="1:1" x14ac:dyDescent="0.3">
      <c r="A6849" s="6"/>
    </row>
    <row r="6850" spans="1:1" x14ac:dyDescent="0.3">
      <c r="A6850" s="6"/>
    </row>
    <row r="6851" spans="1:1" x14ac:dyDescent="0.3">
      <c r="A6851" s="6"/>
    </row>
    <row r="6852" spans="1:1" x14ac:dyDescent="0.3">
      <c r="A6852" s="6"/>
    </row>
    <row r="6853" spans="1:1" x14ac:dyDescent="0.3">
      <c r="A6853" s="6"/>
    </row>
    <row r="6854" spans="1:1" x14ac:dyDescent="0.3">
      <c r="A6854" s="6"/>
    </row>
    <row r="6855" spans="1:1" x14ac:dyDescent="0.3">
      <c r="A6855" s="6"/>
    </row>
    <row r="6856" spans="1:1" x14ac:dyDescent="0.3">
      <c r="A6856" s="6"/>
    </row>
    <row r="6857" spans="1:1" x14ac:dyDescent="0.3">
      <c r="A6857" s="6"/>
    </row>
    <row r="6858" spans="1:1" x14ac:dyDescent="0.3">
      <c r="A6858" s="6"/>
    </row>
    <row r="6859" spans="1:1" x14ac:dyDescent="0.3">
      <c r="A6859" s="6"/>
    </row>
    <row r="6860" spans="1:1" x14ac:dyDescent="0.3">
      <c r="A6860" s="6"/>
    </row>
    <row r="6861" spans="1:1" x14ac:dyDescent="0.3">
      <c r="A6861" s="6"/>
    </row>
    <row r="6862" spans="1:1" x14ac:dyDescent="0.3">
      <c r="A6862" s="6"/>
    </row>
    <row r="6863" spans="1:1" x14ac:dyDescent="0.3">
      <c r="A6863" s="6"/>
    </row>
    <row r="6864" spans="1:1" x14ac:dyDescent="0.3">
      <c r="A6864" s="6"/>
    </row>
    <row r="6865" spans="1:1" x14ac:dyDescent="0.3">
      <c r="A6865" s="6"/>
    </row>
    <row r="6866" spans="1:1" x14ac:dyDescent="0.3">
      <c r="A6866" s="6"/>
    </row>
    <row r="6867" spans="1:1" x14ac:dyDescent="0.3">
      <c r="A6867" s="6"/>
    </row>
    <row r="6868" spans="1:1" x14ac:dyDescent="0.3">
      <c r="A6868" s="6"/>
    </row>
    <row r="6869" spans="1:1" x14ac:dyDescent="0.3">
      <c r="A6869" s="6"/>
    </row>
    <row r="6870" spans="1:1" x14ac:dyDescent="0.3">
      <c r="A6870" s="6"/>
    </row>
    <row r="6871" spans="1:1" x14ac:dyDescent="0.3">
      <c r="A6871" s="6"/>
    </row>
    <row r="6872" spans="1:1" x14ac:dyDescent="0.3">
      <c r="A6872" s="6"/>
    </row>
    <row r="6873" spans="1:1" x14ac:dyDescent="0.3">
      <c r="A6873" s="6"/>
    </row>
    <row r="6874" spans="1:1" x14ac:dyDescent="0.3">
      <c r="A6874" s="6"/>
    </row>
    <row r="6875" spans="1:1" x14ac:dyDescent="0.3">
      <c r="A6875" s="6"/>
    </row>
    <row r="6876" spans="1:1" x14ac:dyDescent="0.3">
      <c r="A6876" s="6"/>
    </row>
    <row r="6877" spans="1:1" x14ac:dyDescent="0.3">
      <c r="A6877" s="6"/>
    </row>
    <row r="6878" spans="1:1" x14ac:dyDescent="0.3">
      <c r="A6878" s="6"/>
    </row>
    <row r="6879" spans="1:1" x14ac:dyDescent="0.3">
      <c r="A6879" s="6"/>
    </row>
    <row r="6880" spans="1:1" x14ac:dyDescent="0.3">
      <c r="A6880" s="6"/>
    </row>
    <row r="6881" spans="1:1" x14ac:dyDescent="0.3">
      <c r="A6881" s="6"/>
    </row>
    <row r="6882" spans="1:1" x14ac:dyDescent="0.3">
      <c r="A6882" s="6"/>
    </row>
    <row r="6883" spans="1:1" x14ac:dyDescent="0.3">
      <c r="A6883" s="6"/>
    </row>
    <row r="6884" spans="1:1" x14ac:dyDescent="0.3">
      <c r="A6884" s="6"/>
    </row>
    <row r="6885" spans="1:1" x14ac:dyDescent="0.3">
      <c r="A6885" s="6"/>
    </row>
    <row r="6886" spans="1:1" x14ac:dyDescent="0.3">
      <c r="A6886" s="6"/>
    </row>
    <row r="6887" spans="1:1" x14ac:dyDescent="0.3">
      <c r="A6887" s="6"/>
    </row>
    <row r="6888" spans="1:1" x14ac:dyDescent="0.3">
      <c r="A6888" s="6"/>
    </row>
    <row r="6889" spans="1:1" x14ac:dyDescent="0.3">
      <c r="A6889" s="6"/>
    </row>
    <row r="6890" spans="1:1" x14ac:dyDescent="0.3">
      <c r="A6890" s="6"/>
    </row>
    <row r="6891" spans="1:1" x14ac:dyDescent="0.3">
      <c r="A6891" s="6"/>
    </row>
    <row r="6892" spans="1:1" x14ac:dyDescent="0.3">
      <c r="A6892" s="6"/>
    </row>
    <row r="6893" spans="1:1" x14ac:dyDescent="0.3">
      <c r="A6893" s="6"/>
    </row>
    <row r="6894" spans="1:1" x14ac:dyDescent="0.3">
      <c r="A6894" s="6"/>
    </row>
    <row r="6895" spans="1:1" x14ac:dyDescent="0.3">
      <c r="A6895" s="6"/>
    </row>
    <row r="6896" spans="1:1" x14ac:dyDescent="0.3">
      <c r="A6896" s="6"/>
    </row>
    <row r="6897" spans="1:1" x14ac:dyDescent="0.3">
      <c r="A6897" s="6"/>
    </row>
    <row r="6898" spans="1:1" x14ac:dyDescent="0.3">
      <c r="A6898" s="6"/>
    </row>
    <row r="6899" spans="1:1" x14ac:dyDescent="0.3">
      <c r="A6899" s="6"/>
    </row>
    <row r="6900" spans="1:1" x14ac:dyDescent="0.3">
      <c r="A6900" s="6"/>
    </row>
    <row r="6901" spans="1:1" x14ac:dyDescent="0.3">
      <c r="A6901" s="6"/>
    </row>
    <row r="6902" spans="1:1" x14ac:dyDescent="0.3">
      <c r="A6902" s="6"/>
    </row>
    <row r="6903" spans="1:1" x14ac:dyDescent="0.3">
      <c r="A6903" s="6"/>
    </row>
    <row r="6904" spans="1:1" x14ac:dyDescent="0.3">
      <c r="A6904" s="6"/>
    </row>
    <row r="6905" spans="1:1" x14ac:dyDescent="0.3">
      <c r="A6905" s="6"/>
    </row>
    <row r="6906" spans="1:1" x14ac:dyDescent="0.3">
      <c r="A6906" s="6"/>
    </row>
    <row r="6907" spans="1:1" x14ac:dyDescent="0.3">
      <c r="A6907" s="6"/>
    </row>
    <row r="6908" spans="1:1" x14ac:dyDescent="0.3">
      <c r="A6908" s="6"/>
    </row>
    <row r="6909" spans="1:1" x14ac:dyDescent="0.3">
      <c r="A6909" s="6"/>
    </row>
    <row r="6910" spans="1:1" x14ac:dyDescent="0.3">
      <c r="A6910" s="6"/>
    </row>
    <row r="6911" spans="1:1" x14ac:dyDescent="0.3">
      <c r="A6911" s="6"/>
    </row>
    <row r="6912" spans="1:1" x14ac:dyDescent="0.3">
      <c r="A6912" s="6"/>
    </row>
    <row r="6913" spans="1:1" x14ac:dyDescent="0.3">
      <c r="A6913" s="6"/>
    </row>
    <row r="6914" spans="1:1" x14ac:dyDescent="0.3">
      <c r="A6914" s="6"/>
    </row>
    <row r="6915" spans="1:1" x14ac:dyDescent="0.3">
      <c r="A6915" s="6"/>
    </row>
    <row r="6916" spans="1:1" x14ac:dyDescent="0.3">
      <c r="A6916" s="6"/>
    </row>
    <row r="6917" spans="1:1" x14ac:dyDescent="0.3">
      <c r="A6917" s="6"/>
    </row>
    <row r="6918" spans="1:1" x14ac:dyDescent="0.3">
      <c r="A6918" s="6"/>
    </row>
    <row r="6919" spans="1:1" x14ac:dyDescent="0.3">
      <c r="A6919" s="6"/>
    </row>
    <row r="6920" spans="1:1" x14ac:dyDescent="0.3">
      <c r="A6920" s="6"/>
    </row>
    <row r="6921" spans="1:1" x14ac:dyDescent="0.3">
      <c r="A6921" s="6"/>
    </row>
    <row r="6922" spans="1:1" x14ac:dyDescent="0.3">
      <c r="A6922" s="6"/>
    </row>
    <row r="6923" spans="1:1" x14ac:dyDescent="0.3">
      <c r="A6923" s="6"/>
    </row>
    <row r="6924" spans="1:1" x14ac:dyDescent="0.3">
      <c r="A6924" s="6"/>
    </row>
    <row r="6925" spans="1:1" x14ac:dyDescent="0.3">
      <c r="A6925" s="6"/>
    </row>
    <row r="6926" spans="1:1" x14ac:dyDescent="0.3">
      <c r="A6926" s="6"/>
    </row>
    <row r="6927" spans="1:1" x14ac:dyDescent="0.3">
      <c r="A6927" s="6"/>
    </row>
    <row r="6928" spans="1:1" x14ac:dyDescent="0.3">
      <c r="A6928" s="6"/>
    </row>
    <row r="6929" spans="1:1" x14ac:dyDescent="0.3">
      <c r="A6929" s="6"/>
    </row>
    <row r="6930" spans="1:1" x14ac:dyDescent="0.3">
      <c r="A6930" s="6"/>
    </row>
    <row r="6931" spans="1:1" x14ac:dyDescent="0.3">
      <c r="A6931" s="6"/>
    </row>
    <row r="6932" spans="1:1" x14ac:dyDescent="0.3">
      <c r="A6932" s="6"/>
    </row>
    <row r="6933" spans="1:1" x14ac:dyDescent="0.3">
      <c r="A6933" s="6"/>
    </row>
    <row r="6934" spans="1:1" x14ac:dyDescent="0.3">
      <c r="A6934" s="6"/>
    </row>
    <row r="6935" spans="1:1" x14ac:dyDescent="0.3">
      <c r="A6935" s="6"/>
    </row>
    <row r="6936" spans="1:1" x14ac:dyDescent="0.3">
      <c r="A6936" s="6"/>
    </row>
    <row r="6937" spans="1:1" x14ac:dyDescent="0.3">
      <c r="A6937" s="6"/>
    </row>
    <row r="6938" spans="1:1" x14ac:dyDescent="0.3">
      <c r="A6938" s="6"/>
    </row>
    <row r="6939" spans="1:1" x14ac:dyDescent="0.3">
      <c r="A6939" s="6"/>
    </row>
    <row r="6940" spans="1:1" x14ac:dyDescent="0.3">
      <c r="A6940" s="6"/>
    </row>
    <row r="6941" spans="1:1" x14ac:dyDescent="0.3">
      <c r="A6941" s="6"/>
    </row>
    <row r="6942" spans="1:1" x14ac:dyDescent="0.3">
      <c r="A6942" s="6"/>
    </row>
    <row r="6943" spans="1:1" x14ac:dyDescent="0.3">
      <c r="A6943" s="6"/>
    </row>
    <row r="6944" spans="1:1" x14ac:dyDescent="0.3">
      <c r="A6944" s="6"/>
    </row>
    <row r="6945" spans="1:1" x14ac:dyDescent="0.3">
      <c r="A6945" s="6"/>
    </row>
    <row r="6946" spans="1:1" x14ac:dyDescent="0.3">
      <c r="A6946" s="6"/>
    </row>
    <row r="6947" spans="1:1" x14ac:dyDescent="0.3">
      <c r="A6947" s="6"/>
    </row>
    <row r="6948" spans="1:1" x14ac:dyDescent="0.3">
      <c r="A6948" s="6"/>
    </row>
    <row r="6949" spans="1:1" x14ac:dyDescent="0.3">
      <c r="A6949" s="6"/>
    </row>
    <row r="6950" spans="1:1" x14ac:dyDescent="0.3">
      <c r="A6950" s="6"/>
    </row>
    <row r="6951" spans="1:1" x14ac:dyDescent="0.3">
      <c r="A6951" s="6"/>
    </row>
    <row r="6952" spans="1:1" x14ac:dyDescent="0.3">
      <c r="A6952" s="6"/>
    </row>
    <row r="6953" spans="1:1" x14ac:dyDescent="0.3">
      <c r="A6953" s="6"/>
    </row>
    <row r="6954" spans="1:1" x14ac:dyDescent="0.3">
      <c r="A6954" s="6"/>
    </row>
    <row r="6955" spans="1:1" x14ac:dyDescent="0.3">
      <c r="A6955" s="6"/>
    </row>
    <row r="6956" spans="1:1" x14ac:dyDescent="0.3">
      <c r="A6956" s="6"/>
    </row>
    <row r="6957" spans="1:1" x14ac:dyDescent="0.3">
      <c r="A6957" s="6"/>
    </row>
    <row r="6958" spans="1:1" x14ac:dyDescent="0.3">
      <c r="A6958" s="6"/>
    </row>
    <row r="6959" spans="1:1" x14ac:dyDescent="0.3">
      <c r="A6959" s="6"/>
    </row>
    <row r="6960" spans="1:1" x14ac:dyDescent="0.3">
      <c r="A6960" s="6"/>
    </row>
    <row r="6961" spans="1:1" x14ac:dyDescent="0.3">
      <c r="A6961" s="6"/>
    </row>
    <row r="6962" spans="1:1" x14ac:dyDescent="0.3">
      <c r="A6962" s="6"/>
    </row>
    <row r="6963" spans="1:1" x14ac:dyDescent="0.3">
      <c r="A6963" s="6"/>
    </row>
    <row r="6964" spans="1:1" x14ac:dyDescent="0.3">
      <c r="A6964" s="6"/>
    </row>
    <row r="6965" spans="1:1" x14ac:dyDescent="0.3">
      <c r="A6965" s="6"/>
    </row>
    <row r="6966" spans="1:1" x14ac:dyDescent="0.3">
      <c r="A6966" s="6"/>
    </row>
    <row r="6967" spans="1:1" x14ac:dyDescent="0.3">
      <c r="A6967" s="6"/>
    </row>
    <row r="6968" spans="1:1" x14ac:dyDescent="0.3">
      <c r="A6968" s="6"/>
    </row>
    <row r="6969" spans="1:1" x14ac:dyDescent="0.3">
      <c r="A6969" s="6"/>
    </row>
    <row r="6970" spans="1:1" x14ac:dyDescent="0.3">
      <c r="A6970" s="6"/>
    </row>
    <row r="6971" spans="1:1" x14ac:dyDescent="0.3">
      <c r="A6971" s="6"/>
    </row>
    <row r="6972" spans="1:1" x14ac:dyDescent="0.3">
      <c r="A6972" s="6"/>
    </row>
    <row r="6973" spans="1:1" x14ac:dyDescent="0.3">
      <c r="A6973" s="6"/>
    </row>
    <row r="6974" spans="1:1" x14ac:dyDescent="0.3">
      <c r="A6974" s="6"/>
    </row>
    <row r="6975" spans="1:1" x14ac:dyDescent="0.3">
      <c r="A6975" s="6"/>
    </row>
    <row r="6976" spans="1:1" x14ac:dyDescent="0.3">
      <c r="A6976" s="6"/>
    </row>
    <row r="6977" spans="1:1" x14ac:dyDescent="0.3">
      <c r="A6977" s="6"/>
    </row>
    <row r="6978" spans="1:1" x14ac:dyDescent="0.3">
      <c r="A6978" s="6"/>
    </row>
    <row r="6979" spans="1:1" x14ac:dyDescent="0.3">
      <c r="A6979" s="6"/>
    </row>
    <row r="6980" spans="1:1" x14ac:dyDescent="0.3">
      <c r="A6980" s="6"/>
    </row>
    <row r="6981" spans="1:1" x14ac:dyDescent="0.3">
      <c r="A6981" s="6"/>
    </row>
    <row r="6982" spans="1:1" x14ac:dyDescent="0.3">
      <c r="A6982" s="6"/>
    </row>
    <row r="6983" spans="1:1" x14ac:dyDescent="0.3">
      <c r="A6983" s="6"/>
    </row>
    <row r="6984" spans="1:1" x14ac:dyDescent="0.3">
      <c r="A6984" s="6"/>
    </row>
    <row r="6985" spans="1:1" x14ac:dyDescent="0.3">
      <c r="A6985" s="6"/>
    </row>
    <row r="6986" spans="1:1" x14ac:dyDescent="0.3">
      <c r="A6986" s="6"/>
    </row>
    <row r="6987" spans="1:1" x14ac:dyDescent="0.3">
      <c r="A6987" s="6"/>
    </row>
    <row r="6988" spans="1:1" x14ac:dyDescent="0.3">
      <c r="A6988" s="6"/>
    </row>
    <row r="6989" spans="1:1" x14ac:dyDescent="0.3">
      <c r="A6989" s="6"/>
    </row>
    <row r="6990" spans="1:1" x14ac:dyDescent="0.3">
      <c r="A6990" s="6"/>
    </row>
    <row r="6991" spans="1:1" x14ac:dyDescent="0.3">
      <c r="A6991" s="6"/>
    </row>
    <row r="6992" spans="1:1" x14ac:dyDescent="0.3">
      <c r="A6992" s="6"/>
    </row>
    <row r="6993" spans="1:1" x14ac:dyDescent="0.3">
      <c r="A6993" s="6"/>
    </row>
    <row r="6994" spans="1:1" x14ac:dyDescent="0.3">
      <c r="A6994" s="6"/>
    </row>
    <row r="6995" spans="1:1" x14ac:dyDescent="0.3">
      <c r="A6995" s="6"/>
    </row>
    <row r="6996" spans="1:1" x14ac:dyDescent="0.3">
      <c r="A6996" s="6"/>
    </row>
    <row r="6997" spans="1:1" x14ac:dyDescent="0.3">
      <c r="A6997" s="6"/>
    </row>
    <row r="6998" spans="1:1" x14ac:dyDescent="0.3">
      <c r="A6998" s="6"/>
    </row>
    <row r="6999" spans="1:1" x14ac:dyDescent="0.3">
      <c r="A6999" s="6"/>
    </row>
    <row r="7000" spans="1:1" x14ac:dyDescent="0.3">
      <c r="A7000" s="6"/>
    </row>
    <row r="7001" spans="1:1" x14ac:dyDescent="0.3">
      <c r="A7001" s="6"/>
    </row>
    <row r="7002" spans="1:1" x14ac:dyDescent="0.3">
      <c r="A7002" s="6"/>
    </row>
    <row r="7003" spans="1:1" x14ac:dyDescent="0.3">
      <c r="A7003" s="6"/>
    </row>
    <row r="7004" spans="1:1" x14ac:dyDescent="0.3">
      <c r="A7004" s="6"/>
    </row>
    <row r="7005" spans="1:1" x14ac:dyDescent="0.3">
      <c r="A7005" s="6"/>
    </row>
    <row r="7006" spans="1:1" x14ac:dyDescent="0.3">
      <c r="A7006" s="6"/>
    </row>
    <row r="7007" spans="1:1" x14ac:dyDescent="0.3">
      <c r="A7007" s="6"/>
    </row>
    <row r="7008" spans="1:1" x14ac:dyDescent="0.3">
      <c r="A7008" s="6"/>
    </row>
    <row r="7009" spans="1:1" x14ac:dyDescent="0.3">
      <c r="A7009" s="6"/>
    </row>
    <row r="7010" spans="1:1" x14ac:dyDescent="0.3">
      <c r="A7010" s="6"/>
    </row>
    <row r="7011" spans="1:1" x14ac:dyDescent="0.3">
      <c r="A7011" s="6"/>
    </row>
    <row r="7012" spans="1:1" x14ac:dyDescent="0.3">
      <c r="A7012" s="6"/>
    </row>
    <row r="7013" spans="1:1" x14ac:dyDescent="0.3">
      <c r="A7013" s="6"/>
    </row>
    <row r="7014" spans="1:1" x14ac:dyDescent="0.3">
      <c r="A7014" s="6"/>
    </row>
    <row r="7015" spans="1:1" x14ac:dyDescent="0.3">
      <c r="A7015" s="6"/>
    </row>
    <row r="7016" spans="1:1" x14ac:dyDescent="0.3">
      <c r="A7016" s="6"/>
    </row>
    <row r="7017" spans="1:1" x14ac:dyDescent="0.3">
      <c r="A7017" s="6"/>
    </row>
    <row r="7018" spans="1:1" x14ac:dyDescent="0.3">
      <c r="A7018" s="6"/>
    </row>
    <row r="7019" spans="1:1" x14ac:dyDescent="0.3">
      <c r="A7019" s="6"/>
    </row>
    <row r="7020" spans="1:1" x14ac:dyDescent="0.3">
      <c r="A7020" s="6"/>
    </row>
    <row r="7021" spans="1:1" x14ac:dyDescent="0.3">
      <c r="A7021" s="6"/>
    </row>
    <row r="7022" spans="1:1" x14ac:dyDescent="0.3">
      <c r="A7022" s="6"/>
    </row>
    <row r="7023" spans="1:1" x14ac:dyDescent="0.3">
      <c r="A7023" s="6"/>
    </row>
    <row r="7024" spans="1:1" x14ac:dyDescent="0.3">
      <c r="A7024" s="6"/>
    </row>
    <row r="7025" spans="1:1" x14ac:dyDescent="0.3">
      <c r="A7025" s="6"/>
    </row>
    <row r="7026" spans="1:1" x14ac:dyDescent="0.3">
      <c r="A7026" s="6"/>
    </row>
    <row r="7027" spans="1:1" x14ac:dyDescent="0.3">
      <c r="A7027" s="6"/>
    </row>
    <row r="7028" spans="1:1" x14ac:dyDescent="0.3">
      <c r="A7028" s="6"/>
    </row>
    <row r="7029" spans="1:1" x14ac:dyDescent="0.3">
      <c r="A7029" s="6"/>
    </row>
    <row r="7030" spans="1:1" x14ac:dyDescent="0.3">
      <c r="A7030" s="6"/>
    </row>
    <row r="7031" spans="1:1" x14ac:dyDescent="0.3">
      <c r="A7031" s="6"/>
    </row>
    <row r="7032" spans="1:1" x14ac:dyDescent="0.3">
      <c r="A7032" s="6"/>
    </row>
    <row r="7033" spans="1:1" x14ac:dyDescent="0.3">
      <c r="A7033" s="6"/>
    </row>
    <row r="7034" spans="1:1" x14ac:dyDescent="0.3">
      <c r="A7034" s="6"/>
    </row>
    <row r="7035" spans="1:1" x14ac:dyDescent="0.3">
      <c r="A7035" s="6"/>
    </row>
    <row r="7036" spans="1:1" x14ac:dyDescent="0.3">
      <c r="A7036" s="6"/>
    </row>
    <row r="7037" spans="1:1" x14ac:dyDescent="0.3">
      <c r="A7037" s="6"/>
    </row>
    <row r="7038" spans="1:1" x14ac:dyDescent="0.3">
      <c r="A7038" s="6"/>
    </row>
    <row r="7039" spans="1:1" x14ac:dyDescent="0.3">
      <c r="A7039" s="6"/>
    </row>
    <row r="7040" spans="1:1" x14ac:dyDescent="0.3">
      <c r="A7040" s="6"/>
    </row>
    <row r="7041" spans="1:1" x14ac:dyDescent="0.3">
      <c r="A7041" s="6"/>
    </row>
    <row r="7042" spans="1:1" x14ac:dyDescent="0.3">
      <c r="A7042" s="6"/>
    </row>
    <row r="7043" spans="1:1" x14ac:dyDescent="0.3">
      <c r="A7043" s="6"/>
    </row>
    <row r="7044" spans="1:1" x14ac:dyDescent="0.3">
      <c r="A7044" s="6"/>
    </row>
    <row r="7045" spans="1:1" x14ac:dyDescent="0.3">
      <c r="A7045" s="6"/>
    </row>
    <row r="7046" spans="1:1" x14ac:dyDescent="0.3">
      <c r="A7046" s="6"/>
    </row>
    <row r="7047" spans="1:1" x14ac:dyDescent="0.3">
      <c r="A7047" s="6"/>
    </row>
    <row r="7048" spans="1:1" x14ac:dyDescent="0.3">
      <c r="A7048" s="6"/>
    </row>
    <row r="7049" spans="1:1" x14ac:dyDescent="0.3">
      <c r="A7049" s="6"/>
    </row>
    <row r="7050" spans="1:1" x14ac:dyDescent="0.3">
      <c r="A7050" s="6"/>
    </row>
    <row r="7051" spans="1:1" x14ac:dyDescent="0.3">
      <c r="A7051" s="6"/>
    </row>
    <row r="7052" spans="1:1" x14ac:dyDescent="0.3">
      <c r="A7052" s="6"/>
    </row>
    <row r="7053" spans="1:1" x14ac:dyDescent="0.3">
      <c r="A7053" s="6"/>
    </row>
    <row r="7054" spans="1:1" x14ac:dyDescent="0.3">
      <c r="A7054" s="6"/>
    </row>
    <row r="7055" spans="1:1" x14ac:dyDescent="0.3">
      <c r="A7055" s="6"/>
    </row>
    <row r="7056" spans="1:1" x14ac:dyDescent="0.3">
      <c r="A7056" s="6"/>
    </row>
    <row r="7057" spans="1:1" x14ac:dyDescent="0.3">
      <c r="A7057" s="6"/>
    </row>
    <row r="7058" spans="1:1" x14ac:dyDescent="0.3">
      <c r="A7058" s="6"/>
    </row>
    <row r="7059" spans="1:1" x14ac:dyDescent="0.3">
      <c r="A7059" s="6"/>
    </row>
    <row r="7060" spans="1:1" x14ac:dyDescent="0.3">
      <c r="A7060" s="6"/>
    </row>
    <row r="7061" spans="1:1" x14ac:dyDescent="0.3">
      <c r="A7061" s="6"/>
    </row>
    <row r="7062" spans="1:1" x14ac:dyDescent="0.3">
      <c r="A7062" s="6"/>
    </row>
    <row r="7063" spans="1:1" x14ac:dyDescent="0.3">
      <c r="A7063" s="6"/>
    </row>
    <row r="7064" spans="1:1" x14ac:dyDescent="0.3">
      <c r="A7064" s="6"/>
    </row>
    <row r="7065" spans="1:1" x14ac:dyDescent="0.3">
      <c r="A7065" s="6"/>
    </row>
    <row r="7066" spans="1:1" x14ac:dyDescent="0.3">
      <c r="A7066" s="6"/>
    </row>
    <row r="7067" spans="1:1" x14ac:dyDescent="0.3">
      <c r="A7067" s="6"/>
    </row>
    <row r="7068" spans="1:1" x14ac:dyDescent="0.3">
      <c r="A7068" s="6"/>
    </row>
    <row r="7069" spans="1:1" x14ac:dyDescent="0.3">
      <c r="A7069" s="6"/>
    </row>
    <row r="7070" spans="1:1" x14ac:dyDescent="0.3">
      <c r="A7070" s="6"/>
    </row>
    <row r="7071" spans="1:1" x14ac:dyDescent="0.3">
      <c r="A7071" s="6"/>
    </row>
    <row r="7072" spans="1:1" x14ac:dyDescent="0.3">
      <c r="A7072" s="6"/>
    </row>
    <row r="7073" spans="1:1" x14ac:dyDescent="0.3">
      <c r="A7073" s="6"/>
    </row>
    <row r="7074" spans="1:1" x14ac:dyDescent="0.3">
      <c r="A7074" s="6"/>
    </row>
    <row r="7075" spans="1:1" x14ac:dyDescent="0.3">
      <c r="A7075" s="6"/>
    </row>
    <row r="7076" spans="1:1" x14ac:dyDescent="0.3">
      <c r="A7076" s="6"/>
    </row>
    <row r="7077" spans="1:1" x14ac:dyDescent="0.3">
      <c r="A7077" s="6"/>
    </row>
    <row r="7078" spans="1:1" x14ac:dyDescent="0.3">
      <c r="A7078" s="6"/>
    </row>
    <row r="7079" spans="1:1" x14ac:dyDescent="0.3">
      <c r="A7079" s="6"/>
    </row>
    <row r="7080" spans="1:1" x14ac:dyDescent="0.3">
      <c r="A7080" s="6"/>
    </row>
    <row r="7081" spans="1:1" x14ac:dyDescent="0.3">
      <c r="A7081" s="6"/>
    </row>
    <row r="7082" spans="1:1" x14ac:dyDescent="0.3">
      <c r="A7082" s="6"/>
    </row>
    <row r="7083" spans="1:1" x14ac:dyDescent="0.3">
      <c r="A7083" s="6"/>
    </row>
    <row r="7084" spans="1:1" x14ac:dyDescent="0.3">
      <c r="A7084" s="6"/>
    </row>
    <row r="7085" spans="1:1" x14ac:dyDescent="0.3">
      <c r="A7085" s="6"/>
    </row>
    <row r="7086" spans="1:1" x14ac:dyDescent="0.3">
      <c r="A7086" s="6"/>
    </row>
    <row r="7087" spans="1:1" x14ac:dyDescent="0.3">
      <c r="A7087" s="6"/>
    </row>
    <row r="7088" spans="1:1" x14ac:dyDescent="0.3">
      <c r="A7088" s="6"/>
    </row>
    <row r="7089" spans="1:1" x14ac:dyDescent="0.3">
      <c r="A7089" s="6"/>
    </row>
    <row r="7090" spans="1:1" x14ac:dyDescent="0.3">
      <c r="A7090" s="6"/>
    </row>
    <row r="7091" spans="1:1" x14ac:dyDescent="0.3">
      <c r="A7091" s="6"/>
    </row>
    <row r="7092" spans="1:1" x14ac:dyDescent="0.3">
      <c r="A7092" s="6"/>
    </row>
    <row r="7093" spans="1:1" x14ac:dyDescent="0.3">
      <c r="A7093" s="6"/>
    </row>
    <row r="7094" spans="1:1" x14ac:dyDescent="0.3">
      <c r="A7094" s="6"/>
    </row>
    <row r="7095" spans="1:1" x14ac:dyDescent="0.3">
      <c r="A7095" s="6"/>
    </row>
    <row r="7096" spans="1:1" x14ac:dyDescent="0.3">
      <c r="A7096" s="6"/>
    </row>
    <row r="7097" spans="1:1" x14ac:dyDescent="0.3">
      <c r="A7097" s="6"/>
    </row>
    <row r="7098" spans="1:1" x14ac:dyDescent="0.3">
      <c r="A7098" s="6"/>
    </row>
    <row r="7099" spans="1:1" x14ac:dyDescent="0.3">
      <c r="A7099" s="6"/>
    </row>
    <row r="7100" spans="1:1" x14ac:dyDescent="0.3">
      <c r="A7100" s="6"/>
    </row>
    <row r="7101" spans="1:1" x14ac:dyDescent="0.3">
      <c r="A7101" s="6"/>
    </row>
    <row r="7102" spans="1:1" x14ac:dyDescent="0.3">
      <c r="A7102" s="6"/>
    </row>
    <row r="7103" spans="1:1" x14ac:dyDescent="0.3">
      <c r="A7103" s="6"/>
    </row>
    <row r="7104" spans="1:1" x14ac:dyDescent="0.3">
      <c r="A7104" s="6"/>
    </row>
    <row r="7105" spans="1:1" x14ac:dyDescent="0.3">
      <c r="A7105" s="6"/>
    </row>
    <row r="7106" spans="1:1" x14ac:dyDescent="0.3">
      <c r="A7106" s="6"/>
    </row>
    <row r="7107" spans="1:1" x14ac:dyDescent="0.3">
      <c r="A7107" s="6"/>
    </row>
    <row r="7108" spans="1:1" x14ac:dyDescent="0.3">
      <c r="A7108" s="6"/>
    </row>
    <row r="7109" spans="1:1" x14ac:dyDescent="0.3">
      <c r="A7109" s="6"/>
    </row>
    <row r="7110" spans="1:1" x14ac:dyDescent="0.3">
      <c r="A7110" s="6"/>
    </row>
    <row r="7111" spans="1:1" x14ac:dyDescent="0.3">
      <c r="A7111" s="6"/>
    </row>
    <row r="7112" spans="1:1" x14ac:dyDescent="0.3">
      <c r="A7112" s="6"/>
    </row>
    <row r="7113" spans="1:1" x14ac:dyDescent="0.3">
      <c r="A7113" s="6"/>
    </row>
    <row r="7114" spans="1:1" x14ac:dyDescent="0.3">
      <c r="A7114" s="6"/>
    </row>
    <row r="7115" spans="1:1" x14ac:dyDescent="0.3">
      <c r="A7115" s="6"/>
    </row>
    <row r="7116" spans="1:1" x14ac:dyDescent="0.3">
      <c r="A7116" s="6"/>
    </row>
    <row r="7117" spans="1:1" x14ac:dyDescent="0.3">
      <c r="A7117" s="6"/>
    </row>
    <row r="7118" spans="1:1" x14ac:dyDescent="0.3">
      <c r="A7118" s="6"/>
    </row>
    <row r="7119" spans="1:1" x14ac:dyDescent="0.3">
      <c r="A7119" s="6"/>
    </row>
    <row r="7120" spans="1:1" x14ac:dyDescent="0.3">
      <c r="A7120" s="6"/>
    </row>
    <row r="7121" spans="1:1" x14ac:dyDescent="0.3">
      <c r="A7121" s="6"/>
    </row>
    <row r="7122" spans="1:1" x14ac:dyDescent="0.3">
      <c r="A7122" s="6"/>
    </row>
    <row r="7123" spans="1:1" x14ac:dyDescent="0.3">
      <c r="A7123" s="6"/>
    </row>
    <row r="7124" spans="1:1" x14ac:dyDescent="0.3">
      <c r="A7124" s="6"/>
    </row>
    <row r="7125" spans="1:1" x14ac:dyDescent="0.3">
      <c r="A7125" s="6"/>
    </row>
    <row r="7126" spans="1:1" x14ac:dyDescent="0.3">
      <c r="A7126" s="6"/>
    </row>
    <row r="7127" spans="1:1" x14ac:dyDescent="0.3">
      <c r="A7127" s="6"/>
    </row>
    <row r="7128" spans="1:1" x14ac:dyDescent="0.3">
      <c r="A7128" s="6"/>
    </row>
    <row r="7129" spans="1:1" x14ac:dyDescent="0.3">
      <c r="A7129" s="6"/>
    </row>
    <row r="7130" spans="1:1" x14ac:dyDescent="0.3">
      <c r="A7130" s="6"/>
    </row>
    <row r="7131" spans="1:1" x14ac:dyDescent="0.3">
      <c r="A7131" s="6"/>
    </row>
    <row r="7132" spans="1:1" x14ac:dyDescent="0.3">
      <c r="A7132" s="6"/>
    </row>
    <row r="7133" spans="1:1" x14ac:dyDescent="0.3">
      <c r="A7133" s="6"/>
    </row>
    <row r="7134" spans="1:1" x14ac:dyDescent="0.3">
      <c r="A7134" s="6"/>
    </row>
    <row r="7135" spans="1:1" x14ac:dyDescent="0.3">
      <c r="A7135" s="6"/>
    </row>
    <row r="7136" spans="1:1" x14ac:dyDescent="0.3">
      <c r="A7136" s="6"/>
    </row>
    <row r="7137" spans="1:1" x14ac:dyDescent="0.3">
      <c r="A7137" s="6"/>
    </row>
    <row r="7138" spans="1:1" x14ac:dyDescent="0.3">
      <c r="A7138" s="6"/>
    </row>
    <row r="7139" spans="1:1" x14ac:dyDescent="0.3">
      <c r="A7139" s="6"/>
    </row>
    <row r="7140" spans="1:1" x14ac:dyDescent="0.3">
      <c r="A7140" s="6"/>
    </row>
    <row r="7141" spans="1:1" x14ac:dyDescent="0.3">
      <c r="A7141" s="6"/>
    </row>
    <row r="7142" spans="1:1" x14ac:dyDescent="0.3">
      <c r="A7142" s="6"/>
    </row>
    <row r="7143" spans="1:1" x14ac:dyDescent="0.3">
      <c r="A7143" s="6"/>
    </row>
    <row r="7144" spans="1:1" x14ac:dyDescent="0.3">
      <c r="A7144" s="6"/>
    </row>
    <row r="7145" spans="1:1" x14ac:dyDescent="0.3">
      <c r="A7145" s="6"/>
    </row>
    <row r="7146" spans="1:1" x14ac:dyDescent="0.3">
      <c r="A7146" s="6"/>
    </row>
    <row r="7147" spans="1:1" x14ac:dyDescent="0.3">
      <c r="A7147" s="6"/>
    </row>
    <row r="7148" spans="1:1" x14ac:dyDescent="0.3">
      <c r="A7148" s="6"/>
    </row>
    <row r="7149" spans="1:1" x14ac:dyDescent="0.3">
      <c r="A7149" s="6"/>
    </row>
    <row r="7150" spans="1:1" x14ac:dyDescent="0.3">
      <c r="A7150" s="6"/>
    </row>
    <row r="7151" spans="1:1" x14ac:dyDescent="0.3">
      <c r="A7151" s="6"/>
    </row>
    <row r="7152" spans="1:1" x14ac:dyDescent="0.3">
      <c r="A7152" s="6"/>
    </row>
    <row r="7153" spans="1:1" x14ac:dyDescent="0.3">
      <c r="A7153" s="6"/>
    </row>
    <row r="7154" spans="1:1" x14ac:dyDescent="0.3">
      <c r="A7154" s="6"/>
    </row>
    <row r="7155" spans="1:1" x14ac:dyDescent="0.3">
      <c r="A7155" s="6"/>
    </row>
    <row r="7156" spans="1:1" x14ac:dyDescent="0.3">
      <c r="A7156" s="6"/>
    </row>
    <row r="7157" spans="1:1" x14ac:dyDescent="0.3">
      <c r="A7157" s="6"/>
    </row>
    <row r="7158" spans="1:1" x14ac:dyDescent="0.3">
      <c r="A7158" s="6"/>
    </row>
    <row r="7159" spans="1:1" x14ac:dyDescent="0.3">
      <c r="A7159" s="6"/>
    </row>
    <row r="7160" spans="1:1" x14ac:dyDescent="0.3">
      <c r="A7160" s="6"/>
    </row>
    <row r="7161" spans="1:1" x14ac:dyDescent="0.3">
      <c r="A7161" s="6"/>
    </row>
    <row r="7162" spans="1:1" x14ac:dyDescent="0.3">
      <c r="A7162" s="6"/>
    </row>
    <row r="7163" spans="1:1" x14ac:dyDescent="0.3">
      <c r="A7163" s="6"/>
    </row>
    <row r="7164" spans="1:1" x14ac:dyDescent="0.3">
      <c r="A7164" s="6"/>
    </row>
    <row r="7165" spans="1:1" x14ac:dyDescent="0.3">
      <c r="A7165" s="6"/>
    </row>
    <row r="7166" spans="1:1" x14ac:dyDescent="0.3">
      <c r="A7166" s="6"/>
    </row>
    <row r="7167" spans="1:1" x14ac:dyDescent="0.3">
      <c r="A7167" s="6"/>
    </row>
    <row r="7168" spans="1:1" x14ac:dyDescent="0.3">
      <c r="A7168" s="6"/>
    </row>
    <row r="7169" spans="1:1" x14ac:dyDescent="0.3">
      <c r="A7169" s="6"/>
    </row>
    <row r="7170" spans="1:1" x14ac:dyDescent="0.3">
      <c r="A7170" s="6"/>
    </row>
    <row r="7171" spans="1:1" x14ac:dyDescent="0.3">
      <c r="A7171" s="6"/>
    </row>
    <row r="7172" spans="1:1" x14ac:dyDescent="0.3">
      <c r="A7172" s="6"/>
    </row>
    <row r="7173" spans="1:1" x14ac:dyDescent="0.3">
      <c r="A7173" s="6"/>
    </row>
    <row r="7174" spans="1:1" x14ac:dyDescent="0.3">
      <c r="A7174" s="6"/>
    </row>
    <row r="7175" spans="1:1" x14ac:dyDescent="0.3">
      <c r="A7175" s="6"/>
    </row>
    <row r="7176" spans="1:1" x14ac:dyDescent="0.3">
      <c r="A7176" s="6"/>
    </row>
    <row r="7177" spans="1:1" x14ac:dyDescent="0.3">
      <c r="A7177" s="6"/>
    </row>
    <row r="7178" spans="1:1" x14ac:dyDescent="0.3">
      <c r="A7178" s="6"/>
    </row>
    <row r="7179" spans="1:1" x14ac:dyDescent="0.3">
      <c r="A7179" s="6"/>
    </row>
    <row r="7180" spans="1:1" x14ac:dyDescent="0.3">
      <c r="A7180" s="6"/>
    </row>
    <row r="7181" spans="1:1" x14ac:dyDescent="0.3">
      <c r="A7181" s="6"/>
    </row>
    <row r="7182" spans="1:1" x14ac:dyDescent="0.3">
      <c r="A7182" s="6"/>
    </row>
    <row r="7183" spans="1:1" x14ac:dyDescent="0.3">
      <c r="A7183" s="6"/>
    </row>
    <row r="7184" spans="1:1" x14ac:dyDescent="0.3">
      <c r="A7184" s="6"/>
    </row>
    <row r="7185" spans="1:1" x14ac:dyDescent="0.3">
      <c r="A7185" s="6"/>
    </row>
    <row r="7186" spans="1:1" x14ac:dyDescent="0.3">
      <c r="A7186" s="6"/>
    </row>
    <row r="7187" spans="1:1" x14ac:dyDescent="0.3">
      <c r="A7187" s="6"/>
    </row>
    <row r="7188" spans="1:1" x14ac:dyDescent="0.3">
      <c r="A7188" s="6"/>
    </row>
    <row r="7189" spans="1:1" x14ac:dyDescent="0.3">
      <c r="A7189" s="6"/>
    </row>
    <row r="7190" spans="1:1" x14ac:dyDescent="0.3">
      <c r="A7190" s="6"/>
    </row>
    <row r="7191" spans="1:1" x14ac:dyDescent="0.3">
      <c r="A7191" s="6"/>
    </row>
    <row r="7192" spans="1:1" x14ac:dyDescent="0.3">
      <c r="A7192" s="6"/>
    </row>
    <row r="7193" spans="1:1" x14ac:dyDescent="0.3">
      <c r="A7193" s="6"/>
    </row>
    <row r="7194" spans="1:1" x14ac:dyDescent="0.3">
      <c r="A7194" s="6"/>
    </row>
    <row r="7195" spans="1:1" x14ac:dyDescent="0.3">
      <c r="A7195" s="6"/>
    </row>
    <row r="7196" spans="1:1" x14ac:dyDescent="0.3">
      <c r="A7196" s="6"/>
    </row>
    <row r="7197" spans="1:1" x14ac:dyDescent="0.3">
      <c r="A7197" s="6"/>
    </row>
    <row r="7198" spans="1:1" x14ac:dyDescent="0.3">
      <c r="A7198" s="6"/>
    </row>
    <row r="7199" spans="1:1" x14ac:dyDescent="0.3">
      <c r="A7199" s="6"/>
    </row>
    <row r="7200" spans="1:1" x14ac:dyDescent="0.3">
      <c r="A7200" s="6"/>
    </row>
    <row r="7201" spans="1:1" x14ac:dyDescent="0.3">
      <c r="A7201" s="6"/>
    </row>
    <row r="7202" spans="1:1" x14ac:dyDescent="0.3">
      <c r="A7202" s="6"/>
    </row>
    <row r="7203" spans="1:1" x14ac:dyDescent="0.3">
      <c r="A7203" s="6"/>
    </row>
    <row r="7204" spans="1:1" x14ac:dyDescent="0.3">
      <c r="A7204" s="6"/>
    </row>
    <row r="7205" spans="1:1" x14ac:dyDescent="0.3">
      <c r="A7205" s="6"/>
    </row>
    <row r="7206" spans="1:1" x14ac:dyDescent="0.3">
      <c r="A7206" s="6"/>
    </row>
    <row r="7207" spans="1:1" x14ac:dyDescent="0.3">
      <c r="A7207" s="6"/>
    </row>
    <row r="7208" spans="1:1" x14ac:dyDescent="0.3">
      <c r="A7208" s="6"/>
    </row>
    <row r="7209" spans="1:1" x14ac:dyDescent="0.3">
      <c r="A7209" s="6"/>
    </row>
    <row r="7210" spans="1:1" x14ac:dyDescent="0.3">
      <c r="A7210" s="6"/>
    </row>
    <row r="7211" spans="1:1" x14ac:dyDescent="0.3">
      <c r="A7211" s="6"/>
    </row>
    <row r="7212" spans="1:1" x14ac:dyDescent="0.3">
      <c r="A7212" s="6"/>
    </row>
    <row r="7213" spans="1:1" x14ac:dyDescent="0.3">
      <c r="A7213" s="6"/>
    </row>
    <row r="7214" spans="1:1" x14ac:dyDescent="0.3">
      <c r="A7214" s="6"/>
    </row>
    <row r="7215" spans="1:1" x14ac:dyDescent="0.3">
      <c r="A7215" s="6"/>
    </row>
    <row r="7216" spans="1:1" x14ac:dyDescent="0.3">
      <c r="A7216" s="6"/>
    </row>
    <row r="7217" spans="1:1" x14ac:dyDescent="0.3">
      <c r="A7217" s="6"/>
    </row>
    <row r="7218" spans="1:1" x14ac:dyDescent="0.3">
      <c r="A7218" s="6"/>
    </row>
    <row r="7219" spans="1:1" x14ac:dyDescent="0.3">
      <c r="A7219" s="6"/>
    </row>
    <row r="7220" spans="1:1" x14ac:dyDescent="0.3">
      <c r="A7220" s="6"/>
    </row>
    <row r="7221" spans="1:1" x14ac:dyDescent="0.3">
      <c r="A7221" s="6"/>
    </row>
    <row r="7222" spans="1:1" x14ac:dyDescent="0.3">
      <c r="A7222" s="6"/>
    </row>
    <row r="7223" spans="1:1" x14ac:dyDescent="0.3">
      <c r="A7223" s="6"/>
    </row>
    <row r="7224" spans="1:1" x14ac:dyDescent="0.3">
      <c r="A7224" s="6"/>
    </row>
    <row r="7225" spans="1:1" x14ac:dyDescent="0.3">
      <c r="A7225" s="6"/>
    </row>
    <row r="7226" spans="1:1" x14ac:dyDescent="0.3">
      <c r="A7226" s="6"/>
    </row>
    <row r="7227" spans="1:1" x14ac:dyDescent="0.3">
      <c r="A7227" s="6"/>
    </row>
    <row r="7228" spans="1:1" x14ac:dyDescent="0.3">
      <c r="A7228" s="6"/>
    </row>
    <row r="7229" spans="1:1" x14ac:dyDescent="0.3">
      <c r="A7229" s="6"/>
    </row>
    <row r="7230" spans="1:1" x14ac:dyDescent="0.3">
      <c r="A7230" s="6"/>
    </row>
    <row r="7231" spans="1:1" x14ac:dyDescent="0.3">
      <c r="A7231" s="6"/>
    </row>
    <row r="7232" spans="1:1" x14ac:dyDescent="0.3">
      <c r="A7232" s="6"/>
    </row>
    <row r="7233" spans="1:1" x14ac:dyDescent="0.3">
      <c r="A7233" s="6"/>
    </row>
    <row r="7234" spans="1:1" x14ac:dyDescent="0.3">
      <c r="A7234" s="6"/>
    </row>
    <row r="7235" spans="1:1" x14ac:dyDescent="0.3">
      <c r="A7235" s="6"/>
    </row>
    <row r="7236" spans="1:1" x14ac:dyDescent="0.3">
      <c r="A7236" s="6"/>
    </row>
    <row r="7237" spans="1:1" x14ac:dyDescent="0.3">
      <c r="A7237" s="6"/>
    </row>
    <row r="7238" spans="1:1" x14ac:dyDescent="0.3">
      <c r="A7238" s="6"/>
    </row>
    <row r="7239" spans="1:1" x14ac:dyDescent="0.3">
      <c r="A7239" s="6"/>
    </row>
    <row r="7240" spans="1:1" x14ac:dyDescent="0.3">
      <c r="A7240" s="6"/>
    </row>
    <row r="7241" spans="1:1" x14ac:dyDescent="0.3">
      <c r="A7241" s="6"/>
    </row>
    <row r="7242" spans="1:1" x14ac:dyDescent="0.3">
      <c r="A7242" s="6"/>
    </row>
    <row r="7243" spans="1:1" x14ac:dyDescent="0.3">
      <c r="A7243" s="6"/>
    </row>
    <row r="7244" spans="1:1" x14ac:dyDescent="0.3">
      <c r="A7244" s="6"/>
    </row>
    <row r="7245" spans="1:1" x14ac:dyDescent="0.3">
      <c r="A7245" s="6"/>
    </row>
    <row r="7246" spans="1:1" x14ac:dyDescent="0.3">
      <c r="A7246" s="6"/>
    </row>
    <row r="7247" spans="1:1" x14ac:dyDescent="0.3">
      <c r="A7247" s="6"/>
    </row>
    <row r="7248" spans="1:1" x14ac:dyDescent="0.3">
      <c r="A7248" s="6"/>
    </row>
    <row r="7249" spans="1:1" x14ac:dyDescent="0.3">
      <c r="A7249" s="6"/>
    </row>
    <row r="7250" spans="1:1" x14ac:dyDescent="0.3">
      <c r="A7250" s="6"/>
    </row>
    <row r="7251" spans="1:1" x14ac:dyDescent="0.3">
      <c r="A7251" s="6"/>
    </row>
    <row r="7252" spans="1:1" x14ac:dyDescent="0.3">
      <c r="A7252" s="6"/>
    </row>
    <row r="7253" spans="1:1" x14ac:dyDescent="0.3">
      <c r="A7253" s="6"/>
    </row>
    <row r="7254" spans="1:1" x14ac:dyDescent="0.3">
      <c r="A7254" s="6"/>
    </row>
    <row r="7255" spans="1:1" x14ac:dyDescent="0.3">
      <c r="A7255" s="6"/>
    </row>
    <row r="7256" spans="1:1" x14ac:dyDescent="0.3">
      <c r="A7256" s="6"/>
    </row>
    <row r="7257" spans="1:1" x14ac:dyDescent="0.3">
      <c r="A7257" s="6"/>
    </row>
    <row r="7258" spans="1:1" x14ac:dyDescent="0.3">
      <c r="A7258" s="6"/>
    </row>
    <row r="7259" spans="1:1" x14ac:dyDescent="0.3">
      <c r="A7259" s="6"/>
    </row>
    <row r="7260" spans="1:1" x14ac:dyDescent="0.3">
      <c r="A7260" s="6"/>
    </row>
    <row r="7261" spans="1:1" x14ac:dyDescent="0.3">
      <c r="A7261" s="6"/>
    </row>
    <row r="7262" spans="1:1" x14ac:dyDescent="0.3">
      <c r="A7262" s="6"/>
    </row>
    <row r="7263" spans="1:1" x14ac:dyDescent="0.3">
      <c r="A7263" s="6"/>
    </row>
    <row r="7264" spans="1:1" x14ac:dyDescent="0.3">
      <c r="A7264" s="6"/>
    </row>
    <row r="7265" spans="1:1" x14ac:dyDescent="0.3">
      <c r="A7265" s="6"/>
    </row>
    <row r="7266" spans="1:1" x14ac:dyDescent="0.3">
      <c r="A7266" s="6"/>
    </row>
    <row r="7267" spans="1:1" x14ac:dyDescent="0.3">
      <c r="A7267" s="6"/>
    </row>
    <row r="7268" spans="1:1" x14ac:dyDescent="0.3">
      <c r="A7268" s="6"/>
    </row>
    <row r="7269" spans="1:1" x14ac:dyDescent="0.3">
      <c r="A7269" s="6"/>
    </row>
    <row r="7270" spans="1:1" x14ac:dyDescent="0.3">
      <c r="A7270" s="6"/>
    </row>
    <row r="7271" spans="1:1" x14ac:dyDescent="0.3">
      <c r="A7271" s="6"/>
    </row>
    <row r="7272" spans="1:1" x14ac:dyDescent="0.3">
      <c r="A7272" s="6"/>
    </row>
    <row r="7273" spans="1:1" x14ac:dyDescent="0.3">
      <c r="A7273" s="6"/>
    </row>
    <row r="7274" spans="1:1" x14ac:dyDescent="0.3">
      <c r="A7274" s="6"/>
    </row>
    <row r="7275" spans="1:1" x14ac:dyDescent="0.3">
      <c r="A7275" s="6"/>
    </row>
    <row r="7276" spans="1:1" x14ac:dyDescent="0.3">
      <c r="A7276" s="6"/>
    </row>
    <row r="7277" spans="1:1" x14ac:dyDescent="0.3">
      <c r="A7277" s="6"/>
    </row>
    <row r="7278" spans="1:1" x14ac:dyDescent="0.3">
      <c r="A7278" s="6"/>
    </row>
    <row r="7279" spans="1:1" x14ac:dyDescent="0.3">
      <c r="A7279" s="6"/>
    </row>
    <row r="7280" spans="1:1" x14ac:dyDescent="0.3">
      <c r="A7280" s="6"/>
    </row>
    <row r="7281" spans="1:1" x14ac:dyDescent="0.3">
      <c r="A7281" s="6"/>
    </row>
    <row r="7282" spans="1:1" x14ac:dyDescent="0.3">
      <c r="A7282" s="6"/>
    </row>
    <row r="7283" spans="1:1" x14ac:dyDescent="0.3">
      <c r="A7283" s="6"/>
    </row>
    <row r="7284" spans="1:1" x14ac:dyDescent="0.3">
      <c r="A7284" s="6"/>
    </row>
    <row r="7285" spans="1:1" x14ac:dyDescent="0.3">
      <c r="A7285" s="6"/>
    </row>
    <row r="7286" spans="1:1" x14ac:dyDescent="0.3">
      <c r="A7286" s="6"/>
    </row>
    <row r="7287" spans="1:1" x14ac:dyDescent="0.3">
      <c r="A7287" s="6"/>
    </row>
    <row r="7288" spans="1:1" x14ac:dyDescent="0.3">
      <c r="A7288" s="6"/>
    </row>
    <row r="7289" spans="1:1" x14ac:dyDescent="0.3">
      <c r="A7289" s="6"/>
    </row>
    <row r="7290" spans="1:1" x14ac:dyDescent="0.3">
      <c r="A7290" s="6"/>
    </row>
    <row r="7291" spans="1:1" x14ac:dyDescent="0.3">
      <c r="A7291" s="6"/>
    </row>
    <row r="7292" spans="1:1" x14ac:dyDescent="0.3">
      <c r="A7292" s="6"/>
    </row>
    <row r="7293" spans="1:1" x14ac:dyDescent="0.3">
      <c r="A7293" s="6"/>
    </row>
    <row r="7294" spans="1:1" x14ac:dyDescent="0.3">
      <c r="A7294" s="6"/>
    </row>
    <row r="7295" spans="1:1" x14ac:dyDescent="0.3">
      <c r="A7295" s="6"/>
    </row>
    <row r="7296" spans="1:1" x14ac:dyDescent="0.3">
      <c r="A7296" s="6"/>
    </row>
    <row r="7297" spans="1:1" x14ac:dyDescent="0.3">
      <c r="A7297" s="6"/>
    </row>
    <row r="7298" spans="1:1" x14ac:dyDescent="0.3">
      <c r="A7298" s="6"/>
    </row>
    <row r="7299" spans="1:1" x14ac:dyDescent="0.3">
      <c r="A7299" s="6"/>
    </row>
    <row r="7300" spans="1:1" x14ac:dyDescent="0.3">
      <c r="A7300" s="6"/>
    </row>
    <row r="7301" spans="1:1" x14ac:dyDescent="0.3">
      <c r="A7301" s="6"/>
    </row>
    <row r="7302" spans="1:1" x14ac:dyDescent="0.3">
      <c r="A7302" s="6"/>
    </row>
    <row r="7303" spans="1:1" x14ac:dyDescent="0.3">
      <c r="A7303" s="6"/>
    </row>
    <row r="7304" spans="1:1" x14ac:dyDescent="0.3">
      <c r="A7304" s="6"/>
    </row>
    <row r="7305" spans="1:1" x14ac:dyDescent="0.3">
      <c r="A7305" s="6"/>
    </row>
    <row r="7306" spans="1:1" x14ac:dyDescent="0.3">
      <c r="A7306" s="6"/>
    </row>
    <row r="7307" spans="1:1" x14ac:dyDescent="0.3">
      <c r="A7307" s="6"/>
    </row>
    <row r="7308" spans="1:1" x14ac:dyDescent="0.3">
      <c r="A7308" s="6"/>
    </row>
    <row r="7309" spans="1:1" x14ac:dyDescent="0.3">
      <c r="A7309" s="6"/>
    </row>
    <row r="7310" spans="1:1" x14ac:dyDescent="0.3">
      <c r="A7310" s="6"/>
    </row>
    <row r="7311" spans="1:1" x14ac:dyDescent="0.3">
      <c r="A7311" s="6"/>
    </row>
    <row r="7312" spans="1:1" x14ac:dyDescent="0.3">
      <c r="A7312" s="6"/>
    </row>
    <row r="7313" spans="1:1" x14ac:dyDescent="0.3">
      <c r="A7313" s="6"/>
    </row>
    <row r="7314" spans="1:1" x14ac:dyDescent="0.3">
      <c r="A7314" s="6"/>
    </row>
    <row r="7315" spans="1:1" x14ac:dyDescent="0.3">
      <c r="A7315" s="6"/>
    </row>
    <row r="7316" spans="1:1" x14ac:dyDescent="0.3">
      <c r="A7316" s="6"/>
    </row>
    <row r="7317" spans="1:1" x14ac:dyDescent="0.3">
      <c r="A7317" s="6"/>
    </row>
    <row r="7318" spans="1:1" x14ac:dyDescent="0.3">
      <c r="A7318" s="6"/>
    </row>
    <row r="7319" spans="1:1" x14ac:dyDescent="0.3">
      <c r="A7319" s="6"/>
    </row>
    <row r="7320" spans="1:1" x14ac:dyDescent="0.3">
      <c r="A7320" s="6"/>
    </row>
    <row r="7321" spans="1:1" x14ac:dyDescent="0.3">
      <c r="A7321" s="6"/>
    </row>
    <row r="7322" spans="1:1" x14ac:dyDescent="0.3">
      <c r="A7322" s="6"/>
    </row>
    <row r="7323" spans="1:1" x14ac:dyDescent="0.3">
      <c r="A7323" s="6"/>
    </row>
    <row r="7324" spans="1:1" x14ac:dyDescent="0.3">
      <c r="A7324" s="6"/>
    </row>
    <row r="7325" spans="1:1" x14ac:dyDescent="0.3">
      <c r="A7325" s="6"/>
    </row>
    <row r="7326" spans="1:1" x14ac:dyDescent="0.3">
      <c r="A7326" s="6"/>
    </row>
    <row r="7327" spans="1:1" x14ac:dyDescent="0.3">
      <c r="A7327" s="6"/>
    </row>
    <row r="7328" spans="1:1" x14ac:dyDescent="0.3">
      <c r="A7328" s="6"/>
    </row>
    <row r="7329" spans="1:1" x14ac:dyDescent="0.3">
      <c r="A7329" s="6"/>
    </row>
    <row r="7330" spans="1:1" x14ac:dyDescent="0.3">
      <c r="A7330" s="6"/>
    </row>
    <row r="7331" spans="1:1" x14ac:dyDescent="0.3">
      <c r="A7331" s="6"/>
    </row>
    <row r="7332" spans="1:1" x14ac:dyDescent="0.3">
      <c r="A7332" s="6"/>
    </row>
    <row r="7333" spans="1:1" x14ac:dyDescent="0.3">
      <c r="A7333" s="6"/>
    </row>
    <row r="7334" spans="1:1" x14ac:dyDescent="0.3">
      <c r="A7334" s="6"/>
    </row>
    <row r="7335" spans="1:1" x14ac:dyDescent="0.3">
      <c r="A7335" s="6"/>
    </row>
    <row r="7336" spans="1:1" x14ac:dyDescent="0.3">
      <c r="A7336" s="6"/>
    </row>
    <row r="7337" spans="1:1" x14ac:dyDescent="0.3">
      <c r="A7337" s="6"/>
    </row>
    <row r="7338" spans="1:1" x14ac:dyDescent="0.3">
      <c r="A7338" s="6"/>
    </row>
    <row r="7339" spans="1:1" x14ac:dyDescent="0.3">
      <c r="A7339" s="6"/>
    </row>
    <row r="7340" spans="1:1" x14ac:dyDescent="0.3">
      <c r="A7340" s="6"/>
    </row>
    <row r="7341" spans="1:1" x14ac:dyDescent="0.3">
      <c r="A7341" s="6"/>
    </row>
    <row r="7342" spans="1:1" x14ac:dyDescent="0.3">
      <c r="A7342" s="6"/>
    </row>
    <row r="7343" spans="1:1" x14ac:dyDescent="0.3">
      <c r="A7343" s="6"/>
    </row>
    <row r="7344" spans="1:1" x14ac:dyDescent="0.3">
      <c r="A7344" s="6"/>
    </row>
    <row r="7345" spans="1:1" x14ac:dyDescent="0.3">
      <c r="A7345" s="6"/>
    </row>
    <row r="7346" spans="1:1" x14ac:dyDescent="0.3">
      <c r="A7346" s="6"/>
    </row>
    <row r="7347" spans="1:1" x14ac:dyDescent="0.3">
      <c r="A7347" s="6"/>
    </row>
    <row r="7348" spans="1:1" x14ac:dyDescent="0.3">
      <c r="A7348" s="6"/>
    </row>
    <row r="7349" spans="1:1" x14ac:dyDescent="0.3">
      <c r="A7349" s="6"/>
    </row>
    <row r="7350" spans="1:1" x14ac:dyDescent="0.3">
      <c r="A7350" s="6"/>
    </row>
    <row r="7351" spans="1:1" x14ac:dyDescent="0.3">
      <c r="A7351" s="6"/>
    </row>
    <row r="7352" spans="1:1" x14ac:dyDescent="0.3">
      <c r="A7352" s="6"/>
    </row>
    <row r="7353" spans="1:1" x14ac:dyDescent="0.3">
      <c r="A7353" s="6"/>
    </row>
    <row r="7354" spans="1:1" x14ac:dyDescent="0.3">
      <c r="A7354" s="6"/>
    </row>
    <row r="7355" spans="1:1" x14ac:dyDescent="0.3">
      <c r="A7355" s="6"/>
    </row>
    <row r="7356" spans="1:1" x14ac:dyDescent="0.3">
      <c r="A7356" s="6"/>
    </row>
    <row r="7357" spans="1:1" x14ac:dyDescent="0.3">
      <c r="A7357" s="6"/>
    </row>
    <row r="7358" spans="1:1" x14ac:dyDescent="0.3">
      <c r="A7358" s="6"/>
    </row>
    <row r="7359" spans="1:1" x14ac:dyDescent="0.3">
      <c r="A7359" s="6"/>
    </row>
    <row r="7360" spans="1:1" x14ac:dyDescent="0.3">
      <c r="A7360" s="6"/>
    </row>
    <row r="7361" spans="1:1" x14ac:dyDescent="0.3">
      <c r="A7361" s="6"/>
    </row>
    <row r="7362" spans="1:1" x14ac:dyDescent="0.3">
      <c r="A7362" s="6"/>
    </row>
    <row r="7363" spans="1:1" x14ac:dyDescent="0.3">
      <c r="A7363" s="6"/>
    </row>
    <row r="7364" spans="1:1" x14ac:dyDescent="0.3">
      <c r="A7364" s="6"/>
    </row>
    <row r="7365" spans="1:1" x14ac:dyDescent="0.3">
      <c r="A7365" s="6"/>
    </row>
    <row r="7366" spans="1:1" x14ac:dyDescent="0.3">
      <c r="A7366" s="6"/>
    </row>
    <row r="7367" spans="1:1" x14ac:dyDescent="0.3">
      <c r="A7367" s="6"/>
    </row>
    <row r="7368" spans="1:1" x14ac:dyDescent="0.3">
      <c r="A7368" s="6"/>
    </row>
    <row r="7369" spans="1:1" x14ac:dyDescent="0.3">
      <c r="A7369" s="6"/>
    </row>
    <row r="7370" spans="1:1" x14ac:dyDescent="0.3">
      <c r="A7370" s="6"/>
    </row>
    <row r="7371" spans="1:1" x14ac:dyDescent="0.3">
      <c r="A7371" s="6"/>
    </row>
    <row r="7372" spans="1:1" x14ac:dyDescent="0.3">
      <c r="A7372" s="6"/>
    </row>
    <row r="7373" spans="1:1" x14ac:dyDescent="0.3">
      <c r="A7373" s="6"/>
    </row>
    <row r="7374" spans="1:1" x14ac:dyDescent="0.3">
      <c r="A7374" s="6"/>
    </row>
    <row r="7375" spans="1:1" x14ac:dyDescent="0.3">
      <c r="A7375" s="6"/>
    </row>
    <row r="7376" spans="1:1" x14ac:dyDescent="0.3">
      <c r="A7376" s="6"/>
    </row>
    <row r="7377" spans="1:1" x14ac:dyDescent="0.3">
      <c r="A7377" s="6"/>
    </row>
    <row r="7378" spans="1:1" x14ac:dyDescent="0.3">
      <c r="A7378" s="6"/>
    </row>
    <row r="7379" spans="1:1" x14ac:dyDescent="0.3">
      <c r="A7379" s="6"/>
    </row>
    <row r="7380" spans="1:1" x14ac:dyDescent="0.3">
      <c r="A7380" s="6"/>
    </row>
    <row r="7381" spans="1:1" x14ac:dyDescent="0.3">
      <c r="A7381" s="6"/>
    </row>
    <row r="7382" spans="1:1" x14ac:dyDescent="0.3">
      <c r="A7382" s="6"/>
    </row>
    <row r="7383" spans="1:1" x14ac:dyDescent="0.3">
      <c r="A7383" s="6"/>
    </row>
    <row r="7384" spans="1:1" x14ac:dyDescent="0.3">
      <c r="A7384" s="6"/>
    </row>
    <row r="7385" spans="1:1" x14ac:dyDescent="0.3">
      <c r="A7385" s="6"/>
    </row>
    <row r="7386" spans="1:1" x14ac:dyDescent="0.3">
      <c r="A7386" s="6"/>
    </row>
    <row r="7387" spans="1:1" x14ac:dyDescent="0.3">
      <c r="A7387" s="6"/>
    </row>
    <row r="7388" spans="1:1" x14ac:dyDescent="0.3">
      <c r="A7388" s="6"/>
    </row>
    <row r="7389" spans="1:1" x14ac:dyDescent="0.3">
      <c r="A7389" s="6"/>
    </row>
    <row r="7390" spans="1:1" x14ac:dyDescent="0.3">
      <c r="A7390" s="6"/>
    </row>
    <row r="7391" spans="1:1" x14ac:dyDescent="0.3">
      <c r="A7391" s="6"/>
    </row>
    <row r="7392" spans="1:1" x14ac:dyDescent="0.3">
      <c r="A7392" s="6"/>
    </row>
    <row r="7393" spans="1:1" x14ac:dyDescent="0.3">
      <c r="A7393" s="6"/>
    </row>
    <row r="7394" spans="1:1" x14ac:dyDescent="0.3">
      <c r="A7394" s="6"/>
    </row>
    <row r="7395" spans="1:1" x14ac:dyDescent="0.3">
      <c r="A7395" s="6"/>
    </row>
    <row r="7396" spans="1:1" x14ac:dyDescent="0.3">
      <c r="A7396" s="6"/>
    </row>
    <row r="7397" spans="1:1" x14ac:dyDescent="0.3">
      <c r="A7397" s="6"/>
    </row>
    <row r="7398" spans="1:1" x14ac:dyDescent="0.3">
      <c r="A7398" s="6"/>
    </row>
    <row r="7399" spans="1:1" x14ac:dyDescent="0.3">
      <c r="A7399" s="6"/>
    </row>
    <row r="7400" spans="1:1" x14ac:dyDescent="0.3">
      <c r="A7400" s="6"/>
    </row>
    <row r="7401" spans="1:1" x14ac:dyDescent="0.3">
      <c r="A7401" s="6"/>
    </row>
    <row r="7402" spans="1:1" x14ac:dyDescent="0.3">
      <c r="A7402" s="6"/>
    </row>
    <row r="7403" spans="1:1" x14ac:dyDescent="0.3">
      <c r="A7403" s="6"/>
    </row>
    <row r="7404" spans="1:1" x14ac:dyDescent="0.3">
      <c r="A7404" s="6"/>
    </row>
    <row r="7405" spans="1:1" x14ac:dyDescent="0.3">
      <c r="A7405" s="6"/>
    </row>
    <row r="7406" spans="1:1" x14ac:dyDescent="0.3">
      <c r="A7406" s="6"/>
    </row>
    <row r="7407" spans="1:1" x14ac:dyDescent="0.3">
      <c r="A7407" s="6"/>
    </row>
    <row r="7408" spans="1:1" x14ac:dyDescent="0.3">
      <c r="A7408" s="6"/>
    </row>
    <row r="7409" spans="1:1" x14ac:dyDescent="0.3">
      <c r="A7409" s="6"/>
    </row>
    <row r="7410" spans="1:1" x14ac:dyDescent="0.3">
      <c r="A7410" s="6"/>
    </row>
    <row r="7411" spans="1:1" x14ac:dyDescent="0.3">
      <c r="A7411" s="6"/>
    </row>
    <row r="7412" spans="1:1" x14ac:dyDescent="0.3">
      <c r="A7412" s="6"/>
    </row>
    <row r="7413" spans="1:1" x14ac:dyDescent="0.3">
      <c r="A7413" s="6"/>
    </row>
    <row r="7414" spans="1:1" x14ac:dyDescent="0.3">
      <c r="A7414" s="6"/>
    </row>
    <row r="7415" spans="1:1" x14ac:dyDescent="0.3">
      <c r="A7415" s="6"/>
    </row>
    <row r="7416" spans="1:1" x14ac:dyDescent="0.3">
      <c r="A7416" s="6"/>
    </row>
    <row r="7417" spans="1:1" x14ac:dyDescent="0.3">
      <c r="A7417" s="6"/>
    </row>
    <row r="7418" spans="1:1" x14ac:dyDescent="0.3">
      <c r="A7418" s="6"/>
    </row>
    <row r="7419" spans="1:1" x14ac:dyDescent="0.3">
      <c r="A7419" s="6"/>
    </row>
    <row r="7420" spans="1:1" x14ac:dyDescent="0.3">
      <c r="A7420" s="6"/>
    </row>
    <row r="7421" spans="1:1" x14ac:dyDescent="0.3">
      <c r="A7421" s="6"/>
    </row>
    <row r="7422" spans="1:1" x14ac:dyDescent="0.3">
      <c r="A7422" s="6"/>
    </row>
    <row r="7423" spans="1:1" x14ac:dyDescent="0.3">
      <c r="A7423" s="6"/>
    </row>
    <row r="7424" spans="1:1" x14ac:dyDescent="0.3">
      <c r="A7424" s="6"/>
    </row>
    <row r="7425" spans="1:1" x14ac:dyDescent="0.3">
      <c r="A7425" s="6"/>
    </row>
    <row r="7426" spans="1:1" x14ac:dyDescent="0.3">
      <c r="A7426" s="6"/>
    </row>
    <row r="7427" spans="1:1" x14ac:dyDescent="0.3">
      <c r="A7427" s="6"/>
    </row>
    <row r="7428" spans="1:1" x14ac:dyDescent="0.3">
      <c r="A7428" s="6"/>
    </row>
    <row r="7429" spans="1:1" x14ac:dyDescent="0.3">
      <c r="A7429" s="6"/>
    </row>
    <row r="7430" spans="1:1" x14ac:dyDescent="0.3">
      <c r="A7430" s="6"/>
    </row>
    <row r="7431" spans="1:1" x14ac:dyDescent="0.3">
      <c r="A7431" s="6"/>
    </row>
    <row r="7432" spans="1:1" x14ac:dyDescent="0.3">
      <c r="A7432" s="6"/>
    </row>
    <row r="7433" spans="1:1" x14ac:dyDescent="0.3">
      <c r="A7433" s="6"/>
    </row>
    <row r="7434" spans="1:1" x14ac:dyDescent="0.3">
      <c r="A7434" s="6"/>
    </row>
    <row r="7435" spans="1:1" x14ac:dyDescent="0.3">
      <c r="A7435" s="6"/>
    </row>
    <row r="7436" spans="1:1" x14ac:dyDescent="0.3">
      <c r="A7436" s="6"/>
    </row>
    <row r="7437" spans="1:1" x14ac:dyDescent="0.3">
      <c r="A7437" s="6"/>
    </row>
    <row r="7438" spans="1:1" x14ac:dyDescent="0.3">
      <c r="A7438" s="6"/>
    </row>
    <row r="7439" spans="1:1" x14ac:dyDescent="0.3">
      <c r="A7439" s="6"/>
    </row>
    <row r="7440" spans="1:1" x14ac:dyDescent="0.3">
      <c r="A7440" s="6"/>
    </row>
    <row r="7441" spans="1:1" x14ac:dyDescent="0.3">
      <c r="A7441" s="6"/>
    </row>
    <row r="7442" spans="1:1" x14ac:dyDescent="0.3">
      <c r="A7442" s="6"/>
    </row>
    <row r="7443" spans="1:1" x14ac:dyDescent="0.3">
      <c r="A7443" s="6"/>
    </row>
    <row r="7444" spans="1:1" x14ac:dyDescent="0.3">
      <c r="A7444" s="6"/>
    </row>
    <row r="7445" spans="1:1" x14ac:dyDescent="0.3">
      <c r="A7445" s="6"/>
    </row>
    <row r="7446" spans="1:1" x14ac:dyDescent="0.3">
      <c r="A7446" s="6"/>
    </row>
    <row r="7447" spans="1:1" x14ac:dyDescent="0.3">
      <c r="A7447" s="6"/>
    </row>
    <row r="7448" spans="1:1" x14ac:dyDescent="0.3">
      <c r="A7448" s="6"/>
    </row>
    <row r="7449" spans="1:1" x14ac:dyDescent="0.3">
      <c r="A7449" s="6"/>
    </row>
    <row r="7450" spans="1:1" x14ac:dyDescent="0.3">
      <c r="A7450" s="6"/>
    </row>
    <row r="7451" spans="1:1" x14ac:dyDescent="0.3">
      <c r="A7451" s="6"/>
    </row>
    <row r="7452" spans="1:1" x14ac:dyDescent="0.3">
      <c r="A7452" s="6"/>
    </row>
    <row r="7453" spans="1:1" x14ac:dyDescent="0.3">
      <c r="A7453" s="6"/>
    </row>
    <row r="7454" spans="1:1" x14ac:dyDescent="0.3">
      <c r="A7454" s="6"/>
    </row>
    <row r="7455" spans="1:1" x14ac:dyDescent="0.3">
      <c r="A7455" s="6"/>
    </row>
    <row r="7456" spans="1:1" x14ac:dyDescent="0.3">
      <c r="A7456" s="6"/>
    </row>
    <row r="7457" spans="1:1" x14ac:dyDescent="0.3">
      <c r="A7457" s="6"/>
    </row>
    <row r="7458" spans="1:1" x14ac:dyDescent="0.3">
      <c r="A7458" s="6"/>
    </row>
    <row r="7459" spans="1:1" x14ac:dyDescent="0.3">
      <c r="A7459" s="6"/>
    </row>
    <row r="7460" spans="1:1" x14ac:dyDescent="0.3">
      <c r="A7460" s="6"/>
    </row>
    <row r="7461" spans="1:1" x14ac:dyDescent="0.3">
      <c r="A7461" s="6"/>
    </row>
    <row r="7462" spans="1:1" x14ac:dyDescent="0.3">
      <c r="A7462" s="6"/>
    </row>
    <row r="7463" spans="1:1" x14ac:dyDescent="0.3">
      <c r="A7463" s="6"/>
    </row>
    <row r="7464" spans="1:1" x14ac:dyDescent="0.3">
      <c r="A7464" s="6"/>
    </row>
    <row r="7465" spans="1:1" x14ac:dyDescent="0.3">
      <c r="A7465" s="6"/>
    </row>
    <row r="7466" spans="1:1" x14ac:dyDescent="0.3">
      <c r="A7466" s="6"/>
    </row>
    <row r="7467" spans="1:1" x14ac:dyDescent="0.3">
      <c r="A7467" s="6"/>
    </row>
    <row r="7468" spans="1:1" x14ac:dyDescent="0.3">
      <c r="A7468" s="6"/>
    </row>
    <row r="7469" spans="1:1" x14ac:dyDescent="0.3">
      <c r="A7469" s="6"/>
    </row>
    <row r="7470" spans="1:1" x14ac:dyDescent="0.3">
      <c r="A7470" s="6"/>
    </row>
    <row r="7471" spans="1:1" x14ac:dyDescent="0.3">
      <c r="A7471" s="6"/>
    </row>
    <row r="7472" spans="1:1" x14ac:dyDescent="0.3">
      <c r="A7472" s="6"/>
    </row>
    <row r="7473" spans="1:1" x14ac:dyDescent="0.3">
      <c r="A7473" s="6"/>
    </row>
    <row r="7474" spans="1:1" x14ac:dyDescent="0.3">
      <c r="A7474" s="6"/>
    </row>
    <row r="7475" spans="1:1" x14ac:dyDescent="0.3">
      <c r="A7475" s="6"/>
    </row>
    <row r="7476" spans="1:1" x14ac:dyDescent="0.3">
      <c r="A7476" s="6"/>
    </row>
    <row r="7477" spans="1:1" x14ac:dyDescent="0.3">
      <c r="A7477" s="6"/>
    </row>
    <row r="7478" spans="1:1" x14ac:dyDescent="0.3">
      <c r="A7478" s="6"/>
    </row>
    <row r="7479" spans="1:1" x14ac:dyDescent="0.3">
      <c r="A7479" s="6"/>
    </row>
    <row r="7480" spans="1:1" x14ac:dyDescent="0.3">
      <c r="A7480" s="6"/>
    </row>
    <row r="7481" spans="1:1" x14ac:dyDescent="0.3">
      <c r="A7481" s="6"/>
    </row>
    <row r="7482" spans="1:1" x14ac:dyDescent="0.3">
      <c r="A7482" s="6"/>
    </row>
    <row r="7483" spans="1:1" x14ac:dyDescent="0.3">
      <c r="A7483" s="6"/>
    </row>
    <row r="7484" spans="1:1" x14ac:dyDescent="0.3">
      <c r="A7484" s="6"/>
    </row>
    <row r="7485" spans="1:1" x14ac:dyDescent="0.3">
      <c r="A7485" s="6"/>
    </row>
    <row r="7486" spans="1:1" x14ac:dyDescent="0.3">
      <c r="A7486" s="6"/>
    </row>
    <row r="7487" spans="1:1" x14ac:dyDescent="0.3">
      <c r="A7487" s="6"/>
    </row>
    <row r="7488" spans="1:1" x14ac:dyDescent="0.3">
      <c r="A7488" s="6"/>
    </row>
    <row r="7489" spans="1:1" x14ac:dyDescent="0.3">
      <c r="A7489" s="6"/>
    </row>
    <row r="7490" spans="1:1" x14ac:dyDescent="0.3">
      <c r="A7490" s="6"/>
    </row>
    <row r="7491" spans="1:1" x14ac:dyDescent="0.3">
      <c r="A7491" s="6"/>
    </row>
    <row r="7492" spans="1:1" x14ac:dyDescent="0.3">
      <c r="A7492" s="6"/>
    </row>
    <row r="7493" spans="1:1" x14ac:dyDescent="0.3">
      <c r="A7493" s="6"/>
    </row>
    <row r="7494" spans="1:1" x14ac:dyDescent="0.3">
      <c r="A7494" s="6"/>
    </row>
    <row r="7495" spans="1:1" x14ac:dyDescent="0.3">
      <c r="A7495" s="6"/>
    </row>
    <row r="7496" spans="1:1" x14ac:dyDescent="0.3">
      <c r="A7496" s="6"/>
    </row>
    <row r="7497" spans="1:1" x14ac:dyDescent="0.3">
      <c r="A7497" s="6"/>
    </row>
    <row r="7498" spans="1:1" x14ac:dyDescent="0.3">
      <c r="A7498" s="6"/>
    </row>
    <row r="7499" spans="1:1" x14ac:dyDescent="0.3">
      <c r="A7499" s="6"/>
    </row>
    <row r="7500" spans="1:1" x14ac:dyDescent="0.3">
      <c r="A7500" s="6"/>
    </row>
    <row r="7501" spans="1:1" x14ac:dyDescent="0.3">
      <c r="A7501" s="6"/>
    </row>
    <row r="7502" spans="1:1" x14ac:dyDescent="0.3">
      <c r="A7502" s="6"/>
    </row>
    <row r="7503" spans="1:1" x14ac:dyDescent="0.3">
      <c r="A7503" s="6"/>
    </row>
    <row r="7504" spans="1:1" x14ac:dyDescent="0.3">
      <c r="A7504" s="6"/>
    </row>
    <row r="7505" spans="1:1" x14ac:dyDescent="0.3">
      <c r="A7505" s="6"/>
    </row>
    <row r="7506" spans="1:1" x14ac:dyDescent="0.3">
      <c r="A7506" s="6"/>
    </row>
    <row r="7507" spans="1:1" x14ac:dyDescent="0.3">
      <c r="A7507" s="6"/>
    </row>
    <row r="7508" spans="1:1" x14ac:dyDescent="0.3">
      <c r="A7508" s="6"/>
    </row>
    <row r="7509" spans="1:1" x14ac:dyDescent="0.3">
      <c r="A7509" s="6"/>
    </row>
    <row r="7510" spans="1:1" x14ac:dyDescent="0.3">
      <c r="A7510" s="6"/>
    </row>
    <row r="7511" spans="1:1" x14ac:dyDescent="0.3">
      <c r="A7511" s="6"/>
    </row>
    <row r="7512" spans="1:1" x14ac:dyDescent="0.3">
      <c r="A7512" s="6"/>
    </row>
    <row r="7513" spans="1:1" x14ac:dyDescent="0.3">
      <c r="A7513" s="6"/>
    </row>
    <row r="7514" spans="1:1" x14ac:dyDescent="0.3">
      <c r="A7514" s="6"/>
    </row>
    <row r="7515" spans="1:1" x14ac:dyDescent="0.3">
      <c r="A7515" s="6"/>
    </row>
    <row r="7516" spans="1:1" x14ac:dyDescent="0.3">
      <c r="A7516" s="6"/>
    </row>
    <row r="7517" spans="1:1" x14ac:dyDescent="0.3">
      <c r="A7517" s="6"/>
    </row>
    <row r="7518" spans="1:1" x14ac:dyDescent="0.3">
      <c r="A7518" s="6"/>
    </row>
    <row r="7519" spans="1:1" x14ac:dyDescent="0.3">
      <c r="A7519" s="6"/>
    </row>
    <row r="7520" spans="1:1" x14ac:dyDescent="0.3">
      <c r="A7520" s="6"/>
    </row>
    <row r="7521" spans="1:1" x14ac:dyDescent="0.3">
      <c r="A7521" s="6"/>
    </row>
    <row r="7522" spans="1:1" x14ac:dyDescent="0.3">
      <c r="A7522" s="6"/>
    </row>
    <row r="7523" spans="1:1" x14ac:dyDescent="0.3">
      <c r="A7523" s="6"/>
    </row>
    <row r="7524" spans="1:1" x14ac:dyDescent="0.3">
      <c r="A7524" s="6"/>
    </row>
    <row r="7525" spans="1:1" x14ac:dyDescent="0.3">
      <c r="A7525" s="6"/>
    </row>
    <row r="7526" spans="1:1" x14ac:dyDescent="0.3">
      <c r="A7526" s="6"/>
    </row>
    <row r="7527" spans="1:1" x14ac:dyDescent="0.3">
      <c r="A7527" s="6"/>
    </row>
    <row r="7528" spans="1:1" x14ac:dyDescent="0.3">
      <c r="A7528" s="6"/>
    </row>
    <row r="7529" spans="1:1" x14ac:dyDescent="0.3">
      <c r="A7529" s="6"/>
    </row>
    <row r="7530" spans="1:1" x14ac:dyDescent="0.3">
      <c r="A7530" s="6"/>
    </row>
    <row r="7531" spans="1:1" x14ac:dyDescent="0.3">
      <c r="A7531" s="6"/>
    </row>
    <row r="7532" spans="1:1" x14ac:dyDescent="0.3">
      <c r="A7532" s="6"/>
    </row>
    <row r="7533" spans="1:1" x14ac:dyDescent="0.3">
      <c r="A7533" s="6"/>
    </row>
    <row r="7534" spans="1:1" x14ac:dyDescent="0.3">
      <c r="A7534" s="6"/>
    </row>
    <row r="7535" spans="1:1" x14ac:dyDescent="0.3">
      <c r="A7535" s="6"/>
    </row>
    <row r="7536" spans="1:1" x14ac:dyDescent="0.3">
      <c r="A7536" s="6"/>
    </row>
    <row r="7537" spans="1:1" x14ac:dyDescent="0.3">
      <c r="A7537" s="6"/>
    </row>
    <row r="7538" spans="1:1" x14ac:dyDescent="0.3">
      <c r="A7538" s="6"/>
    </row>
    <row r="7539" spans="1:1" x14ac:dyDescent="0.3">
      <c r="A7539" s="6"/>
    </row>
    <row r="7540" spans="1:1" x14ac:dyDescent="0.3">
      <c r="A7540" s="6"/>
    </row>
    <row r="7541" spans="1:1" x14ac:dyDescent="0.3">
      <c r="A7541" s="6"/>
    </row>
    <row r="7542" spans="1:1" x14ac:dyDescent="0.3">
      <c r="A7542" s="6"/>
    </row>
    <row r="7543" spans="1:1" x14ac:dyDescent="0.3">
      <c r="A7543" s="6"/>
    </row>
    <row r="7544" spans="1:1" x14ac:dyDescent="0.3">
      <c r="A7544" s="6"/>
    </row>
    <row r="7545" spans="1:1" x14ac:dyDescent="0.3">
      <c r="A7545" s="6"/>
    </row>
    <row r="7546" spans="1:1" x14ac:dyDescent="0.3">
      <c r="A7546" s="6"/>
    </row>
    <row r="7547" spans="1:1" x14ac:dyDescent="0.3">
      <c r="A7547" s="6"/>
    </row>
    <row r="7548" spans="1:1" x14ac:dyDescent="0.3">
      <c r="A7548" s="6"/>
    </row>
    <row r="7549" spans="1:1" x14ac:dyDescent="0.3">
      <c r="A7549" s="6"/>
    </row>
    <row r="7550" spans="1:1" x14ac:dyDescent="0.3">
      <c r="A7550" s="6"/>
    </row>
    <row r="7551" spans="1:1" x14ac:dyDescent="0.3">
      <c r="A7551" s="6"/>
    </row>
    <row r="7552" spans="1:1" x14ac:dyDescent="0.3">
      <c r="A7552" s="6"/>
    </row>
    <row r="7553" spans="1:1" x14ac:dyDescent="0.3">
      <c r="A7553" s="6"/>
    </row>
    <row r="7554" spans="1:1" x14ac:dyDescent="0.3">
      <c r="A7554" s="6"/>
    </row>
    <row r="7555" spans="1:1" x14ac:dyDescent="0.3">
      <c r="A7555" s="6"/>
    </row>
    <row r="7556" spans="1:1" x14ac:dyDescent="0.3">
      <c r="A7556" s="6"/>
    </row>
    <row r="7557" spans="1:1" x14ac:dyDescent="0.3">
      <c r="A7557" s="6"/>
    </row>
    <row r="7558" spans="1:1" x14ac:dyDescent="0.3">
      <c r="A7558" s="6"/>
    </row>
    <row r="7559" spans="1:1" x14ac:dyDescent="0.3">
      <c r="A7559" s="6"/>
    </row>
    <row r="7560" spans="1:1" x14ac:dyDescent="0.3">
      <c r="A7560" s="6"/>
    </row>
    <row r="7561" spans="1:1" x14ac:dyDescent="0.3">
      <c r="A7561" s="6"/>
    </row>
    <row r="7562" spans="1:1" x14ac:dyDescent="0.3">
      <c r="A7562" s="6"/>
    </row>
    <row r="7563" spans="1:1" x14ac:dyDescent="0.3">
      <c r="A7563" s="6"/>
    </row>
    <row r="7564" spans="1:1" x14ac:dyDescent="0.3">
      <c r="A7564" s="6"/>
    </row>
    <row r="7565" spans="1:1" x14ac:dyDescent="0.3">
      <c r="A7565" s="6"/>
    </row>
    <row r="7566" spans="1:1" x14ac:dyDescent="0.3">
      <c r="A7566" s="6"/>
    </row>
    <row r="7567" spans="1:1" x14ac:dyDescent="0.3">
      <c r="A7567" s="6"/>
    </row>
    <row r="7568" spans="1:1" x14ac:dyDescent="0.3">
      <c r="A7568" s="6"/>
    </row>
    <row r="7569" spans="1:1" x14ac:dyDescent="0.3">
      <c r="A7569" s="6"/>
    </row>
    <row r="7570" spans="1:1" x14ac:dyDescent="0.3">
      <c r="A7570" s="6"/>
    </row>
    <row r="7571" spans="1:1" x14ac:dyDescent="0.3">
      <c r="A7571" s="6"/>
    </row>
    <row r="7572" spans="1:1" x14ac:dyDescent="0.3">
      <c r="A7572" s="6"/>
    </row>
    <row r="7573" spans="1:1" x14ac:dyDescent="0.3">
      <c r="A7573" s="6"/>
    </row>
    <row r="7574" spans="1:1" x14ac:dyDescent="0.3">
      <c r="A7574" s="6"/>
    </row>
    <row r="7575" spans="1:1" x14ac:dyDescent="0.3">
      <c r="A7575" s="6"/>
    </row>
    <row r="7576" spans="1:1" x14ac:dyDescent="0.3">
      <c r="A7576" s="6"/>
    </row>
    <row r="7577" spans="1:1" x14ac:dyDescent="0.3">
      <c r="A7577" s="6"/>
    </row>
    <row r="7578" spans="1:1" x14ac:dyDescent="0.3">
      <c r="A7578" s="6"/>
    </row>
    <row r="7579" spans="1:1" x14ac:dyDescent="0.3">
      <c r="A7579" s="6"/>
    </row>
    <row r="7580" spans="1:1" x14ac:dyDescent="0.3">
      <c r="A7580" s="6"/>
    </row>
    <row r="7581" spans="1:1" x14ac:dyDescent="0.3">
      <c r="A7581" s="6"/>
    </row>
    <row r="7582" spans="1:1" x14ac:dyDescent="0.3">
      <c r="A7582" s="6"/>
    </row>
    <row r="7583" spans="1:1" x14ac:dyDescent="0.3">
      <c r="A7583" s="6"/>
    </row>
    <row r="7584" spans="1:1" x14ac:dyDescent="0.3">
      <c r="A7584" s="6"/>
    </row>
    <row r="7585" spans="1:1" x14ac:dyDescent="0.3">
      <c r="A7585" s="6"/>
    </row>
    <row r="7586" spans="1:1" x14ac:dyDescent="0.3">
      <c r="A7586" s="6"/>
    </row>
    <row r="7587" spans="1:1" x14ac:dyDescent="0.3">
      <c r="A7587" s="6"/>
    </row>
    <row r="7588" spans="1:1" x14ac:dyDescent="0.3">
      <c r="A7588" s="6"/>
    </row>
    <row r="7589" spans="1:1" x14ac:dyDescent="0.3">
      <c r="A7589" s="6"/>
    </row>
    <row r="7590" spans="1:1" x14ac:dyDescent="0.3">
      <c r="A7590" s="6"/>
    </row>
    <row r="7591" spans="1:1" x14ac:dyDescent="0.3">
      <c r="A7591" s="6"/>
    </row>
    <row r="7592" spans="1:1" x14ac:dyDescent="0.3">
      <c r="A7592" s="6"/>
    </row>
    <row r="7593" spans="1:1" x14ac:dyDescent="0.3">
      <c r="A7593" s="6"/>
    </row>
    <row r="7594" spans="1:1" x14ac:dyDescent="0.3">
      <c r="A7594" s="6"/>
    </row>
    <row r="7595" spans="1:1" x14ac:dyDescent="0.3">
      <c r="A7595" s="6"/>
    </row>
    <row r="7596" spans="1:1" x14ac:dyDescent="0.3">
      <c r="A7596" s="6"/>
    </row>
    <row r="7597" spans="1:1" x14ac:dyDescent="0.3">
      <c r="A7597" s="6"/>
    </row>
    <row r="7598" spans="1:1" x14ac:dyDescent="0.3">
      <c r="A7598" s="6"/>
    </row>
    <row r="7599" spans="1:1" x14ac:dyDescent="0.3">
      <c r="A7599" s="6"/>
    </row>
    <row r="7600" spans="1:1" x14ac:dyDescent="0.3">
      <c r="A7600" s="6"/>
    </row>
    <row r="7601" spans="1:1" x14ac:dyDescent="0.3">
      <c r="A7601" s="6"/>
    </row>
    <row r="7602" spans="1:1" x14ac:dyDescent="0.3">
      <c r="A7602" s="6"/>
    </row>
    <row r="7603" spans="1:1" x14ac:dyDescent="0.3">
      <c r="A7603" s="6"/>
    </row>
    <row r="7604" spans="1:1" x14ac:dyDescent="0.3">
      <c r="A7604" s="6"/>
    </row>
    <row r="7605" spans="1:1" x14ac:dyDescent="0.3">
      <c r="A7605" s="6"/>
    </row>
    <row r="7606" spans="1:1" x14ac:dyDescent="0.3">
      <c r="A7606" s="6"/>
    </row>
    <row r="7607" spans="1:1" x14ac:dyDescent="0.3">
      <c r="A7607" s="6"/>
    </row>
    <row r="7608" spans="1:1" x14ac:dyDescent="0.3">
      <c r="A7608" s="6"/>
    </row>
    <row r="7609" spans="1:1" x14ac:dyDescent="0.3">
      <c r="A7609" s="6"/>
    </row>
    <row r="7610" spans="1:1" x14ac:dyDescent="0.3">
      <c r="A7610" s="6"/>
    </row>
    <row r="7611" spans="1:1" x14ac:dyDescent="0.3">
      <c r="A7611" s="6"/>
    </row>
    <row r="7612" spans="1:1" x14ac:dyDescent="0.3">
      <c r="A7612" s="6"/>
    </row>
    <row r="7613" spans="1:1" x14ac:dyDescent="0.3">
      <c r="A7613" s="6"/>
    </row>
    <row r="7614" spans="1:1" x14ac:dyDescent="0.3">
      <c r="A7614" s="6"/>
    </row>
    <row r="7615" spans="1:1" x14ac:dyDescent="0.3">
      <c r="A7615" s="6"/>
    </row>
    <row r="7616" spans="1:1" x14ac:dyDescent="0.3">
      <c r="A7616" s="6"/>
    </row>
    <row r="7617" spans="1:1" x14ac:dyDescent="0.3">
      <c r="A7617" s="6"/>
    </row>
    <row r="7618" spans="1:1" x14ac:dyDescent="0.3">
      <c r="A7618" s="6"/>
    </row>
    <row r="7619" spans="1:1" x14ac:dyDescent="0.3">
      <c r="A7619" s="6"/>
    </row>
    <row r="7620" spans="1:1" x14ac:dyDescent="0.3">
      <c r="A7620" s="6"/>
    </row>
    <row r="7621" spans="1:1" x14ac:dyDescent="0.3">
      <c r="A7621" s="6"/>
    </row>
    <row r="7622" spans="1:1" x14ac:dyDescent="0.3">
      <c r="A7622" s="6"/>
    </row>
    <row r="7623" spans="1:1" x14ac:dyDescent="0.3">
      <c r="A7623" s="6"/>
    </row>
    <row r="7624" spans="1:1" x14ac:dyDescent="0.3">
      <c r="A7624" s="6"/>
    </row>
    <row r="7625" spans="1:1" x14ac:dyDescent="0.3">
      <c r="A7625" s="6"/>
    </row>
    <row r="7626" spans="1:1" x14ac:dyDescent="0.3">
      <c r="A7626" s="6"/>
    </row>
    <row r="7627" spans="1:1" x14ac:dyDescent="0.3">
      <c r="A7627" s="6"/>
    </row>
    <row r="7628" spans="1:1" x14ac:dyDescent="0.3">
      <c r="A7628" s="6"/>
    </row>
    <row r="7629" spans="1:1" x14ac:dyDescent="0.3">
      <c r="A7629" s="6"/>
    </row>
    <row r="7630" spans="1:1" x14ac:dyDescent="0.3">
      <c r="A7630" s="6"/>
    </row>
    <row r="7631" spans="1:1" x14ac:dyDescent="0.3">
      <c r="A7631" s="6"/>
    </row>
    <row r="7632" spans="1:1" x14ac:dyDescent="0.3">
      <c r="A7632" s="6"/>
    </row>
    <row r="7633" spans="1:1" x14ac:dyDescent="0.3">
      <c r="A7633" s="6"/>
    </row>
    <row r="7634" spans="1:1" x14ac:dyDescent="0.3">
      <c r="A7634" s="6"/>
    </row>
    <row r="7635" spans="1:1" x14ac:dyDescent="0.3">
      <c r="A7635" s="6"/>
    </row>
    <row r="7636" spans="1:1" x14ac:dyDescent="0.3">
      <c r="A7636" s="6"/>
    </row>
    <row r="7637" spans="1:1" x14ac:dyDescent="0.3">
      <c r="A7637" s="6"/>
    </row>
    <row r="7638" spans="1:1" x14ac:dyDescent="0.3">
      <c r="A7638" s="6"/>
    </row>
    <row r="7639" spans="1:1" x14ac:dyDescent="0.3">
      <c r="A7639" s="6"/>
    </row>
    <row r="7640" spans="1:1" x14ac:dyDescent="0.3">
      <c r="A7640" s="6"/>
    </row>
    <row r="7641" spans="1:1" x14ac:dyDescent="0.3">
      <c r="A7641" s="6"/>
    </row>
    <row r="7642" spans="1:1" x14ac:dyDescent="0.3">
      <c r="A7642" s="6"/>
    </row>
    <row r="7643" spans="1:1" x14ac:dyDescent="0.3">
      <c r="A7643" s="6"/>
    </row>
    <row r="7644" spans="1:1" x14ac:dyDescent="0.3">
      <c r="A7644" s="6"/>
    </row>
    <row r="7645" spans="1:1" x14ac:dyDescent="0.3">
      <c r="A7645" s="6"/>
    </row>
    <row r="7646" spans="1:1" x14ac:dyDescent="0.3">
      <c r="A7646" s="6"/>
    </row>
    <row r="7647" spans="1:1" x14ac:dyDescent="0.3">
      <c r="A7647" s="6"/>
    </row>
    <row r="7648" spans="1:1" x14ac:dyDescent="0.3">
      <c r="A7648" s="6"/>
    </row>
    <row r="7649" spans="1:1" x14ac:dyDescent="0.3">
      <c r="A7649" s="6"/>
    </row>
    <row r="7650" spans="1:1" x14ac:dyDescent="0.3">
      <c r="A7650" s="6"/>
    </row>
    <row r="7651" spans="1:1" x14ac:dyDescent="0.3">
      <c r="A7651" s="6"/>
    </row>
    <row r="7652" spans="1:1" x14ac:dyDescent="0.3">
      <c r="A7652" s="6"/>
    </row>
    <row r="7653" spans="1:1" x14ac:dyDescent="0.3">
      <c r="A7653" s="6"/>
    </row>
    <row r="7654" spans="1:1" x14ac:dyDescent="0.3">
      <c r="A7654" s="6"/>
    </row>
    <row r="7655" spans="1:1" x14ac:dyDescent="0.3">
      <c r="A7655" s="6"/>
    </row>
    <row r="7656" spans="1:1" x14ac:dyDescent="0.3">
      <c r="A7656" s="6"/>
    </row>
    <row r="7657" spans="1:1" x14ac:dyDescent="0.3">
      <c r="A7657" s="6"/>
    </row>
    <row r="7658" spans="1:1" x14ac:dyDescent="0.3">
      <c r="A7658" s="6"/>
    </row>
    <row r="7659" spans="1:1" x14ac:dyDescent="0.3">
      <c r="A7659" s="6"/>
    </row>
    <row r="7660" spans="1:1" x14ac:dyDescent="0.3">
      <c r="A7660" s="6"/>
    </row>
    <row r="7661" spans="1:1" x14ac:dyDescent="0.3">
      <c r="A7661" s="6"/>
    </row>
    <row r="7662" spans="1:1" x14ac:dyDescent="0.3">
      <c r="A7662" s="6"/>
    </row>
    <row r="7663" spans="1:1" x14ac:dyDescent="0.3">
      <c r="A7663" s="6"/>
    </row>
    <row r="7664" spans="1:1" x14ac:dyDescent="0.3">
      <c r="A7664" s="6"/>
    </row>
    <row r="7665" spans="1:1" x14ac:dyDescent="0.3">
      <c r="A7665" s="6"/>
    </row>
    <row r="7666" spans="1:1" x14ac:dyDescent="0.3">
      <c r="A7666" s="6"/>
    </row>
    <row r="7667" spans="1:1" x14ac:dyDescent="0.3">
      <c r="A7667" s="6"/>
    </row>
    <row r="7668" spans="1:1" x14ac:dyDescent="0.3">
      <c r="A7668" s="6"/>
    </row>
    <row r="7669" spans="1:1" x14ac:dyDescent="0.3">
      <c r="A7669" s="6"/>
    </row>
    <row r="7670" spans="1:1" x14ac:dyDescent="0.3">
      <c r="A7670" s="6"/>
    </row>
    <row r="7671" spans="1:1" x14ac:dyDescent="0.3">
      <c r="A7671" s="6"/>
    </row>
    <row r="7672" spans="1:1" x14ac:dyDescent="0.3">
      <c r="A7672" s="6"/>
    </row>
    <row r="7673" spans="1:1" x14ac:dyDescent="0.3">
      <c r="A7673" s="6"/>
    </row>
    <row r="7674" spans="1:1" x14ac:dyDescent="0.3">
      <c r="A7674" s="6"/>
    </row>
    <row r="7675" spans="1:1" x14ac:dyDescent="0.3">
      <c r="A7675" s="6"/>
    </row>
    <row r="7676" spans="1:1" x14ac:dyDescent="0.3">
      <c r="A7676" s="6"/>
    </row>
    <row r="7677" spans="1:1" x14ac:dyDescent="0.3">
      <c r="A7677" s="6"/>
    </row>
    <row r="7678" spans="1:1" x14ac:dyDescent="0.3">
      <c r="A7678" s="6"/>
    </row>
    <row r="7679" spans="1:1" x14ac:dyDescent="0.3">
      <c r="A7679" s="6"/>
    </row>
    <row r="7680" spans="1:1" x14ac:dyDescent="0.3">
      <c r="A7680" s="6"/>
    </row>
    <row r="7681" spans="1:1" x14ac:dyDescent="0.3">
      <c r="A7681" s="6"/>
    </row>
    <row r="7682" spans="1:1" x14ac:dyDescent="0.3">
      <c r="A7682" s="6"/>
    </row>
    <row r="7683" spans="1:1" x14ac:dyDescent="0.3">
      <c r="A7683" s="6"/>
    </row>
    <row r="7684" spans="1:1" x14ac:dyDescent="0.3">
      <c r="A7684" s="6"/>
    </row>
    <row r="7685" spans="1:1" x14ac:dyDescent="0.3">
      <c r="A7685" s="6"/>
    </row>
    <row r="7686" spans="1:1" x14ac:dyDescent="0.3">
      <c r="A7686" s="6"/>
    </row>
    <row r="7687" spans="1:1" x14ac:dyDescent="0.3">
      <c r="A7687" s="6"/>
    </row>
    <row r="7688" spans="1:1" x14ac:dyDescent="0.3">
      <c r="A7688" s="6"/>
    </row>
    <row r="7689" spans="1:1" x14ac:dyDescent="0.3">
      <c r="A7689" s="6"/>
    </row>
    <row r="7690" spans="1:1" x14ac:dyDescent="0.3">
      <c r="A7690" s="6"/>
    </row>
    <row r="7691" spans="1:1" x14ac:dyDescent="0.3">
      <c r="A7691" s="6"/>
    </row>
    <row r="7692" spans="1:1" x14ac:dyDescent="0.3">
      <c r="A7692" s="6"/>
    </row>
    <row r="7693" spans="1:1" x14ac:dyDescent="0.3">
      <c r="A7693" s="6"/>
    </row>
    <row r="7694" spans="1:1" x14ac:dyDescent="0.3">
      <c r="A7694" s="6"/>
    </row>
    <row r="7695" spans="1:1" x14ac:dyDescent="0.3">
      <c r="A7695" s="6"/>
    </row>
    <row r="7696" spans="1:1" x14ac:dyDescent="0.3">
      <c r="A7696" s="6"/>
    </row>
    <row r="7697" spans="1:1" x14ac:dyDescent="0.3">
      <c r="A7697" s="6"/>
    </row>
    <row r="7698" spans="1:1" x14ac:dyDescent="0.3">
      <c r="A7698" s="6"/>
    </row>
    <row r="7699" spans="1:1" x14ac:dyDescent="0.3">
      <c r="A7699" s="6"/>
    </row>
    <row r="7700" spans="1:1" x14ac:dyDescent="0.3">
      <c r="A7700" s="6"/>
    </row>
    <row r="7701" spans="1:1" x14ac:dyDescent="0.3">
      <c r="A7701" s="6"/>
    </row>
    <row r="7702" spans="1:1" x14ac:dyDescent="0.3">
      <c r="A7702" s="6"/>
    </row>
    <row r="7703" spans="1:1" x14ac:dyDescent="0.3">
      <c r="A7703" s="6"/>
    </row>
    <row r="7704" spans="1:1" x14ac:dyDescent="0.3">
      <c r="A7704" s="6"/>
    </row>
    <row r="7705" spans="1:1" x14ac:dyDescent="0.3">
      <c r="A7705" s="6"/>
    </row>
    <row r="7706" spans="1:1" x14ac:dyDescent="0.3">
      <c r="A7706" s="6"/>
    </row>
    <row r="7707" spans="1:1" x14ac:dyDescent="0.3">
      <c r="A7707" s="6"/>
    </row>
    <row r="7708" spans="1:1" x14ac:dyDescent="0.3">
      <c r="A7708" s="6"/>
    </row>
    <row r="7709" spans="1:1" x14ac:dyDescent="0.3">
      <c r="A7709" s="6"/>
    </row>
    <row r="7710" spans="1:1" x14ac:dyDescent="0.3">
      <c r="A7710" s="6"/>
    </row>
    <row r="7711" spans="1:1" x14ac:dyDescent="0.3">
      <c r="A7711" s="6"/>
    </row>
    <row r="7712" spans="1:1" x14ac:dyDescent="0.3">
      <c r="A7712" s="6"/>
    </row>
    <row r="7713" spans="1:1" x14ac:dyDescent="0.3">
      <c r="A7713" s="6"/>
    </row>
    <row r="7714" spans="1:1" x14ac:dyDescent="0.3">
      <c r="A7714" s="6"/>
    </row>
    <row r="7715" spans="1:1" x14ac:dyDescent="0.3">
      <c r="A7715" s="6"/>
    </row>
    <row r="7716" spans="1:1" x14ac:dyDescent="0.3">
      <c r="A7716" s="6"/>
    </row>
    <row r="7717" spans="1:1" x14ac:dyDescent="0.3">
      <c r="A7717" s="6"/>
    </row>
    <row r="7718" spans="1:1" x14ac:dyDescent="0.3">
      <c r="A7718" s="6"/>
    </row>
    <row r="7719" spans="1:1" x14ac:dyDescent="0.3">
      <c r="A7719" s="6"/>
    </row>
    <row r="7720" spans="1:1" x14ac:dyDescent="0.3">
      <c r="A7720" s="6"/>
    </row>
    <row r="7721" spans="1:1" x14ac:dyDescent="0.3">
      <c r="A7721" s="6"/>
    </row>
    <row r="7722" spans="1:1" x14ac:dyDescent="0.3">
      <c r="A7722" s="6"/>
    </row>
    <row r="7723" spans="1:1" x14ac:dyDescent="0.3">
      <c r="A7723" s="6"/>
    </row>
    <row r="7724" spans="1:1" x14ac:dyDescent="0.3">
      <c r="A7724" s="6"/>
    </row>
    <row r="7725" spans="1:1" x14ac:dyDescent="0.3">
      <c r="A7725" s="6"/>
    </row>
    <row r="7726" spans="1:1" x14ac:dyDescent="0.3">
      <c r="A7726" s="6"/>
    </row>
    <row r="7727" spans="1:1" x14ac:dyDescent="0.3">
      <c r="A7727" s="6"/>
    </row>
    <row r="7728" spans="1:1" x14ac:dyDescent="0.3">
      <c r="A7728" s="6"/>
    </row>
    <row r="7729" spans="1:1" x14ac:dyDescent="0.3">
      <c r="A7729" s="6"/>
    </row>
    <row r="7730" spans="1:1" x14ac:dyDescent="0.3">
      <c r="A7730" s="6"/>
    </row>
    <row r="7731" spans="1:1" x14ac:dyDescent="0.3">
      <c r="A7731" s="6"/>
    </row>
    <row r="7732" spans="1:1" x14ac:dyDescent="0.3">
      <c r="A7732" s="6"/>
    </row>
    <row r="7733" spans="1:1" x14ac:dyDescent="0.3">
      <c r="A7733" s="6"/>
    </row>
    <row r="7734" spans="1:1" x14ac:dyDescent="0.3">
      <c r="A7734" s="6"/>
    </row>
    <row r="7735" spans="1:1" x14ac:dyDescent="0.3">
      <c r="A7735" s="6"/>
    </row>
    <row r="7736" spans="1:1" x14ac:dyDescent="0.3">
      <c r="A7736" s="6"/>
    </row>
    <row r="7737" spans="1:1" x14ac:dyDescent="0.3">
      <c r="A7737" s="6"/>
    </row>
    <row r="7738" spans="1:1" x14ac:dyDescent="0.3">
      <c r="A7738" s="6"/>
    </row>
    <row r="7739" spans="1:1" x14ac:dyDescent="0.3">
      <c r="A7739" s="6"/>
    </row>
    <row r="7740" spans="1:1" x14ac:dyDescent="0.3">
      <c r="A7740" s="6"/>
    </row>
    <row r="7741" spans="1:1" x14ac:dyDescent="0.3">
      <c r="A7741" s="6"/>
    </row>
    <row r="7742" spans="1:1" x14ac:dyDescent="0.3">
      <c r="A7742" s="6"/>
    </row>
    <row r="7743" spans="1:1" x14ac:dyDescent="0.3">
      <c r="A7743" s="6"/>
    </row>
    <row r="7744" spans="1:1" x14ac:dyDescent="0.3">
      <c r="A7744" s="6"/>
    </row>
    <row r="7745" spans="1:1" x14ac:dyDescent="0.3">
      <c r="A7745" s="6"/>
    </row>
    <row r="7746" spans="1:1" x14ac:dyDescent="0.3">
      <c r="A7746" s="6"/>
    </row>
    <row r="7747" spans="1:1" x14ac:dyDescent="0.3">
      <c r="A7747" s="6"/>
    </row>
    <row r="7748" spans="1:1" x14ac:dyDescent="0.3">
      <c r="A7748" s="6"/>
    </row>
    <row r="7749" spans="1:1" x14ac:dyDescent="0.3">
      <c r="A7749" s="6"/>
    </row>
    <row r="7750" spans="1:1" x14ac:dyDescent="0.3">
      <c r="A7750" s="6"/>
    </row>
    <row r="7751" spans="1:1" x14ac:dyDescent="0.3">
      <c r="A7751" s="6"/>
    </row>
    <row r="7752" spans="1:1" x14ac:dyDescent="0.3">
      <c r="A7752" s="6"/>
    </row>
    <row r="7753" spans="1:1" x14ac:dyDescent="0.3">
      <c r="A7753" s="6"/>
    </row>
    <row r="7754" spans="1:1" x14ac:dyDescent="0.3">
      <c r="A7754" s="6"/>
    </row>
    <row r="7755" spans="1:1" x14ac:dyDescent="0.3">
      <c r="A7755" s="6"/>
    </row>
    <row r="7756" spans="1:1" x14ac:dyDescent="0.3">
      <c r="A7756" s="6"/>
    </row>
    <row r="7757" spans="1:1" x14ac:dyDescent="0.3">
      <c r="A7757" s="6"/>
    </row>
    <row r="7758" spans="1:1" x14ac:dyDescent="0.3">
      <c r="A7758" s="6"/>
    </row>
    <row r="7759" spans="1:1" x14ac:dyDescent="0.3">
      <c r="A7759" s="6"/>
    </row>
    <row r="7760" spans="1:1" x14ac:dyDescent="0.3">
      <c r="A7760" s="6"/>
    </row>
    <row r="7761" spans="1:1" x14ac:dyDescent="0.3">
      <c r="A7761" s="6"/>
    </row>
    <row r="7762" spans="1:1" x14ac:dyDescent="0.3">
      <c r="A7762" s="6"/>
    </row>
    <row r="7763" spans="1:1" x14ac:dyDescent="0.3">
      <c r="A7763" s="6"/>
    </row>
    <row r="7764" spans="1:1" x14ac:dyDescent="0.3">
      <c r="A7764" s="6"/>
    </row>
    <row r="7765" spans="1:1" x14ac:dyDescent="0.3">
      <c r="A7765" s="6"/>
    </row>
    <row r="7766" spans="1:1" x14ac:dyDescent="0.3">
      <c r="A7766" s="6"/>
    </row>
    <row r="7767" spans="1:1" x14ac:dyDescent="0.3">
      <c r="A7767" s="6"/>
    </row>
    <row r="7768" spans="1:1" x14ac:dyDescent="0.3">
      <c r="A7768" s="6"/>
    </row>
    <row r="7769" spans="1:1" x14ac:dyDescent="0.3">
      <c r="A7769" s="6"/>
    </row>
    <row r="7770" spans="1:1" x14ac:dyDescent="0.3">
      <c r="A7770" s="6"/>
    </row>
    <row r="7771" spans="1:1" x14ac:dyDescent="0.3">
      <c r="A7771" s="6"/>
    </row>
    <row r="7772" spans="1:1" x14ac:dyDescent="0.3">
      <c r="A7772" s="6"/>
    </row>
    <row r="7773" spans="1:1" x14ac:dyDescent="0.3">
      <c r="A7773" s="6"/>
    </row>
    <row r="7774" spans="1:1" x14ac:dyDescent="0.3">
      <c r="A7774" s="6"/>
    </row>
    <row r="7775" spans="1:1" x14ac:dyDescent="0.3">
      <c r="A7775" s="6"/>
    </row>
    <row r="7776" spans="1:1" x14ac:dyDescent="0.3">
      <c r="A7776" s="6"/>
    </row>
    <row r="7777" spans="1:1" x14ac:dyDescent="0.3">
      <c r="A7777" s="6"/>
    </row>
    <row r="7778" spans="1:1" x14ac:dyDescent="0.3">
      <c r="A7778" s="6"/>
    </row>
    <row r="7779" spans="1:1" x14ac:dyDescent="0.3">
      <c r="A7779" s="6"/>
    </row>
    <row r="7780" spans="1:1" x14ac:dyDescent="0.3">
      <c r="A7780" s="6"/>
    </row>
    <row r="7781" spans="1:1" x14ac:dyDescent="0.3">
      <c r="A7781" s="6"/>
    </row>
    <row r="7782" spans="1:1" x14ac:dyDescent="0.3">
      <c r="A7782" s="6"/>
    </row>
    <row r="7783" spans="1:1" x14ac:dyDescent="0.3">
      <c r="A7783" s="6"/>
    </row>
    <row r="7784" spans="1:1" x14ac:dyDescent="0.3">
      <c r="A7784" s="6"/>
    </row>
    <row r="7785" spans="1:1" x14ac:dyDescent="0.3">
      <c r="A7785" s="6"/>
    </row>
    <row r="7786" spans="1:1" x14ac:dyDescent="0.3">
      <c r="A7786" s="6"/>
    </row>
    <row r="7787" spans="1:1" x14ac:dyDescent="0.3">
      <c r="A7787" s="6"/>
    </row>
    <row r="7788" spans="1:1" x14ac:dyDescent="0.3">
      <c r="A7788" s="6"/>
    </row>
    <row r="7789" spans="1:1" x14ac:dyDescent="0.3">
      <c r="A7789" s="6"/>
    </row>
    <row r="7790" spans="1:1" x14ac:dyDescent="0.3">
      <c r="A7790" s="6"/>
    </row>
    <row r="7791" spans="1:1" x14ac:dyDescent="0.3">
      <c r="A7791" s="6"/>
    </row>
    <row r="7792" spans="1:1" x14ac:dyDescent="0.3">
      <c r="A7792" s="6"/>
    </row>
    <row r="7793" spans="1:1" x14ac:dyDescent="0.3">
      <c r="A7793" s="6"/>
    </row>
    <row r="7794" spans="1:1" x14ac:dyDescent="0.3">
      <c r="A7794" s="6"/>
    </row>
    <row r="7795" spans="1:1" x14ac:dyDescent="0.3">
      <c r="A7795" s="6"/>
    </row>
    <row r="7796" spans="1:1" x14ac:dyDescent="0.3">
      <c r="A7796" s="6"/>
    </row>
    <row r="7797" spans="1:1" x14ac:dyDescent="0.3">
      <c r="A7797" s="6"/>
    </row>
    <row r="7798" spans="1:1" x14ac:dyDescent="0.3">
      <c r="A7798" s="6"/>
    </row>
    <row r="7799" spans="1:1" x14ac:dyDescent="0.3">
      <c r="A7799" s="6"/>
    </row>
    <row r="7800" spans="1:1" x14ac:dyDescent="0.3">
      <c r="A7800" s="6"/>
    </row>
    <row r="7801" spans="1:1" x14ac:dyDescent="0.3">
      <c r="A7801" s="6"/>
    </row>
    <row r="7802" spans="1:1" x14ac:dyDescent="0.3">
      <c r="A7802" s="6"/>
    </row>
    <row r="7803" spans="1:1" x14ac:dyDescent="0.3">
      <c r="A7803" s="6"/>
    </row>
    <row r="7804" spans="1:1" x14ac:dyDescent="0.3">
      <c r="A7804" s="6"/>
    </row>
    <row r="7805" spans="1:1" x14ac:dyDescent="0.3">
      <c r="A7805" s="6"/>
    </row>
    <row r="7806" spans="1:1" x14ac:dyDescent="0.3">
      <c r="A7806" s="6"/>
    </row>
    <row r="7807" spans="1:1" x14ac:dyDescent="0.3">
      <c r="A7807" s="6"/>
    </row>
    <row r="7808" spans="1:1" x14ac:dyDescent="0.3">
      <c r="A7808" s="6"/>
    </row>
    <row r="7809" spans="1:1" x14ac:dyDescent="0.3">
      <c r="A7809" s="6"/>
    </row>
    <row r="7810" spans="1:1" x14ac:dyDescent="0.3">
      <c r="A7810" s="6"/>
    </row>
    <row r="7811" spans="1:1" x14ac:dyDescent="0.3">
      <c r="A7811" s="6"/>
    </row>
    <row r="7812" spans="1:1" x14ac:dyDescent="0.3">
      <c r="A7812" s="6"/>
    </row>
    <row r="7813" spans="1:1" x14ac:dyDescent="0.3">
      <c r="A7813" s="6"/>
    </row>
    <row r="7814" spans="1:1" x14ac:dyDescent="0.3">
      <c r="A7814" s="6"/>
    </row>
    <row r="7815" spans="1:1" x14ac:dyDescent="0.3">
      <c r="A7815" s="6"/>
    </row>
    <row r="7816" spans="1:1" x14ac:dyDescent="0.3">
      <c r="A7816" s="6"/>
    </row>
    <row r="7817" spans="1:1" x14ac:dyDescent="0.3">
      <c r="A7817" s="6"/>
    </row>
    <row r="7818" spans="1:1" x14ac:dyDescent="0.3">
      <c r="A7818" s="6"/>
    </row>
    <row r="7819" spans="1:1" x14ac:dyDescent="0.3">
      <c r="A7819" s="6"/>
    </row>
    <row r="7820" spans="1:1" x14ac:dyDescent="0.3">
      <c r="A7820" s="6"/>
    </row>
    <row r="7821" spans="1:1" x14ac:dyDescent="0.3">
      <c r="A7821" s="6"/>
    </row>
    <row r="7822" spans="1:1" x14ac:dyDescent="0.3">
      <c r="A7822" s="6"/>
    </row>
    <row r="7823" spans="1:1" x14ac:dyDescent="0.3">
      <c r="A7823" s="6"/>
    </row>
    <row r="7824" spans="1:1" x14ac:dyDescent="0.3">
      <c r="A7824" s="6"/>
    </row>
    <row r="7825" spans="1:1" x14ac:dyDescent="0.3">
      <c r="A7825" s="6"/>
    </row>
    <row r="7826" spans="1:1" x14ac:dyDescent="0.3">
      <c r="A7826" s="6"/>
    </row>
    <row r="7827" spans="1:1" x14ac:dyDescent="0.3">
      <c r="A7827" s="6"/>
    </row>
    <row r="7828" spans="1:1" x14ac:dyDescent="0.3">
      <c r="A7828" s="6"/>
    </row>
    <row r="7829" spans="1:1" x14ac:dyDescent="0.3">
      <c r="A7829" s="6"/>
    </row>
    <row r="7830" spans="1:1" x14ac:dyDescent="0.3">
      <c r="A7830" s="6"/>
    </row>
    <row r="7831" spans="1:1" x14ac:dyDescent="0.3">
      <c r="A7831" s="6"/>
    </row>
    <row r="7832" spans="1:1" x14ac:dyDescent="0.3">
      <c r="A7832" s="6"/>
    </row>
    <row r="7833" spans="1:1" x14ac:dyDescent="0.3">
      <c r="A7833" s="6"/>
    </row>
    <row r="7834" spans="1:1" x14ac:dyDescent="0.3">
      <c r="A7834" s="6"/>
    </row>
    <row r="7835" spans="1:1" x14ac:dyDescent="0.3">
      <c r="A7835" s="6"/>
    </row>
    <row r="7836" spans="1:1" x14ac:dyDescent="0.3">
      <c r="A7836" s="6"/>
    </row>
    <row r="7837" spans="1:1" x14ac:dyDescent="0.3">
      <c r="A7837" s="6"/>
    </row>
    <row r="7838" spans="1:1" x14ac:dyDescent="0.3">
      <c r="A7838" s="6"/>
    </row>
    <row r="7839" spans="1:1" x14ac:dyDescent="0.3">
      <c r="A7839" s="6"/>
    </row>
    <row r="7840" spans="1:1" x14ac:dyDescent="0.3">
      <c r="A7840" s="6"/>
    </row>
    <row r="7841" spans="1:1" x14ac:dyDescent="0.3">
      <c r="A7841" s="6"/>
    </row>
    <row r="7842" spans="1:1" x14ac:dyDescent="0.3">
      <c r="A7842" s="6"/>
    </row>
    <row r="7843" spans="1:1" x14ac:dyDescent="0.3">
      <c r="A7843" s="6"/>
    </row>
    <row r="7844" spans="1:1" x14ac:dyDescent="0.3">
      <c r="A7844" s="6"/>
    </row>
    <row r="7845" spans="1:1" x14ac:dyDescent="0.3">
      <c r="A7845" s="6"/>
    </row>
    <row r="7846" spans="1:1" x14ac:dyDescent="0.3">
      <c r="A7846" s="6"/>
    </row>
    <row r="7847" spans="1:1" x14ac:dyDescent="0.3">
      <c r="A7847" s="6"/>
    </row>
    <row r="7848" spans="1:1" x14ac:dyDescent="0.3">
      <c r="A7848" s="6"/>
    </row>
    <row r="7849" spans="1:1" x14ac:dyDescent="0.3">
      <c r="A7849" s="6"/>
    </row>
    <row r="7850" spans="1:1" x14ac:dyDescent="0.3">
      <c r="A7850" s="6"/>
    </row>
    <row r="7851" spans="1:1" x14ac:dyDescent="0.3">
      <c r="A7851" s="6"/>
    </row>
    <row r="7852" spans="1:1" x14ac:dyDescent="0.3">
      <c r="A7852" s="6"/>
    </row>
    <row r="7853" spans="1:1" x14ac:dyDescent="0.3">
      <c r="A7853" s="6"/>
    </row>
    <row r="7854" spans="1:1" x14ac:dyDescent="0.3">
      <c r="A7854" s="6"/>
    </row>
    <row r="7855" spans="1:1" x14ac:dyDescent="0.3">
      <c r="A7855" s="6"/>
    </row>
    <row r="7856" spans="1:1" x14ac:dyDescent="0.3">
      <c r="A7856" s="6"/>
    </row>
    <row r="7857" spans="1:1" x14ac:dyDescent="0.3">
      <c r="A7857" s="6"/>
    </row>
    <row r="7858" spans="1:1" x14ac:dyDescent="0.3">
      <c r="A7858" s="6"/>
    </row>
    <row r="7859" spans="1:1" x14ac:dyDescent="0.3">
      <c r="A7859" s="6"/>
    </row>
    <row r="7860" spans="1:1" x14ac:dyDescent="0.3">
      <c r="A7860" s="6"/>
    </row>
    <row r="7861" spans="1:1" x14ac:dyDescent="0.3">
      <c r="A7861" s="6"/>
    </row>
    <row r="7862" spans="1:1" x14ac:dyDescent="0.3">
      <c r="A7862" s="6"/>
    </row>
    <row r="7863" spans="1:1" x14ac:dyDescent="0.3">
      <c r="A7863" s="6"/>
    </row>
    <row r="7864" spans="1:1" x14ac:dyDescent="0.3">
      <c r="A7864" s="6"/>
    </row>
    <row r="7865" spans="1:1" x14ac:dyDescent="0.3">
      <c r="A7865" s="6"/>
    </row>
    <row r="7866" spans="1:1" x14ac:dyDescent="0.3">
      <c r="A7866" s="6"/>
    </row>
    <row r="7867" spans="1:1" x14ac:dyDescent="0.3">
      <c r="A7867" s="6"/>
    </row>
    <row r="7868" spans="1:1" x14ac:dyDescent="0.3">
      <c r="A7868" s="6"/>
    </row>
    <row r="7869" spans="1:1" x14ac:dyDescent="0.3">
      <c r="A7869" s="6"/>
    </row>
    <row r="7870" spans="1:1" x14ac:dyDescent="0.3">
      <c r="A7870" s="6"/>
    </row>
    <row r="7871" spans="1:1" x14ac:dyDescent="0.3">
      <c r="A7871" s="6"/>
    </row>
    <row r="7872" spans="1:1" x14ac:dyDescent="0.3">
      <c r="A7872" s="6"/>
    </row>
    <row r="7873" spans="1:1" x14ac:dyDescent="0.3">
      <c r="A7873" s="6"/>
    </row>
    <row r="7874" spans="1:1" x14ac:dyDescent="0.3">
      <c r="A7874" s="6"/>
    </row>
    <row r="7875" spans="1:1" x14ac:dyDescent="0.3">
      <c r="A7875" s="6"/>
    </row>
    <row r="7876" spans="1:1" x14ac:dyDescent="0.3">
      <c r="A7876" s="6"/>
    </row>
    <row r="7877" spans="1:1" x14ac:dyDescent="0.3">
      <c r="A7877" s="6"/>
    </row>
    <row r="7878" spans="1:1" x14ac:dyDescent="0.3">
      <c r="A7878" s="6"/>
    </row>
    <row r="7879" spans="1:1" x14ac:dyDescent="0.3">
      <c r="A7879" s="6"/>
    </row>
    <row r="7880" spans="1:1" x14ac:dyDescent="0.3">
      <c r="A7880" s="6"/>
    </row>
    <row r="7881" spans="1:1" x14ac:dyDescent="0.3">
      <c r="A7881" s="6"/>
    </row>
    <row r="7882" spans="1:1" x14ac:dyDescent="0.3">
      <c r="A7882" s="6"/>
    </row>
    <row r="7883" spans="1:1" x14ac:dyDescent="0.3">
      <c r="A7883" s="6"/>
    </row>
    <row r="7884" spans="1:1" x14ac:dyDescent="0.3">
      <c r="A7884" s="6"/>
    </row>
    <row r="7885" spans="1:1" x14ac:dyDescent="0.3">
      <c r="A7885" s="6"/>
    </row>
    <row r="7886" spans="1:1" x14ac:dyDescent="0.3">
      <c r="A7886" s="6"/>
    </row>
    <row r="7887" spans="1:1" x14ac:dyDescent="0.3">
      <c r="A7887" s="6"/>
    </row>
    <row r="7888" spans="1:1" x14ac:dyDescent="0.3">
      <c r="A7888" s="6"/>
    </row>
    <row r="7889" spans="1:1" x14ac:dyDescent="0.3">
      <c r="A7889" s="6"/>
    </row>
    <row r="7890" spans="1:1" x14ac:dyDescent="0.3">
      <c r="A7890" s="6"/>
    </row>
    <row r="7891" spans="1:1" x14ac:dyDescent="0.3">
      <c r="A7891" s="6"/>
    </row>
    <row r="7892" spans="1:1" x14ac:dyDescent="0.3">
      <c r="A7892" s="6"/>
    </row>
    <row r="7893" spans="1:1" x14ac:dyDescent="0.3">
      <c r="A7893" s="6"/>
    </row>
    <row r="7894" spans="1:1" x14ac:dyDescent="0.3">
      <c r="A7894" s="6"/>
    </row>
    <row r="7895" spans="1:1" x14ac:dyDescent="0.3">
      <c r="A7895" s="6"/>
    </row>
    <row r="7896" spans="1:1" x14ac:dyDescent="0.3">
      <c r="A7896" s="6"/>
    </row>
    <row r="7897" spans="1:1" x14ac:dyDescent="0.3">
      <c r="A7897" s="6"/>
    </row>
    <row r="7898" spans="1:1" x14ac:dyDescent="0.3">
      <c r="A7898" s="6"/>
    </row>
    <row r="7899" spans="1:1" x14ac:dyDescent="0.3">
      <c r="A7899" s="6"/>
    </row>
    <row r="7900" spans="1:1" x14ac:dyDescent="0.3">
      <c r="A7900" s="6"/>
    </row>
    <row r="7901" spans="1:1" x14ac:dyDescent="0.3">
      <c r="A7901" s="6"/>
    </row>
    <row r="7902" spans="1:1" x14ac:dyDescent="0.3">
      <c r="A7902" s="6"/>
    </row>
    <row r="7903" spans="1:1" x14ac:dyDescent="0.3">
      <c r="A7903" s="6"/>
    </row>
    <row r="7904" spans="1:1" x14ac:dyDescent="0.3">
      <c r="A7904" s="6"/>
    </row>
    <row r="7905" spans="1:1" x14ac:dyDescent="0.3">
      <c r="A7905" s="6"/>
    </row>
    <row r="7906" spans="1:1" x14ac:dyDescent="0.3">
      <c r="A7906" s="6"/>
    </row>
    <row r="7907" spans="1:1" x14ac:dyDescent="0.3">
      <c r="A7907" s="6"/>
    </row>
    <row r="7908" spans="1:1" x14ac:dyDescent="0.3">
      <c r="A7908" s="6"/>
    </row>
    <row r="7909" spans="1:1" x14ac:dyDescent="0.3">
      <c r="A7909" s="6"/>
    </row>
    <row r="7910" spans="1:1" x14ac:dyDescent="0.3">
      <c r="A7910" s="6"/>
    </row>
    <row r="7911" spans="1:1" x14ac:dyDescent="0.3">
      <c r="A7911" s="6"/>
    </row>
    <row r="7912" spans="1:1" x14ac:dyDescent="0.3">
      <c r="A7912" s="6"/>
    </row>
    <row r="7913" spans="1:1" x14ac:dyDescent="0.3">
      <c r="A7913" s="6"/>
    </row>
    <row r="7914" spans="1:1" x14ac:dyDescent="0.3">
      <c r="A7914" s="6"/>
    </row>
    <row r="7915" spans="1:1" x14ac:dyDescent="0.3">
      <c r="A7915" s="6"/>
    </row>
    <row r="7916" spans="1:1" x14ac:dyDescent="0.3">
      <c r="A7916" s="6"/>
    </row>
    <row r="7917" spans="1:1" x14ac:dyDescent="0.3">
      <c r="A7917" s="6"/>
    </row>
    <row r="7918" spans="1:1" x14ac:dyDescent="0.3">
      <c r="A7918" s="6"/>
    </row>
    <row r="7919" spans="1:1" x14ac:dyDescent="0.3">
      <c r="A7919" s="6"/>
    </row>
    <row r="7920" spans="1:1" x14ac:dyDescent="0.3">
      <c r="A7920" s="6"/>
    </row>
    <row r="7921" spans="1:1" x14ac:dyDescent="0.3">
      <c r="A7921" s="6"/>
    </row>
    <row r="7922" spans="1:1" x14ac:dyDescent="0.3">
      <c r="A7922" s="6"/>
    </row>
    <row r="7923" spans="1:1" x14ac:dyDescent="0.3">
      <c r="A7923" s="6"/>
    </row>
    <row r="7924" spans="1:1" x14ac:dyDescent="0.3">
      <c r="A7924" s="6"/>
    </row>
    <row r="7925" spans="1:1" x14ac:dyDescent="0.3">
      <c r="A7925" s="6"/>
    </row>
    <row r="7926" spans="1:1" x14ac:dyDescent="0.3">
      <c r="A7926" s="6"/>
    </row>
    <row r="7927" spans="1:1" x14ac:dyDescent="0.3">
      <c r="A7927" s="6"/>
    </row>
    <row r="7928" spans="1:1" x14ac:dyDescent="0.3">
      <c r="A7928" s="6"/>
    </row>
    <row r="7929" spans="1:1" x14ac:dyDescent="0.3">
      <c r="A7929" s="6"/>
    </row>
    <row r="7930" spans="1:1" x14ac:dyDescent="0.3">
      <c r="A7930" s="6"/>
    </row>
    <row r="7931" spans="1:1" x14ac:dyDescent="0.3">
      <c r="A7931" s="6"/>
    </row>
    <row r="7932" spans="1:1" x14ac:dyDescent="0.3">
      <c r="A7932" s="6"/>
    </row>
    <row r="7933" spans="1:1" x14ac:dyDescent="0.3">
      <c r="A7933" s="6"/>
    </row>
    <row r="7934" spans="1:1" x14ac:dyDescent="0.3">
      <c r="A7934" s="6"/>
    </row>
    <row r="7935" spans="1:1" x14ac:dyDescent="0.3">
      <c r="A7935" s="6"/>
    </row>
    <row r="7936" spans="1:1" x14ac:dyDescent="0.3">
      <c r="A7936" s="6"/>
    </row>
    <row r="7937" spans="1:1" x14ac:dyDescent="0.3">
      <c r="A7937" s="6"/>
    </row>
    <row r="7938" spans="1:1" x14ac:dyDescent="0.3">
      <c r="A7938" s="6"/>
    </row>
    <row r="7939" spans="1:1" x14ac:dyDescent="0.3">
      <c r="A7939" s="6"/>
    </row>
    <row r="7940" spans="1:1" x14ac:dyDescent="0.3">
      <c r="A7940" s="6"/>
    </row>
    <row r="7941" spans="1:1" x14ac:dyDescent="0.3">
      <c r="A7941" s="6"/>
    </row>
    <row r="7942" spans="1:1" x14ac:dyDescent="0.3">
      <c r="A7942" s="6"/>
    </row>
    <row r="7943" spans="1:1" x14ac:dyDescent="0.3">
      <c r="A7943" s="6"/>
    </row>
    <row r="7944" spans="1:1" x14ac:dyDescent="0.3">
      <c r="A7944" s="6"/>
    </row>
    <row r="7945" spans="1:1" x14ac:dyDescent="0.3">
      <c r="A7945" s="6"/>
    </row>
    <row r="7946" spans="1:1" x14ac:dyDescent="0.3">
      <c r="A7946" s="6"/>
    </row>
    <row r="7947" spans="1:1" x14ac:dyDescent="0.3">
      <c r="A7947" s="6"/>
    </row>
    <row r="7948" spans="1:1" x14ac:dyDescent="0.3">
      <c r="A7948" s="6"/>
    </row>
    <row r="7949" spans="1:1" x14ac:dyDescent="0.3">
      <c r="A7949" s="6"/>
    </row>
    <row r="7950" spans="1:1" x14ac:dyDescent="0.3">
      <c r="A7950" s="6"/>
    </row>
    <row r="7951" spans="1:1" x14ac:dyDescent="0.3">
      <c r="A7951" s="6"/>
    </row>
    <row r="7952" spans="1:1" x14ac:dyDescent="0.3">
      <c r="A7952" s="6"/>
    </row>
    <row r="7953" spans="1:1" x14ac:dyDescent="0.3">
      <c r="A7953" s="6"/>
    </row>
    <row r="7954" spans="1:1" x14ac:dyDescent="0.3">
      <c r="A7954" s="6"/>
    </row>
    <row r="7955" spans="1:1" x14ac:dyDescent="0.3">
      <c r="A7955" s="6"/>
    </row>
    <row r="7956" spans="1:1" x14ac:dyDescent="0.3">
      <c r="A7956" s="6"/>
    </row>
    <row r="7957" spans="1:1" x14ac:dyDescent="0.3">
      <c r="A7957" s="6"/>
    </row>
    <row r="7958" spans="1:1" x14ac:dyDescent="0.3">
      <c r="A7958" s="6"/>
    </row>
    <row r="7959" spans="1:1" x14ac:dyDescent="0.3">
      <c r="A7959" s="6"/>
    </row>
    <row r="7960" spans="1:1" x14ac:dyDescent="0.3">
      <c r="A7960" s="6"/>
    </row>
    <row r="7961" spans="1:1" x14ac:dyDescent="0.3">
      <c r="A7961" s="6"/>
    </row>
    <row r="7962" spans="1:1" x14ac:dyDescent="0.3">
      <c r="A7962" s="6"/>
    </row>
    <row r="7963" spans="1:1" x14ac:dyDescent="0.3">
      <c r="A7963" s="6"/>
    </row>
    <row r="7964" spans="1:1" x14ac:dyDescent="0.3">
      <c r="A7964" s="6"/>
    </row>
    <row r="7965" spans="1:1" x14ac:dyDescent="0.3">
      <c r="A7965" s="6"/>
    </row>
    <row r="7966" spans="1:1" x14ac:dyDescent="0.3">
      <c r="A7966" s="6"/>
    </row>
    <row r="7967" spans="1:1" x14ac:dyDescent="0.3">
      <c r="A7967" s="6"/>
    </row>
    <row r="7968" spans="1:1" x14ac:dyDescent="0.3">
      <c r="A7968" s="6"/>
    </row>
    <row r="7969" spans="1:1" x14ac:dyDescent="0.3">
      <c r="A7969" s="6"/>
    </row>
    <row r="7970" spans="1:1" x14ac:dyDescent="0.3">
      <c r="A7970" s="6"/>
    </row>
    <row r="7971" spans="1:1" x14ac:dyDescent="0.3">
      <c r="A7971" s="6"/>
    </row>
    <row r="7972" spans="1:1" x14ac:dyDescent="0.3">
      <c r="A7972" s="6"/>
    </row>
    <row r="7973" spans="1:1" x14ac:dyDescent="0.3">
      <c r="A7973" s="6"/>
    </row>
    <row r="7974" spans="1:1" x14ac:dyDescent="0.3">
      <c r="A7974" s="6"/>
    </row>
    <row r="7975" spans="1:1" x14ac:dyDescent="0.3">
      <c r="A7975" s="6"/>
    </row>
    <row r="7976" spans="1:1" x14ac:dyDescent="0.3">
      <c r="A7976" s="6"/>
    </row>
    <row r="7977" spans="1:1" x14ac:dyDescent="0.3">
      <c r="A7977" s="6"/>
    </row>
    <row r="7978" spans="1:1" x14ac:dyDescent="0.3">
      <c r="A7978" s="6"/>
    </row>
    <row r="7979" spans="1:1" x14ac:dyDescent="0.3">
      <c r="A7979" s="6"/>
    </row>
    <row r="7980" spans="1:1" x14ac:dyDescent="0.3">
      <c r="A7980" s="6"/>
    </row>
    <row r="7981" spans="1:1" x14ac:dyDescent="0.3">
      <c r="A7981" s="6"/>
    </row>
    <row r="7982" spans="1:1" x14ac:dyDescent="0.3">
      <c r="A7982" s="6"/>
    </row>
    <row r="7983" spans="1:1" x14ac:dyDescent="0.3">
      <c r="A7983" s="6"/>
    </row>
    <row r="7984" spans="1:1" x14ac:dyDescent="0.3">
      <c r="A7984" s="6"/>
    </row>
    <row r="7985" spans="1:1" x14ac:dyDescent="0.3">
      <c r="A7985" s="6"/>
    </row>
    <row r="7986" spans="1:1" x14ac:dyDescent="0.3">
      <c r="A7986" s="6"/>
    </row>
    <row r="7987" spans="1:1" x14ac:dyDescent="0.3">
      <c r="A7987" s="6"/>
    </row>
    <row r="7988" spans="1:1" x14ac:dyDescent="0.3">
      <c r="A7988" s="6"/>
    </row>
    <row r="7989" spans="1:1" x14ac:dyDescent="0.3">
      <c r="A7989" s="6"/>
    </row>
    <row r="7990" spans="1:1" x14ac:dyDescent="0.3">
      <c r="A7990" s="6"/>
    </row>
    <row r="7991" spans="1:1" x14ac:dyDescent="0.3">
      <c r="A7991" s="6"/>
    </row>
    <row r="7992" spans="1:1" x14ac:dyDescent="0.3">
      <c r="A7992" s="6"/>
    </row>
    <row r="7993" spans="1:1" x14ac:dyDescent="0.3">
      <c r="A7993" s="6"/>
    </row>
    <row r="7994" spans="1:1" x14ac:dyDescent="0.3">
      <c r="A7994" s="6"/>
    </row>
    <row r="7995" spans="1:1" x14ac:dyDescent="0.3">
      <c r="A7995" s="6"/>
    </row>
    <row r="7996" spans="1:1" x14ac:dyDescent="0.3">
      <c r="A7996" s="6"/>
    </row>
    <row r="7997" spans="1:1" x14ac:dyDescent="0.3">
      <c r="A7997" s="6"/>
    </row>
    <row r="7998" spans="1:1" x14ac:dyDescent="0.3">
      <c r="A7998" s="6"/>
    </row>
    <row r="7999" spans="1:1" x14ac:dyDescent="0.3">
      <c r="A7999" s="6"/>
    </row>
    <row r="8000" spans="1:1" x14ac:dyDescent="0.3">
      <c r="A8000" s="6"/>
    </row>
    <row r="8001" spans="1:1" x14ac:dyDescent="0.3">
      <c r="A8001" s="6"/>
    </row>
    <row r="8002" spans="1:1" x14ac:dyDescent="0.3">
      <c r="A8002" s="6"/>
    </row>
    <row r="8003" spans="1:1" x14ac:dyDescent="0.3">
      <c r="A8003" s="6"/>
    </row>
    <row r="8004" spans="1:1" x14ac:dyDescent="0.3">
      <c r="A8004" s="6"/>
    </row>
    <row r="8005" spans="1:1" x14ac:dyDescent="0.3">
      <c r="A8005" s="6"/>
    </row>
    <row r="8006" spans="1:1" x14ac:dyDescent="0.3">
      <c r="A8006" s="6"/>
    </row>
    <row r="8007" spans="1:1" x14ac:dyDescent="0.3">
      <c r="A8007" s="6"/>
    </row>
    <row r="8008" spans="1:1" x14ac:dyDescent="0.3">
      <c r="A8008" s="6"/>
    </row>
    <row r="8009" spans="1:1" x14ac:dyDescent="0.3">
      <c r="A8009" s="6"/>
    </row>
    <row r="8010" spans="1:1" x14ac:dyDescent="0.3">
      <c r="A8010" s="6"/>
    </row>
    <row r="8011" spans="1:1" x14ac:dyDescent="0.3">
      <c r="A8011" s="6"/>
    </row>
    <row r="8012" spans="1:1" x14ac:dyDescent="0.3">
      <c r="A8012" s="6"/>
    </row>
    <row r="8013" spans="1:1" x14ac:dyDescent="0.3">
      <c r="A8013" s="6"/>
    </row>
    <row r="8014" spans="1:1" x14ac:dyDescent="0.3">
      <c r="A8014" s="6"/>
    </row>
    <row r="8015" spans="1:1" x14ac:dyDescent="0.3">
      <c r="A8015" s="6"/>
    </row>
    <row r="8016" spans="1:1" x14ac:dyDescent="0.3">
      <c r="A8016" s="6"/>
    </row>
    <row r="8017" spans="1:1" x14ac:dyDescent="0.3">
      <c r="A8017" s="6"/>
    </row>
    <row r="8018" spans="1:1" x14ac:dyDescent="0.3">
      <c r="A8018" s="6"/>
    </row>
    <row r="8019" spans="1:1" x14ac:dyDescent="0.3">
      <c r="A8019" s="6"/>
    </row>
    <row r="8020" spans="1:1" x14ac:dyDescent="0.3">
      <c r="A8020" s="6"/>
    </row>
    <row r="8021" spans="1:1" x14ac:dyDescent="0.3">
      <c r="A8021" s="6"/>
    </row>
    <row r="8022" spans="1:1" x14ac:dyDescent="0.3">
      <c r="A8022" s="6"/>
    </row>
    <row r="8023" spans="1:1" x14ac:dyDescent="0.3">
      <c r="A8023" s="6"/>
    </row>
    <row r="8024" spans="1:1" x14ac:dyDescent="0.3">
      <c r="A8024" s="6"/>
    </row>
    <row r="8025" spans="1:1" x14ac:dyDescent="0.3">
      <c r="A8025" s="6"/>
    </row>
    <row r="8026" spans="1:1" x14ac:dyDescent="0.3">
      <c r="A8026" s="6"/>
    </row>
    <row r="8027" spans="1:1" x14ac:dyDescent="0.3">
      <c r="A8027" s="6"/>
    </row>
    <row r="8028" spans="1:1" x14ac:dyDescent="0.3">
      <c r="A8028" s="6"/>
    </row>
    <row r="8029" spans="1:1" x14ac:dyDescent="0.3">
      <c r="A8029" s="6"/>
    </row>
    <row r="8030" spans="1:1" x14ac:dyDescent="0.3">
      <c r="A8030" s="6"/>
    </row>
    <row r="8031" spans="1:1" x14ac:dyDescent="0.3">
      <c r="A8031" s="6"/>
    </row>
    <row r="8032" spans="1:1" x14ac:dyDescent="0.3">
      <c r="A8032" s="6"/>
    </row>
    <row r="8033" spans="1:1" x14ac:dyDescent="0.3">
      <c r="A8033" s="6"/>
    </row>
    <row r="8034" spans="1:1" x14ac:dyDescent="0.3">
      <c r="A8034" s="6"/>
    </row>
    <row r="8035" spans="1:1" x14ac:dyDescent="0.3">
      <c r="A8035" s="6"/>
    </row>
    <row r="8036" spans="1:1" x14ac:dyDescent="0.3">
      <c r="A8036" s="6"/>
    </row>
    <row r="8037" spans="1:1" x14ac:dyDescent="0.3">
      <c r="A8037" s="6"/>
    </row>
    <row r="8038" spans="1:1" x14ac:dyDescent="0.3">
      <c r="A8038" s="6"/>
    </row>
    <row r="8039" spans="1:1" x14ac:dyDescent="0.3">
      <c r="A8039" s="6"/>
    </row>
    <row r="8040" spans="1:1" x14ac:dyDescent="0.3">
      <c r="A8040" s="6"/>
    </row>
    <row r="8041" spans="1:1" x14ac:dyDescent="0.3">
      <c r="A8041" s="6"/>
    </row>
    <row r="8042" spans="1:1" x14ac:dyDescent="0.3">
      <c r="A8042" s="6"/>
    </row>
    <row r="8043" spans="1:1" x14ac:dyDescent="0.3">
      <c r="A8043" s="6"/>
    </row>
    <row r="8044" spans="1:1" x14ac:dyDescent="0.3">
      <c r="A8044" s="6"/>
    </row>
    <row r="8045" spans="1:1" x14ac:dyDescent="0.3">
      <c r="A8045" s="6"/>
    </row>
    <row r="8046" spans="1:1" x14ac:dyDescent="0.3">
      <c r="A8046" s="6"/>
    </row>
    <row r="8047" spans="1:1" x14ac:dyDescent="0.3">
      <c r="A8047" s="6"/>
    </row>
    <row r="8048" spans="1:1" x14ac:dyDescent="0.3">
      <c r="A8048" s="6"/>
    </row>
    <row r="8049" spans="1:1" x14ac:dyDescent="0.3">
      <c r="A8049" s="6"/>
    </row>
    <row r="8050" spans="1:1" x14ac:dyDescent="0.3">
      <c r="A8050" s="6"/>
    </row>
    <row r="8051" spans="1:1" x14ac:dyDescent="0.3">
      <c r="A8051" s="6"/>
    </row>
    <row r="8052" spans="1:1" x14ac:dyDescent="0.3">
      <c r="A8052" s="6"/>
    </row>
    <row r="8053" spans="1:1" x14ac:dyDescent="0.3">
      <c r="A8053" s="6"/>
    </row>
    <row r="8054" spans="1:1" x14ac:dyDescent="0.3">
      <c r="A8054" s="6"/>
    </row>
    <row r="8055" spans="1:1" x14ac:dyDescent="0.3">
      <c r="A8055" s="6"/>
    </row>
    <row r="8056" spans="1:1" x14ac:dyDescent="0.3">
      <c r="A8056" s="6"/>
    </row>
    <row r="8057" spans="1:1" x14ac:dyDescent="0.3">
      <c r="A8057" s="6"/>
    </row>
    <row r="8058" spans="1:1" x14ac:dyDescent="0.3">
      <c r="A8058" s="6"/>
    </row>
    <row r="8059" spans="1:1" x14ac:dyDescent="0.3">
      <c r="A8059" s="6"/>
    </row>
    <row r="8060" spans="1:1" x14ac:dyDescent="0.3">
      <c r="A8060" s="6"/>
    </row>
    <row r="8061" spans="1:1" x14ac:dyDescent="0.3">
      <c r="A8061" s="6"/>
    </row>
    <row r="8062" spans="1:1" x14ac:dyDescent="0.3">
      <c r="A8062" s="6"/>
    </row>
    <row r="8063" spans="1:1" x14ac:dyDescent="0.3">
      <c r="A8063" s="6"/>
    </row>
    <row r="8064" spans="1:1" x14ac:dyDescent="0.3">
      <c r="A8064" s="6"/>
    </row>
    <row r="8065" spans="1:1" x14ac:dyDescent="0.3">
      <c r="A8065" s="6"/>
    </row>
    <row r="8066" spans="1:1" x14ac:dyDescent="0.3">
      <c r="A8066" s="6"/>
    </row>
    <row r="8067" spans="1:1" x14ac:dyDescent="0.3">
      <c r="A8067" s="6"/>
    </row>
    <row r="8068" spans="1:1" x14ac:dyDescent="0.3">
      <c r="A8068" s="6"/>
    </row>
    <row r="8069" spans="1:1" x14ac:dyDescent="0.3">
      <c r="A8069" s="6"/>
    </row>
    <row r="8070" spans="1:1" x14ac:dyDescent="0.3">
      <c r="A8070" s="6"/>
    </row>
    <row r="8071" spans="1:1" x14ac:dyDescent="0.3">
      <c r="A8071" s="6"/>
    </row>
    <row r="8072" spans="1:1" x14ac:dyDescent="0.3">
      <c r="A8072" s="6"/>
    </row>
    <row r="8073" spans="1:1" x14ac:dyDescent="0.3">
      <c r="A8073" s="6"/>
    </row>
    <row r="8074" spans="1:1" x14ac:dyDescent="0.3">
      <c r="A8074" s="6"/>
    </row>
    <row r="8075" spans="1:1" x14ac:dyDescent="0.3">
      <c r="A8075" s="6"/>
    </row>
    <row r="8076" spans="1:1" x14ac:dyDescent="0.3">
      <c r="A8076" s="6"/>
    </row>
    <row r="8077" spans="1:1" x14ac:dyDescent="0.3">
      <c r="A8077" s="6"/>
    </row>
    <row r="8078" spans="1:1" x14ac:dyDescent="0.3">
      <c r="A8078" s="6"/>
    </row>
    <row r="8079" spans="1:1" x14ac:dyDescent="0.3">
      <c r="A8079" s="6"/>
    </row>
    <row r="8080" spans="1:1" x14ac:dyDescent="0.3">
      <c r="A8080" s="6"/>
    </row>
    <row r="8081" spans="1:1" x14ac:dyDescent="0.3">
      <c r="A8081" s="6"/>
    </row>
    <row r="8082" spans="1:1" x14ac:dyDescent="0.3">
      <c r="A8082" s="6"/>
    </row>
    <row r="8083" spans="1:1" x14ac:dyDescent="0.3">
      <c r="A8083" s="6"/>
    </row>
    <row r="8084" spans="1:1" x14ac:dyDescent="0.3">
      <c r="A8084" s="6"/>
    </row>
    <row r="8085" spans="1:1" x14ac:dyDescent="0.3">
      <c r="A8085" s="6"/>
    </row>
    <row r="8086" spans="1:1" x14ac:dyDescent="0.3">
      <c r="A8086" s="6"/>
    </row>
    <row r="8087" spans="1:1" x14ac:dyDescent="0.3">
      <c r="A8087" s="6"/>
    </row>
    <row r="8088" spans="1:1" x14ac:dyDescent="0.3">
      <c r="A8088" s="6"/>
    </row>
    <row r="8089" spans="1:1" x14ac:dyDescent="0.3">
      <c r="A8089" s="6"/>
    </row>
    <row r="8090" spans="1:1" x14ac:dyDescent="0.3">
      <c r="A8090" s="6"/>
    </row>
    <row r="8091" spans="1:1" x14ac:dyDescent="0.3">
      <c r="A8091" s="6"/>
    </row>
    <row r="8092" spans="1:1" x14ac:dyDescent="0.3">
      <c r="A8092" s="6"/>
    </row>
    <row r="8093" spans="1:1" x14ac:dyDescent="0.3">
      <c r="A8093" s="6"/>
    </row>
    <row r="8094" spans="1:1" x14ac:dyDescent="0.3">
      <c r="A8094" s="6"/>
    </row>
    <row r="8095" spans="1:1" x14ac:dyDescent="0.3">
      <c r="A8095" s="6"/>
    </row>
    <row r="8096" spans="1:1" x14ac:dyDescent="0.3">
      <c r="A8096" s="6"/>
    </row>
    <row r="8097" spans="1:1" x14ac:dyDescent="0.3">
      <c r="A8097" s="6"/>
    </row>
    <row r="8098" spans="1:1" x14ac:dyDescent="0.3">
      <c r="A8098" s="6"/>
    </row>
    <row r="8099" spans="1:1" x14ac:dyDescent="0.3">
      <c r="A8099" s="6"/>
    </row>
    <row r="8100" spans="1:1" x14ac:dyDescent="0.3">
      <c r="A8100" s="6"/>
    </row>
    <row r="8101" spans="1:1" x14ac:dyDescent="0.3">
      <c r="A8101" s="6"/>
    </row>
    <row r="8102" spans="1:1" x14ac:dyDescent="0.3">
      <c r="A8102" s="6"/>
    </row>
    <row r="8103" spans="1:1" x14ac:dyDescent="0.3">
      <c r="A8103" s="6"/>
    </row>
    <row r="8104" spans="1:1" x14ac:dyDescent="0.3">
      <c r="A8104" s="6"/>
    </row>
    <row r="8105" spans="1:1" x14ac:dyDescent="0.3">
      <c r="A8105" s="6"/>
    </row>
    <row r="8106" spans="1:1" x14ac:dyDescent="0.3">
      <c r="A8106" s="6"/>
    </row>
    <row r="8107" spans="1:1" x14ac:dyDescent="0.3">
      <c r="A8107" s="6"/>
    </row>
    <row r="8108" spans="1:1" x14ac:dyDescent="0.3">
      <c r="A8108" s="6"/>
    </row>
    <row r="8109" spans="1:1" x14ac:dyDescent="0.3">
      <c r="A8109" s="6"/>
    </row>
    <row r="8110" spans="1:1" x14ac:dyDescent="0.3">
      <c r="A8110" s="6"/>
    </row>
    <row r="8111" spans="1:1" x14ac:dyDescent="0.3">
      <c r="A8111" s="6"/>
    </row>
    <row r="8112" spans="1:1" x14ac:dyDescent="0.3">
      <c r="A8112" s="6"/>
    </row>
    <row r="8113" spans="1:1" x14ac:dyDescent="0.3">
      <c r="A8113" s="6"/>
    </row>
    <row r="8114" spans="1:1" x14ac:dyDescent="0.3">
      <c r="A8114" s="6"/>
    </row>
    <row r="8115" spans="1:1" x14ac:dyDescent="0.3">
      <c r="A8115" s="6"/>
    </row>
    <row r="8116" spans="1:1" x14ac:dyDescent="0.3">
      <c r="A8116" s="6"/>
    </row>
    <row r="8117" spans="1:1" x14ac:dyDescent="0.3">
      <c r="A8117" s="6"/>
    </row>
    <row r="8118" spans="1:1" x14ac:dyDescent="0.3">
      <c r="A8118" s="6"/>
    </row>
    <row r="8119" spans="1:1" x14ac:dyDescent="0.3">
      <c r="A8119" s="6"/>
    </row>
    <row r="8120" spans="1:1" x14ac:dyDescent="0.3">
      <c r="A8120" s="6"/>
    </row>
    <row r="8121" spans="1:1" x14ac:dyDescent="0.3">
      <c r="A8121" s="6"/>
    </row>
    <row r="8122" spans="1:1" x14ac:dyDescent="0.3">
      <c r="A8122" s="6"/>
    </row>
    <row r="8123" spans="1:1" x14ac:dyDescent="0.3">
      <c r="A8123" s="6"/>
    </row>
    <row r="8124" spans="1:1" x14ac:dyDescent="0.3">
      <c r="A8124" s="6"/>
    </row>
    <row r="8125" spans="1:1" x14ac:dyDescent="0.3">
      <c r="A8125" s="6"/>
    </row>
    <row r="8126" spans="1:1" x14ac:dyDescent="0.3">
      <c r="A8126" s="6"/>
    </row>
    <row r="8127" spans="1:1" x14ac:dyDescent="0.3">
      <c r="A8127" s="6"/>
    </row>
    <row r="8128" spans="1:1" x14ac:dyDescent="0.3">
      <c r="A8128" s="6"/>
    </row>
    <row r="8129" spans="1:1" x14ac:dyDescent="0.3">
      <c r="A8129" s="6"/>
    </row>
    <row r="8130" spans="1:1" x14ac:dyDescent="0.3">
      <c r="A8130" s="6"/>
    </row>
    <row r="8131" spans="1:1" x14ac:dyDescent="0.3">
      <c r="A8131" s="6"/>
    </row>
    <row r="8132" spans="1:1" x14ac:dyDescent="0.3">
      <c r="A8132" s="6"/>
    </row>
    <row r="8133" spans="1:1" x14ac:dyDescent="0.3">
      <c r="A8133" s="6"/>
    </row>
    <row r="8134" spans="1:1" x14ac:dyDescent="0.3">
      <c r="A8134" s="6"/>
    </row>
    <row r="8135" spans="1:1" x14ac:dyDescent="0.3">
      <c r="A8135" s="6"/>
    </row>
    <row r="8136" spans="1:1" x14ac:dyDescent="0.3">
      <c r="A8136" s="6"/>
    </row>
    <row r="8137" spans="1:1" x14ac:dyDescent="0.3">
      <c r="A8137" s="6"/>
    </row>
    <row r="8138" spans="1:1" x14ac:dyDescent="0.3">
      <c r="A8138" s="6"/>
    </row>
    <row r="8139" spans="1:1" x14ac:dyDescent="0.3">
      <c r="A8139" s="6"/>
    </row>
    <row r="8140" spans="1:1" x14ac:dyDescent="0.3">
      <c r="A8140" s="6"/>
    </row>
    <row r="8141" spans="1:1" x14ac:dyDescent="0.3">
      <c r="A8141" s="6"/>
    </row>
    <row r="8142" spans="1:1" x14ac:dyDescent="0.3">
      <c r="A8142" s="6"/>
    </row>
    <row r="8143" spans="1:1" x14ac:dyDescent="0.3">
      <c r="A8143" s="6"/>
    </row>
    <row r="8144" spans="1:1" x14ac:dyDescent="0.3">
      <c r="A8144" s="6"/>
    </row>
    <row r="8145" spans="1:1" x14ac:dyDescent="0.3">
      <c r="A8145" s="6"/>
    </row>
    <row r="8146" spans="1:1" x14ac:dyDescent="0.3">
      <c r="A8146" s="6"/>
    </row>
    <row r="8147" spans="1:1" x14ac:dyDescent="0.3">
      <c r="A8147" s="6"/>
    </row>
    <row r="8148" spans="1:1" x14ac:dyDescent="0.3">
      <c r="A8148" s="6"/>
    </row>
    <row r="8149" spans="1:1" x14ac:dyDescent="0.3">
      <c r="A8149" s="6"/>
    </row>
    <row r="8150" spans="1:1" x14ac:dyDescent="0.3">
      <c r="A8150" s="6"/>
    </row>
    <row r="8151" spans="1:1" x14ac:dyDescent="0.3">
      <c r="A8151" s="6"/>
    </row>
    <row r="8152" spans="1:1" x14ac:dyDescent="0.3">
      <c r="A8152" s="6"/>
    </row>
    <row r="8153" spans="1:1" x14ac:dyDescent="0.3">
      <c r="A8153" s="6"/>
    </row>
    <row r="8154" spans="1:1" x14ac:dyDescent="0.3">
      <c r="A8154" s="6"/>
    </row>
    <row r="8155" spans="1:1" x14ac:dyDescent="0.3">
      <c r="A8155" s="6"/>
    </row>
    <row r="8156" spans="1:1" x14ac:dyDescent="0.3">
      <c r="A8156" s="6"/>
    </row>
    <row r="8157" spans="1:1" x14ac:dyDescent="0.3">
      <c r="A8157" s="6"/>
    </row>
    <row r="8158" spans="1:1" x14ac:dyDescent="0.3">
      <c r="A8158" s="6"/>
    </row>
    <row r="8159" spans="1:1" x14ac:dyDescent="0.3">
      <c r="A8159" s="6"/>
    </row>
    <row r="8160" spans="1:1" x14ac:dyDescent="0.3">
      <c r="A8160" s="6"/>
    </row>
    <row r="8161" spans="1:1" x14ac:dyDescent="0.3">
      <c r="A8161" s="6"/>
    </row>
    <row r="8162" spans="1:1" x14ac:dyDescent="0.3">
      <c r="A8162" s="6"/>
    </row>
    <row r="8163" spans="1:1" x14ac:dyDescent="0.3">
      <c r="A8163" s="6"/>
    </row>
    <row r="8164" spans="1:1" x14ac:dyDescent="0.3">
      <c r="A8164" s="6"/>
    </row>
    <row r="8165" spans="1:1" x14ac:dyDescent="0.3">
      <c r="A8165" s="6"/>
    </row>
    <row r="8166" spans="1:1" x14ac:dyDescent="0.3">
      <c r="A8166" s="6"/>
    </row>
    <row r="8167" spans="1:1" x14ac:dyDescent="0.3">
      <c r="A8167" s="6"/>
    </row>
    <row r="8168" spans="1:1" x14ac:dyDescent="0.3">
      <c r="A8168" s="6"/>
    </row>
    <row r="8169" spans="1:1" x14ac:dyDescent="0.3">
      <c r="A8169" s="6"/>
    </row>
    <row r="8170" spans="1:1" x14ac:dyDescent="0.3">
      <c r="A8170" s="6"/>
    </row>
    <row r="8171" spans="1:1" x14ac:dyDescent="0.3">
      <c r="A8171" s="6"/>
    </row>
    <row r="8172" spans="1:1" x14ac:dyDescent="0.3">
      <c r="A8172" s="6"/>
    </row>
    <row r="8173" spans="1:1" x14ac:dyDescent="0.3">
      <c r="A8173" s="6"/>
    </row>
    <row r="8174" spans="1:1" x14ac:dyDescent="0.3">
      <c r="A8174" s="6"/>
    </row>
    <row r="8175" spans="1:1" x14ac:dyDescent="0.3">
      <c r="A8175" s="6"/>
    </row>
    <row r="8176" spans="1:1" x14ac:dyDescent="0.3">
      <c r="A8176" s="6"/>
    </row>
    <row r="8177" spans="1:1" x14ac:dyDescent="0.3">
      <c r="A8177" s="6"/>
    </row>
    <row r="8178" spans="1:1" x14ac:dyDescent="0.3">
      <c r="A8178" s="6"/>
    </row>
    <row r="8179" spans="1:1" x14ac:dyDescent="0.3">
      <c r="A8179" s="6"/>
    </row>
    <row r="8180" spans="1:1" x14ac:dyDescent="0.3">
      <c r="A8180" s="6"/>
    </row>
    <row r="8181" spans="1:1" x14ac:dyDescent="0.3">
      <c r="A8181" s="6"/>
    </row>
    <row r="8182" spans="1:1" x14ac:dyDescent="0.3">
      <c r="A8182" s="6"/>
    </row>
    <row r="8183" spans="1:1" x14ac:dyDescent="0.3">
      <c r="A8183" s="6"/>
    </row>
    <row r="8184" spans="1:1" x14ac:dyDescent="0.3">
      <c r="A8184" s="6"/>
    </row>
    <row r="8185" spans="1:1" x14ac:dyDescent="0.3">
      <c r="A8185" s="6"/>
    </row>
    <row r="8186" spans="1:1" x14ac:dyDescent="0.3">
      <c r="A8186" s="6"/>
    </row>
    <row r="8187" spans="1:1" x14ac:dyDescent="0.3">
      <c r="A8187" s="6"/>
    </row>
    <row r="8188" spans="1:1" x14ac:dyDescent="0.3">
      <c r="A8188" s="6"/>
    </row>
    <row r="8189" spans="1:1" x14ac:dyDescent="0.3">
      <c r="A8189" s="6"/>
    </row>
    <row r="8190" spans="1:1" x14ac:dyDescent="0.3">
      <c r="A8190" s="6"/>
    </row>
    <row r="8191" spans="1:1" x14ac:dyDescent="0.3">
      <c r="A8191" s="6"/>
    </row>
    <row r="8192" spans="1:1" x14ac:dyDescent="0.3">
      <c r="A8192" s="6"/>
    </row>
    <row r="8193" spans="1:1" x14ac:dyDescent="0.3">
      <c r="A8193" s="6"/>
    </row>
    <row r="8194" spans="1:1" x14ac:dyDescent="0.3">
      <c r="A8194" s="6"/>
    </row>
    <row r="8195" spans="1:1" x14ac:dyDescent="0.3">
      <c r="A8195" s="6"/>
    </row>
    <row r="8196" spans="1:1" x14ac:dyDescent="0.3">
      <c r="A8196" s="6"/>
    </row>
    <row r="8197" spans="1:1" x14ac:dyDescent="0.3">
      <c r="A8197" s="6"/>
    </row>
    <row r="8198" spans="1:1" x14ac:dyDescent="0.3">
      <c r="A8198" s="6"/>
    </row>
    <row r="8199" spans="1:1" x14ac:dyDescent="0.3">
      <c r="A8199" s="6"/>
    </row>
    <row r="8200" spans="1:1" x14ac:dyDescent="0.3">
      <c r="A8200" s="6"/>
    </row>
    <row r="8201" spans="1:1" x14ac:dyDescent="0.3">
      <c r="A8201" s="6"/>
    </row>
    <row r="8202" spans="1:1" x14ac:dyDescent="0.3">
      <c r="A8202" s="6"/>
    </row>
    <row r="8203" spans="1:1" x14ac:dyDescent="0.3">
      <c r="A8203" s="6"/>
    </row>
    <row r="8204" spans="1:1" x14ac:dyDescent="0.3">
      <c r="A8204" s="6"/>
    </row>
    <row r="8205" spans="1:1" x14ac:dyDescent="0.3">
      <c r="A8205" s="6"/>
    </row>
    <row r="8206" spans="1:1" x14ac:dyDescent="0.3">
      <c r="A8206" s="6"/>
    </row>
    <row r="8207" spans="1:1" x14ac:dyDescent="0.3">
      <c r="A8207" s="6"/>
    </row>
    <row r="8208" spans="1:1" x14ac:dyDescent="0.3">
      <c r="A8208" s="6"/>
    </row>
    <row r="8209" spans="1:1" x14ac:dyDescent="0.3">
      <c r="A8209" s="6"/>
    </row>
    <row r="8210" spans="1:1" x14ac:dyDescent="0.3">
      <c r="A8210" s="6"/>
    </row>
    <row r="8211" spans="1:1" x14ac:dyDescent="0.3">
      <c r="A8211" s="6"/>
    </row>
    <row r="8212" spans="1:1" x14ac:dyDescent="0.3">
      <c r="A8212" s="6"/>
    </row>
    <row r="8213" spans="1:1" x14ac:dyDescent="0.3">
      <c r="A8213" s="6"/>
    </row>
    <row r="8214" spans="1:1" x14ac:dyDescent="0.3">
      <c r="A8214" s="6"/>
    </row>
    <row r="8215" spans="1:1" x14ac:dyDescent="0.3">
      <c r="A8215" s="6"/>
    </row>
    <row r="8216" spans="1:1" x14ac:dyDescent="0.3">
      <c r="A8216" s="6"/>
    </row>
    <row r="8217" spans="1:1" x14ac:dyDescent="0.3">
      <c r="A8217" s="6"/>
    </row>
    <row r="8218" spans="1:1" x14ac:dyDescent="0.3">
      <c r="A8218" s="6"/>
    </row>
    <row r="8219" spans="1:1" x14ac:dyDescent="0.3">
      <c r="A8219" s="6"/>
    </row>
    <row r="8220" spans="1:1" x14ac:dyDescent="0.3">
      <c r="A8220" s="6"/>
    </row>
    <row r="8221" spans="1:1" x14ac:dyDescent="0.3">
      <c r="A8221" s="6"/>
    </row>
    <row r="8222" spans="1:1" x14ac:dyDescent="0.3">
      <c r="A8222" s="6"/>
    </row>
    <row r="8223" spans="1:1" x14ac:dyDescent="0.3">
      <c r="A8223" s="6"/>
    </row>
    <row r="8224" spans="1:1" x14ac:dyDescent="0.3">
      <c r="A8224" s="6"/>
    </row>
    <row r="8225" spans="1:1" x14ac:dyDescent="0.3">
      <c r="A8225" s="6"/>
    </row>
    <row r="8226" spans="1:1" x14ac:dyDescent="0.3">
      <c r="A8226" s="6"/>
    </row>
    <row r="8227" spans="1:1" x14ac:dyDescent="0.3">
      <c r="A8227" s="6"/>
    </row>
    <row r="8228" spans="1:1" x14ac:dyDescent="0.3">
      <c r="A8228" s="6"/>
    </row>
    <row r="8229" spans="1:1" x14ac:dyDescent="0.3">
      <c r="A8229" s="6"/>
    </row>
    <row r="8230" spans="1:1" x14ac:dyDescent="0.3">
      <c r="A8230" s="6"/>
    </row>
    <row r="8231" spans="1:1" x14ac:dyDescent="0.3">
      <c r="A8231" s="6"/>
    </row>
    <row r="8232" spans="1:1" x14ac:dyDescent="0.3">
      <c r="A8232" s="6"/>
    </row>
    <row r="8233" spans="1:1" x14ac:dyDescent="0.3">
      <c r="A8233" s="6"/>
    </row>
    <row r="8234" spans="1:1" x14ac:dyDescent="0.3">
      <c r="A8234" s="6"/>
    </row>
    <row r="8235" spans="1:1" x14ac:dyDescent="0.3">
      <c r="A8235" s="6"/>
    </row>
    <row r="8236" spans="1:1" x14ac:dyDescent="0.3">
      <c r="A8236" s="6"/>
    </row>
    <row r="8237" spans="1:1" x14ac:dyDescent="0.3">
      <c r="A8237" s="6"/>
    </row>
    <row r="8238" spans="1:1" x14ac:dyDescent="0.3">
      <c r="A8238" s="6"/>
    </row>
    <row r="8239" spans="1:1" x14ac:dyDescent="0.3">
      <c r="A8239" s="6"/>
    </row>
    <row r="8240" spans="1:1" x14ac:dyDescent="0.3">
      <c r="A8240" s="6"/>
    </row>
    <row r="8241" spans="1:1" x14ac:dyDescent="0.3">
      <c r="A8241" s="6"/>
    </row>
    <row r="8242" spans="1:1" x14ac:dyDescent="0.3">
      <c r="A8242" s="6"/>
    </row>
    <row r="8243" spans="1:1" x14ac:dyDescent="0.3">
      <c r="A8243" s="6"/>
    </row>
    <row r="8244" spans="1:1" x14ac:dyDescent="0.3">
      <c r="A8244" s="6"/>
    </row>
    <row r="8245" spans="1:1" x14ac:dyDescent="0.3">
      <c r="A8245" s="6"/>
    </row>
    <row r="8246" spans="1:1" x14ac:dyDescent="0.3">
      <c r="A8246" s="6"/>
    </row>
    <row r="8247" spans="1:1" x14ac:dyDescent="0.3">
      <c r="A8247" s="6"/>
    </row>
    <row r="8248" spans="1:1" x14ac:dyDescent="0.3">
      <c r="A8248" s="6"/>
    </row>
    <row r="8249" spans="1:1" x14ac:dyDescent="0.3">
      <c r="A8249" s="6"/>
    </row>
    <row r="8250" spans="1:1" x14ac:dyDescent="0.3">
      <c r="A8250" s="6"/>
    </row>
    <row r="8251" spans="1:1" x14ac:dyDescent="0.3">
      <c r="A8251" s="6"/>
    </row>
    <row r="8252" spans="1:1" x14ac:dyDescent="0.3">
      <c r="A8252" s="6"/>
    </row>
    <row r="8253" spans="1:1" x14ac:dyDescent="0.3">
      <c r="A8253" s="6"/>
    </row>
    <row r="8254" spans="1:1" x14ac:dyDescent="0.3">
      <c r="A8254" s="6"/>
    </row>
    <row r="8255" spans="1:1" x14ac:dyDescent="0.3">
      <c r="A8255" s="6"/>
    </row>
    <row r="8256" spans="1:1" x14ac:dyDescent="0.3">
      <c r="A8256" s="6"/>
    </row>
    <row r="8257" spans="1:1" x14ac:dyDescent="0.3">
      <c r="A8257" s="6"/>
    </row>
    <row r="8258" spans="1:1" x14ac:dyDescent="0.3">
      <c r="A8258" s="6"/>
    </row>
    <row r="8259" spans="1:1" x14ac:dyDescent="0.3">
      <c r="A8259" s="6"/>
    </row>
    <row r="8260" spans="1:1" x14ac:dyDescent="0.3">
      <c r="A8260" s="6"/>
    </row>
    <row r="8261" spans="1:1" x14ac:dyDescent="0.3">
      <c r="A8261" s="6"/>
    </row>
    <row r="8262" spans="1:1" x14ac:dyDescent="0.3">
      <c r="A8262" s="6"/>
    </row>
    <row r="8263" spans="1:1" x14ac:dyDescent="0.3">
      <c r="A8263" s="6"/>
    </row>
    <row r="8264" spans="1:1" x14ac:dyDescent="0.3">
      <c r="A8264" s="6"/>
    </row>
    <row r="8265" spans="1:1" x14ac:dyDescent="0.3">
      <c r="A8265" s="6"/>
    </row>
    <row r="8266" spans="1:1" x14ac:dyDescent="0.3">
      <c r="A8266" s="6"/>
    </row>
    <row r="8267" spans="1:1" x14ac:dyDescent="0.3">
      <c r="A8267" s="6"/>
    </row>
    <row r="8268" spans="1:1" x14ac:dyDescent="0.3">
      <c r="A8268" s="6"/>
    </row>
    <row r="8269" spans="1:1" x14ac:dyDescent="0.3">
      <c r="A8269" s="6"/>
    </row>
    <row r="8270" spans="1:1" x14ac:dyDescent="0.3">
      <c r="A8270" s="6"/>
    </row>
    <row r="8271" spans="1:1" x14ac:dyDescent="0.3">
      <c r="A8271" s="6"/>
    </row>
    <row r="8272" spans="1:1" x14ac:dyDescent="0.3">
      <c r="A8272" s="6"/>
    </row>
    <row r="8273" spans="1:1" x14ac:dyDescent="0.3">
      <c r="A8273" s="6"/>
    </row>
    <row r="8274" spans="1:1" x14ac:dyDescent="0.3">
      <c r="A8274" s="6"/>
    </row>
    <row r="8275" spans="1:1" x14ac:dyDescent="0.3">
      <c r="A8275" s="6"/>
    </row>
    <row r="8276" spans="1:1" x14ac:dyDescent="0.3">
      <c r="A8276" s="6"/>
    </row>
    <row r="8277" spans="1:1" x14ac:dyDescent="0.3">
      <c r="A8277" s="6"/>
    </row>
    <row r="8278" spans="1:1" x14ac:dyDescent="0.3">
      <c r="A8278" s="6"/>
    </row>
    <row r="8279" spans="1:1" x14ac:dyDescent="0.3">
      <c r="A8279" s="6"/>
    </row>
    <row r="8280" spans="1:1" x14ac:dyDescent="0.3">
      <c r="A8280" s="6"/>
    </row>
    <row r="8281" spans="1:1" x14ac:dyDescent="0.3">
      <c r="A8281" s="6"/>
    </row>
    <row r="8282" spans="1:1" x14ac:dyDescent="0.3">
      <c r="A8282" s="6"/>
    </row>
    <row r="8283" spans="1:1" x14ac:dyDescent="0.3">
      <c r="A8283" s="6"/>
    </row>
    <row r="8284" spans="1:1" x14ac:dyDescent="0.3">
      <c r="A8284" s="6"/>
    </row>
    <row r="8285" spans="1:1" x14ac:dyDescent="0.3">
      <c r="A8285" s="6"/>
    </row>
    <row r="8286" spans="1:1" x14ac:dyDescent="0.3">
      <c r="A8286" s="6"/>
    </row>
    <row r="8287" spans="1:1" x14ac:dyDescent="0.3">
      <c r="A8287" s="6"/>
    </row>
    <row r="8288" spans="1:1" x14ac:dyDescent="0.3">
      <c r="A8288" s="6"/>
    </row>
    <row r="8289" spans="1:1" x14ac:dyDescent="0.3">
      <c r="A8289" s="6"/>
    </row>
    <row r="8290" spans="1:1" x14ac:dyDescent="0.3">
      <c r="A8290" s="6"/>
    </row>
    <row r="8291" spans="1:1" x14ac:dyDescent="0.3">
      <c r="A8291" s="6"/>
    </row>
    <row r="8292" spans="1:1" x14ac:dyDescent="0.3">
      <c r="A8292" s="6"/>
    </row>
    <row r="8293" spans="1:1" x14ac:dyDescent="0.3">
      <c r="A8293" s="6"/>
    </row>
    <row r="8294" spans="1:1" x14ac:dyDescent="0.3">
      <c r="A8294" s="6"/>
    </row>
    <row r="8295" spans="1:1" x14ac:dyDescent="0.3">
      <c r="A8295" s="6"/>
    </row>
    <row r="8296" spans="1:1" x14ac:dyDescent="0.3">
      <c r="A8296" s="6"/>
    </row>
    <row r="8297" spans="1:1" x14ac:dyDescent="0.3">
      <c r="A8297" s="6"/>
    </row>
    <row r="8298" spans="1:1" x14ac:dyDescent="0.3">
      <c r="A8298" s="6"/>
    </row>
    <row r="8299" spans="1:1" x14ac:dyDescent="0.3">
      <c r="A8299" s="6"/>
    </row>
    <row r="8300" spans="1:1" x14ac:dyDescent="0.3">
      <c r="A8300" s="6"/>
    </row>
    <row r="8301" spans="1:1" x14ac:dyDescent="0.3">
      <c r="A8301" s="6"/>
    </row>
    <row r="8302" spans="1:1" x14ac:dyDescent="0.3">
      <c r="A8302" s="6"/>
    </row>
    <row r="8303" spans="1:1" x14ac:dyDescent="0.3">
      <c r="A8303" s="6"/>
    </row>
    <row r="8304" spans="1:1" x14ac:dyDescent="0.3">
      <c r="A8304" s="6"/>
    </row>
    <row r="8305" spans="1:1" x14ac:dyDescent="0.3">
      <c r="A8305" s="6"/>
    </row>
    <row r="8306" spans="1:1" x14ac:dyDescent="0.3">
      <c r="A8306" s="6"/>
    </row>
    <row r="8307" spans="1:1" x14ac:dyDescent="0.3">
      <c r="A8307" s="6"/>
    </row>
    <row r="8308" spans="1:1" x14ac:dyDescent="0.3">
      <c r="A8308" s="6"/>
    </row>
    <row r="8309" spans="1:1" x14ac:dyDescent="0.3">
      <c r="A8309" s="6"/>
    </row>
    <row r="8310" spans="1:1" x14ac:dyDescent="0.3">
      <c r="A8310" s="6"/>
    </row>
    <row r="8311" spans="1:1" x14ac:dyDescent="0.3">
      <c r="A8311" s="6"/>
    </row>
    <row r="8312" spans="1:1" x14ac:dyDescent="0.3">
      <c r="A8312" s="6"/>
    </row>
    <row r="8313" spans="1:1" x14ac:dyDescent="0.3">
      <c r="A8313" s="6"/>
    </row>
    <row r="8314" spans="1:1" x14ac:dyDescent="0.3">
      <c r="A8314" s="6"/>
    </row>
    <row r="8315" spans="1:1" x14ac:dyDescent="0.3">
      <c r="A8315" s="6"/>
    </row>
    <row r="8316" spans="1:1" x14ac:dyDescent="0.3">
      <c r="A8316" s="6"/>
    </row>
    <row r="8317" spans="1:1" x14ac:dyDescent="0.3">
      <c r="A8317" s="6"/>
    </row>
    <row r="8318" spans="1:1" x14ac:dyDescent="0.3">
      <c r="A8318" s="6"/>
    </row>
    <row r="8319" spans="1:1" x14ac:dyDescent="0.3">
      <c r="A8319" s="6"/>
    </row>
    <row r="8320" spans="1:1" x14ac:dyDescent="0.3">
      <c r="A8320" s="6"/>
    </row>
    <row r="8321" spans="1:1" x14ac:dyDescent="0.3">
      <c r="A8321" s="6"/>
    </row>
    <row r="8322" spans="1:1" x14ac:dyDescent="0.3">
      <c r="A8322" s="6"/>
    </row>
    <row r="8323" spans="1:1" x14ac:dyDescent="0.3">
      <c r="A8323" s="6"/>
    </row>
    <row r="8324" spans="1:1" x14ac:dyDescent="0.3">
      <c r="A8324" s="6"/>
    </row>
    <row r="8325" spans="1:1" x14ac:dyDescent="0.3">
      <c r="A8325" s="6"/>
    </row>
    <row r="8326" spans="1:1" x14ac:dyDescent="0.3">
      <c r="A8326" s="6"/>
    </row>
    <row r="8327" spans="1:1" x14ac:dyDescent="0.3">
      <c r="A8327" s="6"/>
    </row>
    <row r="8328" spans="1:1" x14ac:dyDescent="0.3">
      <c r="A8328" s="6"/>
    </row>
    <row r="8329" spans="1:1" x14ac:dyDescent="0.3">
      <c r="A8329" s="6"/>
    </row>
    <row r="8330" spans="1:1" x14ac:dyDescent="0.3">
      <c r="A8330" s="6"/>
    </row>
    <row r="8331" spans="1:1" x14ac:dyDescent="0.3">
      <c r="A8331" s="6"/>
    </row>
    <row r="8332" spans="1:1" x14ac:dyDescent="0.3">
      <c r="A8332" s="6"/>
    </row>
    <row r="8333" spans="1:1" x14ac:dyDescent="0.3">
      <c r="A8333" s="6"/>
    </row>
    <row r="8334" spans="1:1" x14ac:dyDescent="0.3">
      <c r="A8334" s="6"/>
    </row>
    <row r="8335" spans="1:1" x14ac:dyDescent="0.3">
      <c r="A8335" s="6"/>
    </row>
    <row r="8336" spans="1:1" x14ac:dyDescent="0.3">
      <c r="A8336" s="6"/>
    </row>
    <row r="8337" spans="1:1" x14ac:dyDescent="0.3">
      <c r="A8337" s="6"/>
    </row>
    <row r="8338" spans="1:1" x14ac:dyDescent="0.3">
      <c r="A8338" s="6"/>
    </row>
    <row r="8339" spans="1:1" x14ac:dyDescent="0.3">
      <c r="A8339" s="6"/>
    </row>
    <row r="8340" spans="1:1" x14ac:dyDescent="0.3">
      <c r="A8340" s="6"/>
    </row>
    <row r="8341" spans="1:1" x14ac:dyDescent="0.3">
      <c r="A8341" s="6"/>
    </row>
    <row r="8342" spans="1:1" x14ac:dyDescent="0.3">
      <c r="A8342" s="6"/>
    </row>
    <row r="8343" spans="1:1" x14ac:dyDescent="0.3">
      <c r="A8343" s="6"/>
    </row>
    <row r="8344" spans="1:1" x14ac:dyDescent="0.3">
      <c r="A8344" s="6"/>
    </row>
    <row r="8345" spans="1:1" x14ac:dyDescent="0.3">
      <c r="A8345" s="6"/>
    </row>
    <row r="8346" spans="1:1" x14ac:dyDescent="0.3">
      <c r="A8346" s="6"/>
    </row>
    <row r="8347" spans="1:1" x14ac:dyDescent="0.3">
      <c r="A8347" s="6"/>
    </row>
    <row r="8348" spans="1:1" x14ac:dyDescent="0.3">
      <c r="A8348" s="6"/>
    </row>
    <row r="8349" spans="1:1" x14ac:dyDescent="0.3">
      <c r="A8349" s="6"/>
    </row>
    <row r="8350" spans="1:1" x14ac:dyDescent="0.3">
      <c r="A8350" s="6"/>
    </row>
    <row r="8351" spans="1:1" x14ac:dyDescent="0.3">
      <c r="A8351" s="6"/>
    </row>
    <row r="8352" spans="1:1" x14ac:dyDescent="0.3">
      <c r="A8352" s="6"/>
    </row>
    <row r="8353" spans="1:1" x14ac:dyDescent="0.3">
      <c r="A8353" s="6"/>
    </row>
    <row r="8354" spans="1:1" x14ac:dyDescent="0.3">
      <c r="A8354" s="6"/>
    </row>
    <row r="8355" spans="1:1" x14ac:dyDescent="0.3">
      <c r="A8355" s="6"/>
    </row>
    <row r="8356" spans="1:1" x14ac:dyDescent="0.3">
      <c r="A8356" s="6"/>
    </row>
    <row r="8357" spans="1:1" x14ac:dyDescent="0.3">
      <c r="A8357" s="6"/>
    </row>
    <row r="8358" spans="1:1" x14ac:dyDescent="0.3">
      <c r="A8358" s="6"/>
    </row>
    <row r="8359" spans="1:1" x14ac:dyDescent="0.3">
      <c r="A8359" s="6"/>
    </row>
    <row r="8360" spans="1:1" x14ac:dyDescent="0.3">
      <c r="A8360" s="6"/>
    </row>
    <row r="8361" spans="1:1" x14ac:dyDescent="0.3">
      <c r="A8361" s="6"/>
    </row>
    <row r="8362" spans="1:1" x14ac:dyDescent="0.3">
      <c r="A8362" s="6"/>
    </row>
    <row r="8363" spans="1:1" x14ac:dyDescent="0.3">
      <c r="A8363" s="6"/>
    </row>
    <row r="8364" spans="1:1" x14ac:dyDescent="0.3">
      <c r="A8364" s="6"/>
    </row>
    <row r="8365" spans="1:1" x14ac:dyDescent="0.3">
      <c r="A8365" s="6"/>
    </row>
    <row r="8366" spans="1:1" x14ac:dyDescent="0.3">
      <c r="A8366" s="6"/>
    </row>
    <row r="8367" spans="1:1" x14ac:dyDescent="0.3">
      <c r="A8367" s="6"/>
    </row>
    <row r="8368" spans="1:1" x14ac:dyDescent="0.3">
      <c r="A8368" s="6"/>
    </row>
    <row r="8369" spans="1:1" x14ac:dyDescent="0.3">
      <c r="A8369" s="6"/>
    </row>
    <row r="8370" spans="1:1" x14ac:dyDescent="0.3">
      <c r="A8370" s="6"/>
    </row>
    <row r="8371" spans="1:1" x14ac:dyDescent="0.3">
      <c r="A8371" s="6"/>
    </row>
    <row r="8372" spans="1:1" x14ac:dyDescent="0.3">
      <c r="A8372" s="6"/>
    </row>
    <row r="8373" spans="1:1" x14ac:dyDescent="0.3">
      <c r="A8373" s="6"/>
    </row>
    <row r="8374" spans="1:1" x14ac:dyDescent="0.3">
      <c r="A8374" s="6"/>
    </row>
    <row r="8375" spans="1:1" x14ac:dyDescent="0.3">
      <c r="A8375" s="6"/>
    </row>
    <row r="8376" spans="1:1" x14ac:dyDescent="0.3">
      <c r="A8376" s="6"/>
    </row>
    <row r="8377" spans="1:1" x14ac:dyDescent="0.3">
      <c r="A8377" s="6"/>
    </row>
    <row r="8378" spans="1:1" x14ac:dyDescent="0.3">
      <c r="A8378" s="6"/>
    </row>
    <row r="8379" spans="1:1" x14ac:dyDescent="0.3">
      <c r="A8379" s="6"/>
    </row>
    <row r="8380" spans="1:1" x14ac:dyDescent="0.3">
      <c r="A8380" s="6"/>
    </row>
    <row r="8381" spans="1:1" x14ac:dyDescent="0.3">
      <c r="A8381" s="6"/>
    </row>
    <row r="8382" spans="1:1" x14ac:dyDescent="0.3">
      <c r="A8382" s="6"/>
    </row>
    <row r="8383" spans="1:1" x14ac:dyDescent="0.3">
      <c r="A8383" s="6"/>
    </row>
    <row r="8384" spans="1:1" x14ac:dyDescent="0.3">
      <c r="A8384" s="6"/>
    </row>
    <row r="8385" spans="1:1" x14ac:dyDescent="0.3">
      <c r="A8385" s="6"/>
    </row>
    <row r="8386" spans="1:1" x14ac:dyDescent="0.3">
      <c r="A8386" s="6"/>
    </row>
    <row r="8387" spans="1:1" x14ac:dyDescent="0.3">
      <c r="A8387" s="6"/>
    </row>
    <row r="8388" spans="1:1" x14ac:dyDescent="0.3">
      <c r="A8388" s="6"/>
    </row>
    <row r="8389" spans="1:1" x14ac:dyDescent="0.3">
      <c r="A8389" s="6"/>
    </row>
    <row r="8390" spans="1:1" x14ac:dyDescent="0.3">
      <c r="A8390" s="6"/>
    </row>
    <row r="8391" spans="1:1" x14ac:dyDescent="0.3">
      <c r="A8391" s="6"/>
    </row>
    <row r="8392" spans="1:1" x14ac:dyDescent="0.3">
      <c r="A8392" s="6"/>
    </row>
    <row r="8393" spans="1:1" x14ac:dyDescent="0.3">
      <c r="A8393" s="6"/>
    </row>
    <row r="8394" spans="1:1" x14ac:dyDescent="0.3">
      <c r="A8394" s="6"/>
    </row>
    <row r="8395" spans="1:1" x14ac:dyDescent="0.3">
      <c r="A8395" s="6"/>
    </row>
    <row r="8396" spans="1:1" x14ac:dyDescent="0.3">
      <c r="A8396" s="6"/>
    </row>
    <row r="8397" spans="1:1" x14ac:dyDescent="0.3">
      <c r="A8397" s="6"/>
    </row>
    <row r="8398" spans="1:1" x14ac:dyDescent="0.3">
      <c r="A8398" s="6"/>
    </row>
    <row r="8399" spans="1:1" x14ac:dyDescent="0.3">
      <c r="A8399" s="6"/>
    </row>
    <row r="8400" spans="1:1" x14ac:dyDescent="0.3">
      <c r="A8400" s="6"/>
    </row>
    <row r="8401" spans="1:1" x14ac:dyDescent="0.3">
      <c r="A8401" s="6"/>
    </row>
    <row r="8402" spans="1:1" x14ac:dyDescent="0.3">
      <c r="A8402" s="6"/>
    </row>
    <row r="8403" spans="1:1" x14ac:dyDescent="0.3">
      <c r="A8403" s="6"/>
    </row>
    <row r="8404" spans="1:1" x14ac:dyDescent="0.3">
      <c r="A8404" s="6"/>
    </row>
    <row r="8405" spans="1:1" x14ac:dyDescent="0.3">
      <c r="A8405" s="6"/>
    </row>
    <row r="8406" spans="1:1" x14ac:dyDescent="0.3">
      <c r="A8406" s="6"/>
    </row>
    <row r="8407" spans="1:1" x14ac:dyDescent="0.3">
      <c r="A8407" s="6"/>
    </row>
    <row r="8408" spans="1:1" x14ac:dyDescent="0.3">
      <c r="A8408" s="6"/>
    </row>
    <row r="8409" spans="1:1" x14ac:dyDescent="0.3">
      <c r="A8409" s="6"/>
    </row>
    <row r="8410" spans="1:1" x14ac:dyDescent="0.3">
      <c r="A8410" s="6"/>
    </row>
    <row r="8411" spans="1:1" x14ac:dyDescent="0.3">
      <c r="A8411" s="6"/>
    </row>
    <row r="8412" spans="1:1" x14ac:dyDescent="0.3">
      <c r="A8412" s="6"/>
    </row>
    <row r="8413" spans="1:1" x14ac:dyDescent="0.3">
      <c r="A8413" s="6"/>
    </row>
    <row r="8414" spans="1:1" x14ac:dyDescent="0.3">
      <c r="A8414" s="6"/>
    </row>
    <row r="8415" spans="1:1" x14ac:dyDescent="0.3">
      <c r="A8415" s="6"/>
    </row>
    <row r="8416" spans="1:1" x14ac:dyDescent="0.3">
      <c r="A8416" s="6"/>
    </row>
    <row r="8417" spans="1:1" x14ac:dyDescent="0.3">
      <c r="A8417" s="6"/>
    </row>
    <row r="8418" spans="1:1" x14ac:dyDescent="0.3">
      <c r="A8418" s="6"/>
    </row>
    <row r="8419" spans="1:1" x14ac:dyDescent="0.3">
      <c r="A8419" s="6"/>
    </row>
    <row r="8420" spans="1:1" x14ac:dyDescent="0.3">
      <c r="A8420" s="6"/>
    </row>
    <row r="8421" spans="1:1" x14ac:dyDescent="0.3">
      <c r="A8421" s="6"/>
    </row>
    <row r="8422" spans="1:1" x14ac:dyDescent="0.3">
      <c r="A8422" s="6"/>
    </row>
    <row r="8423" spans="1:1" x14ac:dyDescent="0.3">
      <c r="A8423" s="6"/>
    </row>
    <row r="8424" spans="1:1" x14ac:dyDescent="0.3">
      <c r="A8424" s="6"/>
    </row>
    <row r="8425" spans="1:1" x14ac:dyDescent="0.3">
      <c r="A8425" s="6"/>
    </row>
    <row r="8426" spans="1:1" x14ac:dyDescent="0.3">
      <c r="A8426" s="6"/>
    </row>
    <row r="8427" spans="1:1" x14ac:dyDescent="0.3">
      <c r="A8427" s="6"/>
    </row>
    <row r="8428" spans="1:1" x14ac:dyDescent="0.3">
      <c r="A8428" s="6"/>
    </row>
    <row r="8429" spans="1:1" x14ac:dyDescent="0.3">
      <c r="A8429" s="6"/>
    </row>
    <row r="8430" spans="1:1" x14ac:dyDescent="0.3">
      <c r="A8430" s="6"/>
    </row>
    <row r="8431" spans="1:1" x14ac:dyDescent="0.3">
      <c r="A8431" s="6"/>
    </row>
    <row r="8432" spans="1:1" x14ac:dyDescent="0.3">
      <c r="A8432" s="6"/>
    </row>
    <row r="8433" spans="1:1" x14ac:dyDescent="0.3">
      <c r="A8433" s="6"/>
    </row>
    <row r="8434" spans="1:1" x14ac:dyDescent="0.3">
      <c r="A8434" s="6"/>
    </row>
    <row r="8435" spans="1:1" x14ac:dyDescent="0.3">
      <c r="A8435" s="6"/>
    </row>
    <row r="8436" spans="1:1" x14ac:dyDescent="0.3">
      <c r="A8436" s="6"/>
    </row>
    <row r="8437" spans="1:1" x14ac:dyDescent="0.3">
      <c r="A8437" s="6"/>
    </row>
    <row r="8438" spans="1:1" x14ac:dyDescent="0.3">
      <c r="A8438" s="6"/>
    </row>
    <row r="8439" spans="1:1" x14ac:dyDescent="0.3">
      <c r="A8439" s="6"/>
    </row>
    <row r="8440" spans="1:1" x14ac:dyDescent="0.3">
      <c r="A8440" s="6"/>
    </row>
    <row r="8441" spans="1:1" x14ac:dyDescent="0.3">
      <c r="A8441" s="6"/>
    </row>
    <row r="8442" spans="1:1" x14ac:dyDescent="0.3">
      <c r="A8442" s="6"/>
    </row>
    <row r="8443" spans="1:1" x14ac:dyDescent="0.3">
      <c r="A8443" s="6"/>
    </row>
    <row r="8444" spans="1:1" x14ac:dyDescent="0.3">
      <c r="A8444" s="6"/>
    </row>
    <row r="8445" spans="1:1" x14ac:dyDescent="0.3">
      <c r="A8445" s="6"/>
    </row>
    <row r="8446" spans="1:1" x14ac:dyDescent="0.3">
      <c r="A8446" s="6"/>
    </row>
    <row r="8447" spans="1:1" x14ac:dyDescent="0.3">
      <c r="A8447" s="6"/>
    </row>
    <row r="8448" spans="1:1" x14ac:dyDescent="0.3">
      <c r="A8448" s="6"/>
    </row>
    <row r="8449" spans="1:1" x14ac:dyDescent="0.3">
      <c r="A8449" s="6"/>
    </row>
    <row r="8450" spans="1:1" x14ac:dyDescent="0.3">
      <c r="A8450" s="6"/>
    </row>
    <row r="8451" spans="1:1" x14ac:dyDescent="0.3">
      <c r="A8451" s="6"/>
    </row>
    <row r="8452" spans="1:1" x14ac:dyDescent="0.3">
      <c r="A8452" s="6"/>
    </row>
    <row r="8453" spans="1:1" x14ac:dyDescent="0.3">
      <c r="A8453" s="6"/>
    </row>
    <row r="8454" spans="1:1" x14ac:dyDescent="0.3">
      <c r="A8454" s="6"/>
    </row>
    <row r="8455" spans="1:1" x14ac:dyDescent="0.3">
      <c r="A8455" s="6"/>
    </row>
    <row r="8456" spans="1:1" x14ac:dyDescent="0.3">
      <c r="A8456" s="6"/>
    </row>
    <row r="8457" spans="1:1" x14ac:dyDescent="0.3">
      <c r="A8457" s="6"/>
    </row>
    <row r="8458" spans="1:1" x14ac:dyDescent="0.3">
      <c r="A8458" s="6"/>
    </row>
    <row r="8459" spans="1:1" x14ac:dyDescent="0.3">
      <c r="A8459" s="6"/>
    </row>
    <row r="8460" spans="1:1" x14ac:dyDescent="0.3">
      <c r="A8460" s="6"/>
    </row>
    <row r="8461" spans="1:1" x14ac:dyDescent="0.3">
      <c r="A8461" s="6"/>
    </row>
    <row r="8462" spans="1:1" x14ac:dyDescent="0.3">
      <c r="A8462" s="6"/>
    </row>
    <row r="8463" spans="1:1" x14ac:dyDescent="0.3">
      <c r="A8463" s="6"/>
    </row>
    <row r="8464" spans="1:1" x14ac:dyDescent="0.3">
      <c r="A8464" s="6"/>
    </row>
    <row r="8465" spans="1:1" x14ac:dyDescent="0.3">
      <c r="A8465" s="6"/>
    </row>
    <row r="8466" spans="1:1" x14ac:dyDescent="0.3">
      <c r="A8466" s="6"/>
    </row>
    <row r="8467" spans="1:1" x14ac:dyDescent="0.3">
      <c r="A8467" s="6"/>
    </row>
    <row r="8468" spans="1:1" x14ac:dyDescent="0.3">
      <c r="A8468" s="6"/>
    </row>
    <row r="8469" spans="1:1" x14ac:dyDescent="0.3">
      <c r="A8469" s="6"/>
    </row>
    <row r="8470" spans="1:1" x14ac:dyDescent="0.3">
      <c r="A8470" s="6"/>
    </row>
    <row r="8471" spans="1:1" x14ac:dyDescent="0.3">
      <c r="A8471" s="6"/>
    </row>
    <row r="8472" spans="1:1" x14ac:dyDescent="0.3">
      <c r="A8472" s="6"/>
    </row>
    <row r="8473" spans="1:1" x14ac:dyDescent="0.3">
      <c r="A8473" s="6"/>
    </row>
    <row r="8474" spans="1:1" x14ac:dyDescent="0.3">
      <c r="A8474" s="6"/>
    </row>
    <row r="8475" spans="1:1" x14ac:dyDescent="0.3">
      <c r="A8475" s="6"/>
    </row>
    <row r="8476" spans="1:1" x14ac:dyDescent="0.3">
      <c r="A8476" s="6"/>
    </row>
    <row r="8477" spans="1:1" x14ac:dyDescent="0.3">
      <c r="A8477" s="6"/>
    </row>
    <row r="8478" spans="1:1" x14ac:dyDescent="0.3">
      <c r="A8478" s="6"/>
    </row>
    <row r="8479" spans="1:1" x14ac:dyDescent="0.3">
      <c r="A8479" s="6"/>
    </row>
    <row r="8480" spans="1:1" x14ac:dyDescent="0.3">
      <c r="A8480" s="6"/>
    </row>
    <row r="8481" spans="1:1" x14ac:dyDescent="0.3">
      <c r="A8481" s="6"/>
    </row>
    <row r="8482" spans="1:1" x14ac:dyDescent="0.3">
      <c r="A8482" s="6"/>
    </row>
    <row r="8483" spans="1:1" x14ac:dyDescent="0.3">
      <c r="A8483" s="6"/>
    </row>
    <row r="8484" spans="1:1" x14ac:dyDescent="0.3">
      <c r="A8484" s="6"/>
    </row>
    <row r="8485" spans="1:1" x14ac:dyDescent="0.3">
      <c r="A8485" s="6"/>
    </row>
    <row r="8486" spans="1:1" x14ac:dyDescent="0.3">
      <c r="A8486" s="6"/>
    </row>
    <row r="8487" spans="1:1" x14ac:dyDescent="0.3">
      <c r="A8487" s="6"/>
    </row>
    <row r="8488" spans="1:1" x14ac:dyDescent="0.3">
      <c r="A8488" s="6"/>
    </row>
    <row r="8489" spans="1:1" x14ac:dyDescent="0.3">
      <c r="A8489" s="6"/>
    </row>
    <row r="8490" spans="1:1" x14ac:dyDescent="0.3">
      <c r="A8490" s="6"/>
    </row>
    <row r="8491" spans="1:1" x14ac:dyDescent="0.3">
      <c r="A8491" s="6"/>
    </row>
    <row r="8492" spans="1:1" x14ac:dyDescent="0.3">
      <c r="A8492" s="6"/>
    </row>
    <row r="8493" spans="1:1" x14ac:dyDescent="0.3">
      <c r="A8493" s="6"/>
    </row>
    <row r="8494" spans="1:1" x14ac:dyDescent="0.3">
      <c r="A8494" s="6"/>
    </row>
    <row r="8495" spans="1:1" x14ac:dyDescent="0.3">
      <c r="A8495" s="6"/>
    </row>
    <row r="8496" spans="1:1" x14ac:dyDescent="0.3">
      <c r="A8496" s="6"/>
    </row>
    <row r="8497" spans="1:1" x14ac:dyDescent="0.3">
      <c r="A8497" s="6"/>
    </row>
    <row r="8498" spans="1:1" x14ac:dyDescent="0.3">
      <c r="A8498" s="6"/>
    </row>
    <row r="8499" spans="1:1" x14ac:dyDescent="0.3">
      <c r="A8499" s="6"/>
    </row>
    <row r="8500" spans="1:1" x14ac:dyDescent="0.3">
      <c r="A8500" s="6"/>
    </row>
    <row r="8501" spans="1:1" x14ac:dyDescent="0.3">
      <c r="A8501" s="6"/>
    </row>
    <row r="8502" spans="1:1" x14ac:dyDescent="0.3">
      <c r="A8502" s="6"/>
    </row>
    <row r="8503" spans="1:1" x14ac:dyDescent="0.3">
      <c r="A8503" s="6"/>
    </row>
    <row r="8504" spans="1:1" x14ac:dyDescent="0.3">
      <c r="A8504" s="6"/>
    </row>
    <row r="8505" spans="1:1" x14ac:dyDescent="0.3">
      <c r="A8505" s="6"/>
    </row>
    <row r="8506" spans="1:1" x14ac:dyDescent="0.3">
      <c r="A8506" s="6"/>
    </row>
    <row r="8507" spans="1:1" x14ac:dyDescent="0.3">
      <c r="A8507" s="6"/>
    </row>
    <row r="8508" spans="1:1" x14ac:dyDescent="0.3">
      <c r="A8508" s="6"/>
    </row>
    <row r="8509" spans="1:1" x14ac:dyDescent="0.3">
      <c r="A8509" s="6"/>
    </row>
    <row r="8510" spans="1:1" x14ac:dyDescent="0.3">
      <c r="A8510" s="6"/>
    </row>
    <row r="8511" spans="1:1" x14ac:dyDescent="0.3">
      <c r="A8511" s="6"/>
    </row>
    <row r="8512" spans="1:1" x14ac:dyDescent="0.3">
      <c r="A8512" s="6"/>
    </row>
    <row r="8513" spans="1:1" x14ac:dyDescent="0.3">
      <c r="A8513" s="6"/>
    </row>
    <row r="8514" spans="1:1" x14ac:dyDescent="0.3">
      <c r="A8514" s="6"/>
    </row>
    <row r="8515" spans="1:1" x14ac:dyDescent="0.3">
      <c r="A8515" s="6"/>
    </row>
    <row r="8516" spans="1:1" x14ac:dyDescent="0.3">
      <c r="A8516" s="6"/>
    </row>
    <row r="8517" spans="1:1" x14ac:dyDescent="0.3">
      <c r="A8517" s="6"/>
    </row>
    <row r="8518" spans="1:1" x14ac:dyDescent="0.3">
      <c r="A8518" s="6"/>
    </row>
    <row r="8519" spans="1:1" x14ac:dyDescent="0.3">
      <c r="A8519" s="6"/>
    </row>
    <row r="8520" spans="1:1" x14ac:dyDescent="0.3">
      <c r="A8520" s="6"/>
    </row>
    <row r="8521" spans="1:1" x14ac:dyDescent="0.3">
      <c r="A8521" s="6"/>
    </row>
    <row r="8522" spans="1:1" x14ac:dyDescent="0.3">
      <c r="A8522" s="6"/>
    </row>
    <row r="8523" spans="1:1" x14ac:dyDescent="0.3">
      <c r="A8523" s="6"/>
    </row>
    <row r="8524" spans="1:1" x14ac:dyDescent="0.3">
      <c r="A8524" s="6"/>
    </row>
    <row r="8525" spans="1:1" x14ac:dyDescent="0.3">
      <c r="A8525" s="6"/>
    </row>
    <row r="8526" spans="1:1" x14ac:dyDescent="0.3">
      <c r="A8526" s="6"/>
    </row>
    <row r="8527" spans="1:1" x14ac:dyDescent="0.3">
      <c r="A8527" s="6"/>
    </row>
    <row r="8528" spans="1:1" x14ac:dyDescent="0.3">
      <c r="A8528" s="6"/>
    </row>
    <row r="8529" spans="1:1" x14ac:dyDescent="0.3">
      <c r="A8529" s="6"/>
    </row>
    <row r="8530" spans="1:1" x14ac:dyDescent="0.3">
      <c r="A8530" s="6"/>
    </row>
    <row r="8531" spans="1:1" x14ac:dyDescent="0.3">
      <c r="A8531" s="6"/>
    </row>
    <row r="8532" spans="1:1" x14ac:dyDescent="0.3">
      <c r="A8532" s="6"/>
    </row>
    <row r="8533" spans="1:1" x14ac:dyDescent="0.3">
      <c r="A8533" s="6"/>
    </row>
    <row r="8534" spans="1:1" x14ac:dyDescent="0.3">
      <c r="A8534" s="6"/>
    </row>
    <row r="8535" spans="1:1" x14ac:dyDescent="0.3">
      <c r="A8535" s="6"/>
    </row>
    <row r="8536" spans="1:1" x14ac:dyDescent="0.3">
      <c r="A8536" s="6"/>
    </row>
    <row r="8537" spans="1:1" x14ac:dyDescent="0.3">
      <c r="A8537" s="6"/>
    </row>
    <row r="8538" spans="1:1" x14ac:dyDescent="0.3">
      <c r="A8538" s="6"/>
    </row>
    <row r="8539" spans="1:1" x14ac:dyDescent="0.3">
      <c r="A8539" s="6"/>
    </row>
    <row r="8540" spans="1:1" x14ac:dyDescent="0.3">
      <c r="A8540" s="6"/>
    </row>
    <row r="8541" spans="1:1" x14ac:dyDescent="0.3">
      <c r="A8541" s="6"/>
    </row>
    <row r="8542" spans="1:1" x14ac:dyDescent="0.3">
      <c r="A8542" s="6"/>
    </row>
    <row r="8543" spans="1:1" x14ac:dyDescent="0.3">
      <c r="A8543" s="6"/>
    </row>
    <row r="8544" spans="1:1" x14ac:dyDescent="0.3">
      <c r="A8544" s="6"/>
    </row>
    <row r="8545" spans="1:1" x14ac:dyDescent="0.3">
      <c r="A8545" s="6"/>
    </row>
    <row r="8546" spans="1:1" x14ac:dyDescent="0.3">
      <c r="A8546" s="6"/>
    </row>
    <row r="8547" spans="1:1" x14ac:dyDescent="0.3">
      <c r="A8547" s="6"/>
    </row>
    <row r="8548" spans="1:1" x14ac:dyDescent="0.3">
      <c r="A8548" s="6"/>
    </row>
    <row r="8549" spans="1:1" x14ac:dyDescent="0.3">
      <c r="A8549" s="6"/>
    </row>
    <row r="8550" spans="1:1" x14ac:dyDescent="0.3">
      <c r="A8550" s="6"/>
    </row>
    <row r="8551" spans="1:1" x14ac:dyDescent="0.3">
      <c r="A8551" s="6"/>
    </row>
    <row r="8552" spans="1:1" x14ac:dyDescent="0.3">
      <c r="A8552" s="6"/>
    </row>
    <row r="8553" spans="1:1" x14ac:dyDescent="0.3">
      <c r="A8553" s="6"/>
    </row>
    <row r="8554" spans="1:1" x14ac:dyDescent="0.3">
      <c r="A8554" s="6"/>
    </row>
    <row r="8555" spans="1:1" x14ac:dyDescent="0.3">
      <c r="A8555" s="6"/>
    </row>
    <row r="8556" spans="1:1" x14ac:dyDescent="0.3">
      <c r="A8556" s="6"/>
    </row>
    <row r="8557" spans="1:1" x14ac:dyDescent="0.3">
      <c r="A8557" s="6"/>
    </row>
    <row r="8558" spans="1:1" x14ac:dyDescent="0.3">
      <c r="A8558" s="6"/>
    </row>
    <row r="8559" spans="1:1" x14ac:dyDescent="0.3">
      <c r="A8559" s="6"/>
    </row>
    <row r="8560" spans="1:1" x14ac:dyDescent="0.3">
      <c r="A8560" s="6"/>
    </row>
    <row r="8561" spans="1:1" x14ac:dyDescent="0.3">
      <c r="A8561" s="6"/>
    </row>
    <row r="8562" spans="1:1" x14ac:dyDescent="0.3">
      <c r="A8562" s="6"/>
    </row>
    <row r="8563" spans="1:1" x14ac:dyDescent="0.3">
      <c r="A8563" s="6"/>
    </row>
    <row r="8564" spans="1:1" x14ac:dyDescent="0.3">
      <c r="A8564" s="6"/>
    </row>
    <row r="8565" spans="1:1" x14ac:dyDescent="0.3">
      <c r="A8565" s="6"/>
    </row>
    <row r="8566" spans="1:1" x14ac:dyDescent="0.3">
      <c r="A8566" s="6"/>
    </row>
    <row r="8567" spans="1:1" x14ac:dyDescent="0.3">
      <c r="A8567" s="6"/>
    </row>
    <row r="8568" spans="1:1" x14ac:dyDescent="0.3">
      <c r="A8568" s="6"/>
    </row>
    <row r="8569" spans="1:1" x14ac:dyDescent="0.3">
      <c r="A8569" s="6"/>
    </row>
    <row r="8570" spans="1:1" x14ac:dyDescent="0.3">
      <c r="A8570" s="6"/>
    </row>
    <row r="8571" spans="1:1" x14ac:dyDescent="0.3">
      <c r="A8571" s="6"/>
    </row>
    <row r="8572" spans="1:1" x14ac:dyDescent="0.3">
      <c r="A8572" s="6"/>
    </row>
    <row r="8573" spans="1:1" x14ac:dyDescent="0.3">
      <c r="A8573" s="6"/>
    </row>
    <row r="8574" spans="1:1" x14ac:dyDescent="0.3">
      <c r="A8574" s="6"/>
    </row>
    <row r="8575" spans="1:1" x14ac:dyDescent="0.3">
      <c r="A8575" s="6"/>
    </row>
    <row r="8576" spans="1:1" x14ac:dyDescent="0.3">
      <c r="A8576" s="6"/>
    </row>
    <row r="8577" spans="1:1" x14ac:dyDescent="0.3">
      <c r="A8577" s="6"/>
    </row>
    <row r="8578" spans="1:1" x14ac:dyDescent="0.3">
      <c r="A8578" s="6"/>
    </row>
    <row r="8579" spans="1:1" x14ac:dyDescent="0.3">
      <c r="A8579" s="6"/>
    </row>
    <row r="8580" spans="1:1" x14ac:dyDescent="0.3">
      <c r="A8580" s="6"/>
    </row>
    <row r="8581" spans="1:1" x14ac:dyDescent="0.3">
      <c r="A8581" s="6"/>
    </row>
    <row r="8582" spans="1:1" x14ac:dyDescent="0.3">
      <c r="A8582" s="6"/>
    </row>
    <row r="8583" spans="1:1" x14ac:dyDescent="0.3">
      <c r="A8583" s="6"/>
    </row>
    <row r="8584" spans="1:1" x14ac:dyDescent="0.3">
      <c r="A8584" s="6"/>
    </row>
    <row r="8585" spans="1:1" x14ac:dyDescent="0.3">
      <c r="A8585" s="6"/>
    </row>
    <row r="8586" spans="1:1" x14ac:dyDescent="0.3">
      <c r="A8586" s="6"/>
    </row>
    <row r="8587" spans="1:1" x14ac:dyDescent="0.3">
      <c r="A8587" s="6"/>
    </row>
    <row r="8588" spans="1:1" x14ac:dyDescent="0.3">
      <c r="A8588" s="6"/>
    </row>
    <row r="8589" spans="1:1" x14ac:dyDescent="0.3">
      <c r="A8589" s="6"/>
    </row>
    <row r="8590" spans="1:1" x14ac:dyDescent="0.3">
      <c r="A8590" s="6"/>
    </row>
    <row r="8591" spans="1:1" x14ac:dyDescent="0.3">
      <c r="A8591" s="6"/>
    </row>
    <row r="8592" spans="1:1" x14ac:dyDescent="0.3">
      <c r="A8592" s="6"/>
    </row>
    <row r="8593" spans="1:1" x14ac:dyDescent="0.3">
      <c r="A8593" s="6"/>
    </row>
    <row r="8594" spans="1:1" x14ac:dyDescent="0.3">
      <c r="A8594" s="6"/>
    </row>
    <row r="8595" spans="1:1" x14ac:dyDescent="0.3">
      <c r="A8595" s="6"/>
    </row>
    <row r="8596" spans="1:1" x14ac:dyDescent="0.3">
      <c r="A8596" s="6"/>
    </row>
    <row r="8597" spans="1:1" x14ac:dyDescent="0.3">
      <c r="A8597" s="6"/>
    </row>
    <row r="8598" spans="1:1" x14ac:dyDescent="0.3">
      <c r="A8598" s="6"/>
    </row>
    <row r="8599" spans="1:1" x14ac:dyDescent="0.3">
      <c r="A8599" s="6"/>
    </row>
    <row r="8600" spans="1:1" x14ac:dyDescent="0.3">
      <c r="A8600" s="6"/>
    </row>
    <row r="8601" spans="1:1" x14ac:dyDescent="0.3">
      <c r="A8601" s="6"/>
    </row>
    <row r="8602" spans="1:1" x14ac:dyDescent="0.3">
      <c r="A8602" s="6"/>
    </row>
    <row r="8603" spans="1:1" x14ac:dyDescent="0.3">
      <c r="A8603" s="6"/>
    </row>
    <row r="8604" spans="1:1" x14ac:dyDescent="0.3">
      <c r="A8604" s="6"/>
    </row>
    <row r="8605" spans="1:1" x14ac:dyDescent="0.3">
      <c r="A8605" s="6"/>
    </row>
    <row r="8606" spans="1:1" x14ac:dyDescent="0.3">
      <c r="A8606" s="6"/>
    </row>
    <row r="8607" spans="1:1" x14ac:dyDescent="0.3">
      <c r="A8607" s="6"/>
    </row>
    <row r="8608" spans="1:1" x14ac:dyDescent="0.3">
      <c r="A8608" s="6"/>
    </row>
    <row r="8609" spans="1:1" x14ac:dyDescent="0.3">
      <c r="A8609" s="6"/>
    </row>
    <row r="8610" spans="1:1" x14ac:dyDescent="0.3">
      <c r="A8610" s="6"/>
    </row>
    <row r="8611" spans="1:1" x14ac:dyDescent="0.3">
      <c r="A8611" s="6"/>
    </row>
    <row r="8612" spans="1:1" x14ac:dyDescent="0.3">
      <c r="A8612" s="6"/>
    </row>
    <row r="8613" spans="1:1" x14ac:dyDescent="0.3">
      <c r="A8613" s="6"/>
    </row>
    <row r="8614" spans="1:1" x14ac:dyDescent="0.3">
      <c r="A8614" s="6"/>
    </row>
    <row r="8615" spans="1:1" x14ac:dyDescent="0.3">
      <c r="A8615" s="6"/>
    </row>
    <row r="8616" spans="1:1" x14ac:dyDescent="0.3">
      <c r="A8616" s="6"/>
    </row>
    <row r="8617" spans="1:1" x14ac:dyDescent="0.3">
      <c r="A8617" s="6"/>
    </row>
    <row r="8618" spans="1:1" x14ac:dyDescent="0.3">
      <c r="A8618" s="6"/>
    </row>
    <row r="8619" spans="1:1" x14ac:dyDescent="0.3">
      <c r="A8619" s="6"/>
    </row>
    <row r="8620" spans="1:1" x14ac:dyDescent="0.3">
      <c r="A8620" s="6"/>
    </row>
    <row r="8621" spans="1:1" x14ac:dyDescent="0.3">
      <c r="A8621" s="6"/>
    </row>
    <row r="8622" spans="1:1" x14ac:dyDescent="0.3">
      <c r="A8622" s="6"/>
    </row>
    <row r="8623" spans="1:1" x14ac:dyDescent="0.3">
      <c r="A8623" s="6"/>
    </row>
    <row r="8624" spans="1:1" x14ac:dyDescent="0.3">
      <c r="A8624" s="6"/>
    </row>
    <row r="8625" spans="1:1" x14ac:dyDescent="0.3">
      <c r="A8625" s="6"/>
    </row>
    <row r="8626" spans="1:1" x14ac:dyDescent="0.3">
      <c r="A8626" s="6"/>
    </row>
    <row r="8627" spans="1:1" x14ac:dyDescent="0.3">
      <c r="A8627" s="6"/>
    </row>
    <row r="8628" spans="1:1" x14ac:dyDescent="0.3">
      <c r="A8628" s="6"/>
    </row>
    <row r="8629" spans="1:1" x14ac:dyDescent="0.3">
      <c r="A8629" s="6"/>
    </row>
    <row r="8630" spans="1:1" x14ac:dyDescent="0.3">
      <c r="A8630" s="6"/>
    </row>
    <row r="8631" spans="1:1" x14ac:dyDescent="0.3">
      <c r="A8631" s="6"/>
    </row>
    <row r="8632" spans="1:1" x14ac:dyDescent="0.3">
      <c r="A8632" s="6"/>
    </row>
    <row r="8633" spans="1:1" x14ac:dyDescent="0.3">
      <c r="A8633" s="6"/>
    </row>
    <row r="8634" spans="1:1" x14ac:dyDescent="0.3">
      <c r="A8634" s="6"/>
    </row>
    <row r="8635" spans="1:1" x14ac:dyDescent="0.3">
      <c r="A8635" s="6"/>
    </row>
    <row r="8636" spans="1:1" x14ac:dyDescent="0.3">
      <c r="A8636" s="6"/>
    </row>
    <row r="8637" spans="1:1" x14ac:dyDescent="0.3">
      <c r="A8637" s="6"/>
    </row>
    <row r="8638" spans="1:1" x14ac:dyDescent="0.3">
      <c r="A8638" s="6"/>
    </row>
    <row r="8639" spans="1:1" x14ac:dyDescent="0.3">
      <c r="A8639" s="6"/>
    </row>
    <row r="8640" spans="1:1" x14ac:dyDescent="0.3">
      <c r="A8640" s="6"/>
    </row>
    <row r="8641" spans="1:1" x14ac:dyDescent="0.3">
      <c r="A8641" s="6"/>
    </row>
    <row r="8642" spans="1:1" x14ac:dyDescent="0.3">
      <c r="A8642" s="6"/>
    </row>
    <row r="8643" spans="1:1" x14ac:dyDescent="0.3">
      <c r="A8643" s="6"/>
    </row>
    <row r="8644" spans="1:1" x14ac:dyDescent="0.3">
      <c r="A8644" s="6"/>
    </row>
    <row r="8645" spans="1:1" x14ac:dyDescent="0.3">
      <c r="A8645" s="6"/>
    </row>
    <row r="8646" spans="1:1" x14ac:dyDescent="0.3">
      <c r="A8646" s="6"/>
    </row>
    <row r="8647" spans="1:1" x14ac:dyDescent="0.3">
      <c r="A8647" s="6"/>
    </row>
    <row r="8648" spans="1:1" x14ac:dyDescent="0.3">
      <c r="A8648" s="6"/>
    </row>
    <row r="8649" spans="1:1" x14ac:dyDescent="0.3">
      <c r="A8649" s="6"/>
    </row>
    <row r="8650" spans="1:1" x14ac:dyDescent="0.3">
      <c r="A8650" s="6"/>
    </row>
    <row r="8651" spans="1:1" x14ac:dyDescent="0.3">
      <c r="A8651" s="6"/>
    </row>
    <row r="8652" spans="1:1" x14ac:dyDescent="0.3">
      <c r="A8652" s="6"/>
    </row>
    <row r="8653" spans="1:1" x14ac:dyDescent="0.3">
      <c r="A8653" s="6"/>
    </row>
    <row r="8654" spans="1:1" x14ac:dyDescent="0.3">
      <c r="A8654" s="6"/>
    </row>
    <row r="8655" spans="1:1" x14ac:dyDescent="0.3">
      <c r="A8655" s="6"/>
    </row>
    <row r="8656" spans="1:1" x14ac:dyDescent="0.3">
      <c r="A8656" s="6"/>
    </row>
    <row r="8657" spans="1:1" x14ac:dyDescent="0.3">
      <c r="A8657" s="6"/>
    </row>
    <row r="8658" spans="1:1" x14ac:dyDescent="0.3">
      <c r="A8658" s="6"/>
    </row>
    <row r="8659" spans="1:1" x14ac:dyDescent="0.3">
      <c r="A8659" s="6"/>
    </row>
    <row r="8660" spans="1:1" x14ac:dyDescent="0.3">
      <c r="A8660" s="6"/>
    </row>
    <row r="8661" spans="1:1" x14ac:dyDescent="0.3">
      <c r="A8661" s="6"/>
    </row>
    <row r="8662" spans="1:1" x14ac:dyDescent="0.3">
      <c r="A8662" s="6"/>
    </row>
    <row r="8663" spans="1:1" x14ac:dyDescent="0.3">
      <c r="A8663" s="6"/>
    </row>
    <row r="8664" spans="1:1" x14ac:dyDescent="0.3">
      <c r="A8664" s="6"/>
    </row>
    <row r="8665" spans="1:1" x14ac:dyDescent="0.3">
      <c r="A8665" s="6"/>
    </row>
    <row r="8666" spans="1:1" x14ac:dyDescent="0.3">
      <c r="A8666" s="6"/>
    </row>
    <row r="8667" spans="1:1" x14ac:dyDescent="0.3">
      <c r="A8667" s="6"/>
    </row>
    <row r="8668" spans="1:1" x14ac:dyDescent="0.3">
      <c r="A8668" s="6"/>
    </row>
    <row r="8669" spans="1:1" x14ac:dyDescent="0.3">
      <c r="A8669" s="6"/>
    </row>
    <row r="8670" spans="1:1" x14ac:dyDescent="0.3">
      <c r="A8670" s="6"/>
    </row>
    <row r="8671" spans="1:1" x14ac:dyDescent="0.3">
      <c r="A8671" s="6"/>
    </row>
    <row r="8672" spans="1:1" x14ac:dyDescent="0.3">
      <c r="A8672" s="6"/>
    </row>
    <row r="8673" spans="1:1" x14ac:dyDescent="0.3">
      <c r="A8673" s="6"/>
    </row>
    <row r="8674" spans="1:1" x14ac:dyDescent="0.3">
      <c r="A8674" s="6"/>
    </row>
    <row r="8675" spans="1:1" x14ac:dyDescent="0.3">
      <c r="A8675" s="6"/>
    </row>
    <row r="8676" spans="1:1" x14ac:dyDescent="0.3">
      <c r="A8676" s="6"/>
    </row>
    <row r="8677" spans="1:1" x14ac:dyDescent="0.3">
      <c r="A8677" s="6"/>
    </row>
    <row r="8678" spans="1:1" x14ac:dyDescent="0.3">
      <c r="A8678" s="6"/>
    </row>
    <row r="8679" spans="1:1" x14ac:dyDescent="0.3">
      <c r="A8679" s="6"/>
    </row>
    <row r="8680" spans="1:1" x14ac:dyDescent="0.3">
      <c r="A8680" s="6"/>
    </row>
    <row r="8681" spans="1:1" x14ac:dyDescent="0.3">
      <c r="A8681" s="6"/>
    </row>
    <row r="8682" spans="1:1" x14ac:dyDescent="0.3">
      <c r="A8682" s="6"/>
    </row>
    <row r="8683" spans="1:1" x14ac:dyDescent="0.3">
      <c r="A8683" s="6"/>
    </row>
    <row r="8684" spans="1:1" x14ac:dyDescent="0.3">
      <c r="A8684" s="6"/>
    </row>
    <row r="8685" spans="1:1" x14ac:dyDescent="0.3">
      <c r="A8685" s="6"/>
    </row>
    <row r="8686" spans="1:1" x14ac:dyDescent="0.3">
      <c r="A8686" s="6"/>
    </row>
    <row r="8687" spans="1:1" x14ac:dyDescent="0.3">
      <c r="A8687" s="6"/>
    </row>
    <row r="8688" spans="1:1" x14ac:dyDescent="0.3">
      <c r="A8688" s="6"/>
    </row>
    <row r="8689" spans="1:1" x14ac:dyDescent="0.3">
      <c r="A8689" s="6"/>
    </row>
    <row r="8690" spans="1:1" x14ac:dyDescent="0.3">
      <c r="A8690" s="6"/>
    </row>
    <row r="8691" spans="1:1" x14ac:dyDescent="0.3">
      <c r="A8691" s="6"/>
    </row>
    <row r="8692" spans="1:1" x14ac:dyDescent="0.3">
      <c r="A8692" s="6"/>
    </row>
    <row r="8693" spans="1:1" x14ac:dyDescent="0.3">
      <c r="A8693" s="6"/>
    </row>
    <row r="8694" spans="1:1" x14ac:dyDescent="0.3">
      <c r="A8694" s="6"/>
    </row>
    <row r="8695" spans="1:1" x14ac:dyDescent="0.3">
      <c r="A8695" s="6"/>
    </row>
    <row r="8696" spans="1:1" x14ac:dyDescent="0.3">
      <c r="A8696" s="6"/>
    </row>
    <row r="8697" spans="1:1" x14ac:dyDescent="0.3">
      <c r="A8697" s="6"/>
    </row>
    <row r="8698" spans="1:1" x14ac:dyDescent="0.3">
      <c r="A8698" s="6"/>
    </row>
    <row r="8699" spans="1:1" x14ac:dyDescent="0.3">
      <c r="A8699" s="6"/>
    </row>
    <row r="8700" spans="1:1" x14ac:dyDescent="0.3">
      <c r="A8700" s="6"/>
    </row>
    <row r="8701" spans="1:1" x14ac:dyDescent="0.3">
      <c r="A8701" s="6"/>
    </row>
    <row r="8702" spans="1:1" x14ac:dyDescent="0.3">
      <c r="A8702" s="6"/>
    </row>
    <row r="8703" spans="1:1" x14ac:dyDescent="0.3">
      <c r="A8703" s="6"/>
    </row>
    <row r="8704" spans="1:1" x14ac:dyDescent="0.3">
      <c r="A8704" s="6"/>
    </row>
    <row r="8705" spans="1:1" x14ac:dyDescent="0.3">
      <c r="A8705" s="6"/>
    </row>
    <row r="8706" spans="1:1" x14ac:dyDescent="0.3">
      <c r="A8706" s="6"/>
    </row>
    <row r="8707" spans="1:1" x14ac:dyDescent="0.3">
      <c r="A8707" s="6"/>
    </row>
    <row r="8708" spans="1:1" x14ac:dyDescent="0.3">
      <c r="A8708" s="6"/>
    </row>
    <row r="8709" spans="1:1" x14ac:dyDescent="0.3">
      <c r="A8709" s="6"/>
    </row>
    <row r="8710" spans="1:1" x14ac:dyDescent="0.3">
      <c r="A8710" s="6"/>
    </row>
    <row r="8711" spans="1:1" x14ac:dyDescent="0.3">
      <c r="A8711" s="6"/>
    </row>
    <row r="8712" spans="1:1" x14ac:dyDescent="0.3">
      <c r="A8712" s="6"/>
    </row>
    <row r="8713" spans="1:1" x14ac:dyDescent="0.3">
      <c r="A8713" s="6"/>
    </row>
    <row r="8714" spans="1:1" x14ac:dyDescent="0.3">
      <c r="A8714" s="6"/>
    </row>
    <row r="8715" spans="1:1" x14ac:dyDescent="0.3">
      <c r="A8715" s="6"/>
    </row>
    <row r="8716" spans="1:1" x14ac:dyDescent="0.3">
      <c r="A8716" s="6"/>
    </row>
    <row r="8717" spans="1:1" x14ac:dyDescent="0.3">
      <c r="A8717" s="6"/>
    </row>
    <row r="8718" spans="1:1" x14ac:dyDescent="0.3">
      <c r="A8718" s="6"/>
    </row>
    <row r="8719" spans="1:1" x14ac:dyDescent="0.3">
      <c r="A8719" s="6"/>
    </row>
    <row r="8720" spans="1:1" x14ac:dyDescent="0.3">
      <c r="A8720" s="6"/>
    </row>
    <row r="8721" spans="1:1" x14ac:dyDescent="0.3">
      <c r="A8721" s="6"/>
    </row>
    <row r="8722" spans="1:1" x14ac:dyDescent="0.3">
      <c r="A8722" s="6"/>
    </row>
    <row r="8723" spans="1:1" x14ac:dyDescent="0.3">
      <c r="A8723" s="6"/>
    </row>
    <row r="8724" spans="1:1" x14ac:dyDescent="0.3">
      <c r="A8724" s="6"/>
    </row>
    <row r="8725" spans="1:1" x14ac:dyDescent="0.3">
      <c r="A8725" s="6"/>
    </row>
    <row r="8726" spans="1:1" x14ac:dyDescent="0.3">
      <c r="A8726" s="6"/>
    </row>
    <row r="8727" spans="1:1" x14ac:dyDescent="0.3">
      <c r="A8727" s="6"/>
    </row>
    <row r="8728" spans="1:1" x14ac:dyDescent="0.3">
      <c r="A8728" s="6"/>
    </row>
    <row r="8729" spans="1:1" x14ac:dyDescent="0.3">
      <c r="A8729" s="6"/>
    </row>
    <row r="8730" spans="1:1" x14ac:dyDescent="0.3">
      <c r="A8730" s="6"/>
    </row>
    <row r="8731" spans="1:1" x14ac:dyDescent="0.3">
      <c r="A8731" s="6"/>
    </row>
    <row r="8732" spans="1:1" x14ac:dyDescent="0.3">
      <c r="A8732" s="6"/>
    </row>
    <row r="8733" spans="1:1" x14ac:dyDescent="0.3">
      <c r="A8733" s="6"/>
    </row>
    <row r="8734" spans="1:1" x14ac:dyDescent="0.3">
      <c r="A8734" s="6"/>
    </row>
    <row r="8735" spans="1:1" x14ac:dyDescent="0.3">
      <c r="A8735" s="6"/>
    </row>
    <row r="8736" spans="1:1" x14ac:dyDescent="0.3">
      <c r="A8736" s="6"/>
    </row>
    <row r="8737" spans="1:1" x14ac:dyDescent="0.3">
      <c r="A8737" s="6"/>
    </row>
    <row r="8738" spans="1:1" x14ac:dyDescent="0.3">
      <c r="A8738" s="6"/>
    </row>
    <row r="8739" spans="1:1" x14ac:dyDescent="0.3">
      <c r="A8739" s="6"/>
    </row>
    <row r="8740" spans="1:1" x14ac:dyDescent="0.3">
      <c r="A8740" s="6"/>
    </row>
    <row r="8741" spans="1:1" x14ac:dyDescent="0.3">
      <c r="A8741" s="6"/>
    </row>
    <row r="8742" spans="1:1" x14ac:dyDescent="0.3">
      <c r="A8742" s="6"/>
    </row>
    <row r="8743" spans="1:1" x14ac:dyDescent="0.3">
      <c r="A8743" s="6"/>
    </row>
    <row r="8744" spans="1:1" x14ac:dyDescent="0.3">
      <c r="A8744" s="6"/>
    </row>
    <row r="8745" spans="1:1" x14ac:dyDescent="0.3">
      <c r="A8745" s="6"/>
    </row>
    <row r="8746" spans="1:1" x14ac:dyDescent="0.3">
      <c r="A8746" s="6"/>
    </row>
    <row r="8747" spans="1:1" x14ac:dyDescent="0.3">
      <c r="A8747" s="6"/>
    </row>
    <row r="8748" spans="1:1" x14ac:dyDescent="0.3">
      <c r="A8748" s="6"/>
    </row>
    <row r="8749" spans="1:1" x14ac:dyDescent="0.3">
      <c r="A8749" s="6"/>
    </row>
    <row r="8750" spans="1:1" x14ac:dyDescent="0.3">
      <c r="A8750" s="6"/>
    </row>
    <row r="8751" spans="1:1" x14ac:dyDescent="0.3">
      <c r="A8751" s="6"/>
    </row>
    <row r="8752" spans="1:1" x14ac:dyDescent="0.3">
      <c r="A8752" s="6"/>
    </row>
    <row r="8753" spans="1:1" x14ac:dyDescent="0.3">
      <c r="A8753" s="6"/>
    </row>
    <row r="8754" spans="1:1" x14ac:dyDescent="0.3">
      <c r="A8754" s="6"/>
    </row>
    <row r="8755" spans="1:1" x14ac:dyDescent="0.3">
      <c r="A8755" s="6"/>
    </row>
    <row r="8756" spans="1:1" x14ac:dyDescent="0.3">
      <c r="A8756" s="6"/>
    </row>
    <row r="8757" spans="1:1" x14ac:dyDescent="0.3">
      <c r="A8757" s="6"/>
    </row>
    <row r="8758" spans="1:1" x14ac:dyDescent="0.3">
      <c r="A8758" s="6"/>
    </row>
    <row r="8759" spans="1:1" x14ac:dyDescent="0.3">
      <c r="A8759" s="6"/>
    </row>
    <row r="8760" spans="1:1" x14ac:dyDescent="0.3">
      <c r="A8760" s="6"/>
    </row>
    <row r="8761" spans="1:1" x14ac:dyDescent="0.3">
      <c r="A8761" s="6"/>
    </row>
    <row r="8762" spans="1:1" x14ac:dyDescent="0.3">
      <c r="A8762" s="6"/>
    </row>
    <row r="8763" spans="1:1" x14ac:dyDescent="0.3">
      <c r="A8763" s="6"/>
    </row>
    <row r="8764" spans="1:1" x14ac:dyDescent="0.3">
      <c r="A8764" s="6"/>
    </row>
    <row r="8765" spans="1:1" x14ac:dyDescent="0.3">
      <c r="A8765" s="6"/>
    </row>
    <row r="8766" spans="1:1" x14ac:dyDescent="0.3">
      <c r="A8766" s="6"/>
    </row>
    <row r="8767" spans="1:1" x14ac:dyDescent="0.3">
      <c r="A8767" s="6"/>
    </row>
    <row r="8768" spans="1:1" x14ac:dyDescent="0.3">
      <c r="A8768" s="6"/>
    </row>
    <row r="8769" spans="1:1" x14ac:dyDescent="0.3">
      <c r="A8769" s="6"/>
    </row>
    <row r="8770" spans="1:1" x14ac:dyDescent="0.3">
      <c r="A8770" s="6"/>
    </row>
    <row r="8771" spans="1:1" x14ac:dyDescent="0.3">
      <c r="A8771" s="6"/>
    </row>
    <row r="8772" spans="1:1" x14ac:dyDescent="0.3">
      <c r="A8772" s="6"/>
    </row>
    <row r="8773" spans="1:1" x14ac:dyDescent="0.3">
      <c r="A8773" s="6"/>
    </row>
    <row r="8774" spans="1:1" x14ac:dyDescent="0.3">
      <c r="A8774" s="6"/>
    </row>
    <row r="8775" spans="1:1" x14ac:dyDescent="0.3">
      <c r="A8775" s="6"/>
    </row>
    <row r="8776" spans="1:1" x14ac:dyDescent="0.3">
      <c r="A8776" s="6"/>
    </row>
    <row r="8777" spans="1:1" x14ac:dyDescent="0.3">
      <c r="A8777" s="6"/>
    </row>
    <row r="8778" spans="1:1" x14ac:dyDescent="0.3">
      <c r="A8778" s="6"/>
    </row>
    <row r="8779" spans="1:1" x14ac:dyDescent="0.3">
      <c r="A8779" s="6"/>
    </row>
    <row r="8780" spans="1:1" x14ac:dyDescent="0.3">
      <c r="A8780" s="6"/>
    </row>
    <row r="8781" spans="1:1" x14ac:dyDescent="0.3">
      <c r="A8781" s="6"/>
    </row>
    <row r="8782" spans="1:1" x14ac:dyDescent="0.3">
      <c r="A8782" s="6"/>
    </row>
    <row r="8783" spans="1:1" x14ac:dyDescent="0.3">
      <c r="A8783" s="6"/>
    </row>
    <row r="8784" spans="1:1" x14ac:dyDescent="0.3">
      <c r="A8784" s="6"/>
    </row>
    <row r="8785" spans="1:1" x14ac:dyDescent="0.3">
      <c r="A8785" s="6"/>
    </row>
    <row r="8786" spans="1:1" x14ac:dyDescent="0.3">
      <c r="A8786" s="6"/>
    </row>
    <row r="8787" spans="1:1" x14ac:dyDescent="0.3">
      <c r="A8787" s="6"/>
    </row>
    <row r="8788" spans="1:1" x14ac:dyDescent="0.3">
      <c r="A8788" s="6"/>
    </row>
    <row r="8789" spans="1:1" x14ac:dyDescent="0.3">
      <c r="A8789" s="6"/>
    </row>
    <row r="8790" spans="1:1" x14ac:dyDescent="0.3">
      <c r="A8790" s="6"/>
    </row>
    <row r="8791" spans="1:1" x14ac:dyDescent="0.3">
      <c r="A8791" s="6"/>
    </row>
    <row r="8792" spans="1:1" x14ac:dyDescent="0.3">
      <c r="A8792" s="6"/>
    </row>
    <row r="8793" spans="1:1" x14ac:dyDescent="0.3">
      <c r="A8793" s="6"/>
    </row>
    <row r="8794" spans="1:1" x14ac:dyDescent="0.3">
      <c r="A8794" s="6"/>
    </row>
    <row r="8795" spans="1:1" x14ac:dyDescent="0.3">
      <c r="A8795" s="6"/>
    </row>
    <row r="8796" spans="1:1" x14ac:dyDescent="0.3">
      <c r="A8796" s="6"/>
    </row>
    <row r="8797" spans="1:1" x14ac:dyDescent="0.3">
      <c r="A8797" s="6"/>
    </row>
    <row r="8798" spans="1:1" x14ac:dyDescent="0.3">
      <c r="A8798" s="6"/>
    </row>
    <row r="8799" spans="1:1" x14ac:dyDescent="0.3">
      <c r="A8799" s="6"/>
    </row>
    <row r="8800" spans="1:1" x14ac:dyDescent="0.3">
      <c r="A8800" s="6"/>
    </row>
    <row r="8801" spans="1:1" x14ac:dyDescent="0.3">
      <c r="A8801" s="6"/>
    </row>
    <row r="8802" spans="1:1" x14ac:dyDescent="0.3">
      <c r="A8802" s="6"/>
    </row>
    <row r="8803" spans="1:1" x14ac:dyDescent="0.3">
      <c r="A8803" s="6"/>
    </row>
    <row r="8804" spans="1:1" x14ac:dyDescent="0.3">
      <c r="A8804" s="6"/>
    </row>
    <row r="8805" spans="1:1" x14ac:dyDescent="0.3">
      <c r="A8805" s="6"/>
    </row>
    <row r="8806" spans="1:1" x14ac:dyDescent="0.3">
      <c r="A8806" s="6"/>
    </row>
    <row r="8807" spans="1:1" x14ac:dyDescent="0.3">
      <c r="A8807" s="6"/>
    </row>
    <row r="8808" spans="1:1" x14ac:dyDescent="0.3">
      <c r="A8808" s="6"/>
    </row>
    <row r="8809" spans="1:1" x14ac:dyDescent="0.3">
      <c r="A8809" s="6"/>
    </row>
    <row r="8810" spans="1:1" x14ac:dyDescent="0.3">
      <c r="A8810" s="6"/>
    </row>
    <row r="8811" spans="1:1" x14ac:dyDescent="0.3">
      <c r="A8811" s="6"/>
    </row>
    <row r="8812" spans="1:1" x14ac:dyDescent="0.3">
      <c r="A8812" s="6"/>
    </row>
    <row r="8813" spans="1:1" x14ac:dyDescent="0.3">
      <c r="A8813" s="6"/>
    </row>
    <row r="8814" spans="1:1" x14ac:dyDescent="0.3">
      <c r="A8814" s="6"/>
    </row>
    <row r="8815" spans="1:1" x14ac:dyDescent="0.3">
      <c r="A8815" s="6"/>
    </row>
    <row r="8816" spans="1:1" x14ac:dyDescent="0.3">
      <c r="A8816" s="6"/>
    </row>
    <row r="8817" spans="1:1" x14ac:dyDescent="0.3">
      <c r="A8817" s="6"/>
    </row>
    <row r="8818" spans="1:1" x14ac:dyDescent="0.3">
      <c r="A8818" s="6"/>
    </row>
    <row r="8819" spans="1:1" x14ac:dyDescent="0.3">
      <c r="A8819" s="6"/>
    </row>
    <row r="8820" spans="1:1" x14ac:dyDescent="0.3">
      <c r="A8820" s="6"/>
    </row>
    <row r="8821" spans="1:1" x14ac:dyDescent="0.3">
      <c r="A8821" s="6"/>
    </row>
    <row r="8822" spans="1:1" x14ac:dyDescent="0.3">
      <c r="A8822" s="6"/>
    </row>
    <row r="8823" spans="1:1" x14ac:dyDescent="0.3">
      <c r="A8823" s="6"/>
    </row>
    <row r="8824" spans="1:1" x14ac:dyDescent="0.3">
      <c r="A8824" s="6"/>
    </row>
    <row r="8825" spans="1:1" x14ac:dyDescent="0.3">
      <c r="A8825" s="6"/>
    </row>
    <row r="8826" spans="1:1" x14ac:dyDescent="0.3">
      <c r="A8826" s="6"/>
    </row>
    <row r="8827" spans="1:1" x14ac:dyDescent="0.3">
      <c r="A8827" s="6"/>
    </row>
    <row r="8828" spans="1:1" x14ac:dyDescent="0.3">
      <c r="A8828" s="6"/>
    </row>
    <row r="8829" spans="1:1" x14ac:dyDescent="0.3">
      <c r="A8829" s="6"/>
    </row>
    <row r="8830" spans="1:1" x14ac:dyDescent="0.3">
      <c r="A8830" s="6"/>
    </row>
    <row r="8831" spans="1:1" x14ac:dyDescent="0.3">
      <c r="A8831" s="6"/>
    </row>
    <row r="8832" spans="1:1" x14ac:dyDescent="0.3">
      <c r="A8832" s="6"/>
    </row>
    <row r="8833" spans="1:1" x14ac:dyDescent="0.3">
      <c r="A8833" s="6"/>
    </row>
    <row r="8834" spans="1:1" x14ac:dyDescent="0.3">
      <c r="A8834" s="6"/>
    </row>
    <row r="8835" spans="1:1" x14ac:dyDescent="0.3">
      <c r="A8835" s="6"/>
    </row>
    <row r="8836" spans="1:1" x14ac:dyDescent="0.3">
      <c r="A8836" s="6"/>
    </row>
    <row r="8837" spans="1:1" x14ac:dyDescent="0.3">
      <c r="A8837" s="6"/>
    </row>
    <row r="8838" spans="1:1" x14ac:dyDescent="0.3">
      <c r="A8838" s="6"/>
    </row>
    <row r="8839" spans="1:1" x14ac:dyDescent="0.3">
      <c r="A8839" s="6"/>
    </row>
    <row r="8840" spans="1:1" x14ac:dyDescent="0.3">
      <c r="A8840" s="6"/>
    </row>
    <row r="8841" spans="1:1" x14ac:dyDescent="0.3">
      <c r="A8841" s="6"/>
    </row>
    <row r="8842" spans="1:1" x14ac:dyDescent="0.3">
      <c r="A8842" s="6"/>
    </row>
    <row r="8843" spans="1:1" x14ac:dyDescent="0.3">
      <c r="A8843" s="6"/>
    </row>
    <row r="8844" spans="1:1" x14ac:dyDescent="0.3">
      <c r="A8844" s="6"/>
    </row>
    <row r="8845" spans="1:1" x14ac:dyDescent="0.3">
      <c r="A8845" s="6"/>
    </row>
    <row r="8846" spans="1:1" x14ac:dyDescent="0.3">
      <c r="A8846" s="6"/>
    </row>
    <row r="8847" spans="1:1" x14ac:dyDescent="0.3">
      <c r="A8847" s="6"/>
    </row>
    <row r="8848" spans="1:1" x14ac:dyDescent="0.3">
      <c r="A8848" s="6"/>
    </row>
    <row r="8849" spans="1:1" x14ac:dyDescent="0.3">
      <c r="A8849" s="6"/>
    </row>
    <row r="8850" spans="1:1" x14ac:dyDescent="0.3">
      <c r="A8850" s="6"/>
    </row>
    <row r="8851" spans="1:1" x14ac:dyDescent="0.3">
      <c r="A8851" s="6"/>
    </row>
    <row r="8852" spans="1:1" x14ac:dyDescent="0.3">
      <c r="A8852" s="6"/>
    </row>
    <row r="8853" spans="1:1" x14ac:dyDescent="0.3">
      <c r="A8853" s="6"/>
    </row>
    <row r="8854" spans="1:1" x14ac:dyDescent="0.3">
      <c r="A8854" s="6"/>
    </row>
    <row r="8855" spans="1:1" x14ac:dyDescent="0.3">
      <c r="A8855" s="6"/>
    </row>
    <row r="8856" spans="1:1" x14ac:dyDescent="0.3">
      <c r="A8856" s="6"/>
    </row>
    <row r="8857" spans="1:1" x14ac:dyDescent="0.3">
      <c r="A8857" s="6"/>
    </row>
    <row r="8858" spans="1:1" x14ac:dyDescent="0.3">
      <c r="A8858" s="6"/>
    </row>
    <row r="8859" spans="1:1" x14ac:dyDescent="0.3">
      <c r="A8859" s="6"/>
    </row>
    <row r="8860" spans="1:1" x14ac:dyDescent="0.3">
      <c r="A8860" s="6"/>
    </row>
    <row r="8861" spans="1:1" x14ac:dyDescent="0.3">
      <c r="A8861" s="6"/>
    </row>
    <row r="8862" spans="1:1" x14ac:dyDescent="0.3">
      <c r="A8862" s="6"/>
    </row>
    <row r="8863" spans="1:1" x14ac:dyDescent="0.3">
      <c r="A8863" s="6"/>
    </row>
    <row r="8864" spans="1:1" x14ac:dyDescent="0.3">
      <c r="A8864" s="6"/>
    </row>
    <row r="8865" spans="1:1" x14ac:dyDescent="0.3">
      <c r="A8865" s="6"/>
    </row>
    <row r="8866" spans="1:1" x14ac:dyDescent="0.3">
      <c r="A8866" s="6"/>
    </row>
    <row r="8867" spans="1:1" x14ac:dyDescent="0.3">
      <c r="A8867" s="6"/>
    </row>
    <row r="8868" spans="1:1" x14ac:dyDescent="0.3">
      <c r="A8868" s="6"/>
    </row>
    <row r="8869" spans="1:1" x14ac:dyDescent="0.3">
      <c r="A8869" s="6"/>
    </row>
    <row r="8870" spans="1:1" x14ac:dyDescent="0.3">
      <c r="A8870" s="6"/>
    </row>
    <row r="8871" spans="1:1" x14ac:dyDescent="0.3">
      <c r="A8871" s="6"/>
    </row>
    <row r="8872" spans="1:1" x14ac:dyDescent="0.3">
      <c r="A8872" s="6"/>
    </row>
    <row r="8873" spans="1:1" x14ac:dyDescent="0.3">
      <c r="A8873" s="6"/>
    </row>
    <row r="8874" spans="1:1" x14ac:dyDescent="0.3">
      <c r="A8874" s="6"/>
    </row>
    <row r="8875" spans="1:1" x14ac:dyDescent="0.3">
      <c r="A8875" s="6"/>
    </row>
    <row r="8876" spans="1:1" x14ac:dyDescent="0.3">
      <c r="A8876" s="6"/>
    </row>
    <row r="8877" spans="1:1" x14ac:dyDescent="0.3">
      <c r="A8877" s="6"/>
    </row>
    <row r="8878" spans="1:1" x14ac:dyDescent="0.3">
      <c r="A8878" s="6"/>
    </row>
    <row r="8879" spans="1:1" x14ac:dyDescent="0.3">
      <c r="A8879" s="6"/>
    </row>
    <row r="8880" spans="1:1" x14ac:dyDescent="0.3">
      <c r="A8880" s="6"/>
    </row>
    <row r="8881" spans="1:1" x14ac:dyDescent="0.3">
      <c r="A8881" s="6"/>
    </row>
    <row r="8882" spans="1:1" x14ac:dyDescent="0.3">
      <c r="A8882" s="6"/>
    </row>
    <row r="8883" spans="1:1" x14ac:dyDescent="0.3">
      <c r="A8883" s="6"/>
    </row>
    <row r="8884" spans="1:1" x14ac:dyDescent="0.3">
      <c r="A8884" s="6"/>
    </row>
    <row r="8885" spans="1:1" x14ac:dyDescent="0.3">
      <c r="A8885" s="6"/>
    </row>
    <row r="8886" spans="1:1" x14ac:dyDescent="0.3">
      <c r="A8886" s="6"/>
    </row>
    <row r="8887" spans="1:1" x14ac:dyDescent="0.3">
      <c r="A8887" s="6"/>
    </row>
    <row r="8888" spans="1:1" x14ac:dyDescent="0.3">
      <c r="A8888" s="6"/>
    </row>
    <row r="8889" spans="1:1" x14ac:dyDescent="0.3">
      <c r="A8889" s="6"/>
    </row>
    <row r="8890" spans="1:1" x14ac:dyDescent="0.3">
      <c r="A8890" s="6"/>
    </row>
    <row r="8891" spans="1:1" x14ac:dyDescent="0.3">
      <c r="A8891" s="6"/>
    </row>
    <row r="8892" spans="1:1" x14ac:dyDescent="0.3">
      <c r="A8892" s="6"/>
    </row>
    <row r="8893" spans="1:1" x14ac:dyDescent="0.3">
      <c r="A8893" s="6"/>
    </row>
    <row r="8894" spans="1:1" x14ac:dyDescent="0.3">
      <c r="A8894" s="6"/>
    </row>
    <row r="8895" spans="1:1" x14ac:dyDescent="0.3">
      <c r="A8895" s="6"/>
    </row>
    <row r="8896" spans="1:1" x14ac:dyDescent="0.3">
      <c r="A8896" s="6"/>
    </row>
    <row r="8897" spans="1:1" x14ac:dyDescent="0.3">
      <c r="A8897" s="6"/>
    </row>
    <row r="8898" spans="1:1" x14ac:dyDescent="0.3">
      <c r="A8898" s="6"/>
    </row>
    <row r="8899" spans="1:1" x14ac:dyDescent="0.3">
      <c r="A8899" s="6"/>
    </row>
    <row r="8900" spans="1:1" x14ac:dyDescent="0.3">
      <c r="A8900" s="6"/>
    </row>
    <row r="8901" spans="1:1" x14ac:dyDescent="0.3">
      <c r="A8901" s="6"/>
    </row>
    <row r="8902" spans="1:1" x14ac:dyDescent="0.3">
      <c r="A8902" s="6"/>
    </row>
    <row r="8903" spans="1:1" x14ac:dyDescent="0.3">
      <c r="A8903" s="6"/>
    </row>
    <row r="8904" spans="1:1" x14ac:dyDescent="0.3">
      <c r="A8904" s="6"/>
    </row>
    <row r="8905" spans="1:1" x14ac:dyDescent="0.3">
      <c r="A8905" s="6"/>
    </row>
    <row r="8906" spans="1:1" x14ac:dyDescent="0.3">
      <c r="A8906" s="6"/>
    </row>
    <row r="8907" spans="1:1" x14ac:dyDescent="0.3">
      <c r="A8907" s="6"/>
    </row>
    <row r="8908" spans="1:1" x14ac:dyDescent="0.3">
      <c r="A8908" s="6"/>
    </row>
    <row r="8909" spans="1:1" x14ac:dyDescent="0.3">
      <c r="A8909" s="6"/>
    </row>
    <row r="8910" spans="1:1" x14ac:dyDescent="0.3">
      <c r="A8910" s="6"/>
    </row>
    <row r="8911" spans="1:1" x14ac:dyDescent="0.3">
      <c r="A8911" s="6"/>
    </row>
    <row r="8912" spans="1:1" x14ac:dyDescent="0.3">
      <c r="A8912" s="6"/>
    </row>
    <row r="8913" spans="1:1" x14ac:dyDescent="0.3">
      <c r="A8913" s="6"/>
    </row>
    <row r="8914" spans="1:1" x14ac:dyDescent="0.3">
      <c r="A8914" s="6"/>
    </row>
    <row r="8915" spans="1:1" x14ac:dyDescent="0.3">
      <c r="A8915" s="6"/>
    </row>
    <row r="8916" spans="1:1" x14ac:dyDescent="0.3">
      <c r="A8916" s="6"/>
    </row>
    <row r="8917" spans="1:1" x14ac:dyDescent="0.3">
      <c r="A8917" s="6"/>
    </row>
    <row r="8918" spans="1:1" x14ac:dyDescent="0.3">
      <c r="A8918" s="6"/>
    </row>
    <row r="8919" spans="1:1" x14ac:dyDescent="0.3">
      <c r="A8919" s="6"/>
    </row>
    <row r="8920" spans="1:1" x14ac:dyDescent="0.3">
      <c r="A8920" s="6"/>
    </row>
    <row r="8921" spans="1:1" x14ac:dyDescent="0.3">
      <c r="A8921" s="6"/>
    </row>
    <row r="8922" spans="1:1" x14ac:dyDescent="0.3">
      <c r="A8922" s="6"/>
    </row>
    <row r="8923" spans="1:1" x14ac:dyDescent="0.3">
      <c r="A8923" s="6"/>
    </row>
    <row r="8924" spans="1:1" x14ac:dyDescent="0.3">
      <c r="A8924" s="6"/>
    </row>
    <row r="8925" spans="1:1" x14ac:dyDescent="0.3">
      <c r="A8925" s="6"/>
    </row>
    <row r="8926" spans="1:1" x14ac:dyDescent="0.3">
      <c r="A8926" s="6"/>
    </row>
    <row r="8927" spans="1:1" x14ac:dyDescent="0.3">
      <c r="A8927" s="6"/>
    </row>
    <row r="8928" spans="1:1" x14ac:dyDescent="0.3">
      <c r="A8928" s="6"/>
    </row>
    <row r="8929" spans="1:1" x14ac:dyDescent="0.3">
      <c r="A8929" s="6"/>
    </row>
    <row r="8930" spans="1:1" x14ac:dyDescent="0.3">
      <c r="A8930" s="6"/>
    </row>
    <row r="8931" spans="1:1" x14ac:dyDescent="0.3">
      <c r="A8931" s="6"/>
    </row>
    <row r="8932" spans="1:1" x14ac:dyDescent="0.3">
      <c r="A8932" s="6"/>
    </row>
    <row r="8933" spans="1:1" x14ac:dyDescent="0.3">
      <c r="A8933" s="6"/>
    </row>
    <row r="8934" spans="1:1" x14ac:dyDescent="0.3">
      <c r="A8934" s="6"/>
    </row>
    <row r="8935" spans="1:1" x14ac:dyDescent="0.3">
      <c r="A8935" s="6"/>
    </row>
    <row r="8936" spans="1:1" x14ac:dyDescent="0.3">
      <c r="A8936" s="6"/>
    </row>
    <row r="8937" spans="1:1" x14ac:dyDescent="0.3">
      <c r="A8937" s="6"/>
    </row>
    <row r="8938" spans="1:1" x14ac:dyDescent="0.3">
      <c r="A8938" s="6"/>
    </row>
    <row r="8939" spans="1:1" x14ac:dyDescent="0.3">
      <c r="A8939" s="6"/>
    </row>
    <row r="8940" spans="1:1" x14ac:dyDescent="0.3">
      <c r="A8940" s="6"/>
    </row>
    <row r="8941" spans="1:1" x14ac:dyDescent="0.3">
      <c r="A8941" s="6"/>
    </row>
    <row r="8942" spans="1:1" x14ac:dyDescent="0.3">
      <c r="A8942" s="6"/>
    </row>
    <row r="8943" spans="1:1" x14ac:dyDescent="0.3">
      <c r="A8943" s="6"/>
    </row>
    <row r="8944" spans="1:1" x14ac:dyDescent="0.3">
      <c r="A8944" s="6"/>
    </row>
    <row r="8945" spans="1:1" x14ac:dyDescent="0.3">
      <c r="A8945" s="6"/>
    </row>
    <row r="8946" spans="1:1" x14ac:dyDescent="0.3">
      <c r="A8946" s="6"/>
    </row>
    <row r="8947" spans="1:1" x14ac:dyDescent="0.3">
      <c r="A8947" s="6"/>
    </row>
    <row r="8948" spans="1:1" x14ac:dyDescent="0.3">
      <c r="A8948" s="6"/>
    </row>
    <row r="8949" spans="1:1" x14ac:dyDescent="0.3">
      <c r="A8949" s="6"/>
    </row>
    <row r="8950" spans="1:1" x14ac:dyDescent="0.3">
      <c r="A8950" s="6"/>
    </row>
    <row r="8951" spans="1:1" x14ac:dyDescent="0.3">
      <c r="A8951" s="6"/>
    </row>
    <row r="8952" spans="1:1" x14ac:dyDescent="0.3">
      <c r="A8952" s="6"/>
    </row>
    <row r="8953" spans="1:1" x14ac:dyDescent="0.3">
      <c r="A8953" s="6"/>
    </row>
    <row r="8954" spans="1:1" x14ac:dyDescent="0.3">
      <c r="A8954" s="6"/>
    </row>
    <row r="8955" spans="1:1" x14ac:dyDescent="0.3">
      <c r="A8955" s="6"/>
    </row>
    <row r="8956" spans="1:1" x14ac:dyDescent="0.3">
      <c r="A8956" s="6"/>
    </row>
    <row r="8957" spans="1:1" x14ac:dyDescent="0.3">
      <c r="A8957" s="6"/>
    </row>
    <row r="8958" spans="1:1" x14ac:dyDescent="0.3">
      <c r="A8958" s="6"/>
    </row>
    <row r="8959" spans="1:1" x14ac:dyDescent="0.3">
      <c r="A8959" s="6"/>
    </row>
    <row r="8960" spans="1:1" x14ac:dyDescent="0.3">
      <c r="A8960" s="6"/>
    </row>
    <row r="8961" spans="1:1" x14ac:dyDescent="0.3">
      <c r="A8961" s="6"/>
    </row>
    <row r="8962" spans="1:1" x14ac:dyDescent="0.3">
      <c r="A8962" s="6"/>
    </row>
    <row r="8963" spans="1:1" x14ac:dyDescent="0.3">
      <c r="A8963" s="6"/>
    </row>
    <row r="8964" spans="1:1" x14ac:dyDescent="0.3">
      <c r="A8964" s="6"/>
    </row>
    <row r="8965" spans="1:1" x14ac:dyDescent="0.3">
      <c r="A8965" s="6"/>
    </row>
    <row r="8966" spans="1:1" x14ac:dyDescent="0.3">
      <c r="A8966" s="6"/>
    </row>
    <row r="8967" spans="1:1" x14ac:dyDescent="0.3">
      <c r="A8967" s="6"/>
    </row>
    <row r="8968" spans="1:1" x14ac:dyDescent="0.3">
      <c r="A8968" s="6"/>
    </row>
    <row r="8969" spans="1:1" x14ac:dyDescent="0.3">
      <c r="A8969" s="6"/>
    </row>
    <row r="8970" spans="1:1" x14ac:dyDescent="0.3">
      <c r="A8970" s="6"/>
    </row>
    <row r="8971" spans="1:1" x14ac:dyDescent="0.3">
      <c r="A8971" s="6"/>
    </row>
    <row r="8972" spans="1:1" x14ac:dyDescent="0.3">
      <c r="A8972" s="6"/>
    </row>
    <row r="8973" spans="1:1" x14ac:dyDescent="0.3">
      <c r="A8973" s="6"/>
    </row>
    <row r="8974" spans="1:1" x14ac:dyDescent="0.3">
      <c r="A8974" s="6"/>
    </row>
    <row r="8975" spans="1:1" x14ac:dyDescent="0.3">
      <c r="A8975" s="6"/>
    </row>
    <row r="8976" spans="1:1" x14ac:dyDescent="0.3">
      <c r="A8976" s="6"/>
    </row>
    <row r="8977" spans="1:1" x14ac:dyDescent="0.3">
      <c r="A8977" s="6"/>
    </row>
    <row r="8978" spans="1:1" x14ac:dyDescent="0.3">
      <c r="A8978" s="6"/>
    </row>
    <row r="8979" spans="1:1" x14ac:dyDescent="0.3">
      <c r="A8979" s="6"/>
    </row>
    <row r="8980" spans="1:1" x14ac:dyDescent="0.3">
      <c r="A8980" s="6"/>
    </row>
    <row r="8981" spans="1:1" x14ac:dyDescent="0.3">
      <c r="A8981" s="6"/>
    </row>
    <row r="8982" spans="1:1" x14ac:dyDescent="0.3">
      <c r="A8982" s="6"/>
    </row>
    <row r="8983" spans="1:1" x14ac:dyDescent="0.3">
      <c r="A8983" s="6"/>
    </row>
    <row r="8984" spans="1:1" x14ac:dyDescent="0.3">
      <c r="A8984" s="6"/>
    </row>
    <row r="8985" spans="1:1" x14ac:dyDescent="0.3">
      <c r="A8985" s="6"/>
    </row>
    <row r="8986" spans="1:1" x14ac:dyDescent="0.3">
      <c r="A8986" s="6"/>
    </row>
    <row r="8987" spans="1:1" x14ac:dyDescent="0.3">
      <c r="A8987" s="6"/>
    </row>
    <row r="8988" spans="1:1" x14ac:dyDescent="0.3">
      <c r="A8988" s="6"/>
    </row>
    <row r="8989" spans="1:1" x14ac:dyDescent="0.3">
      <c r="A8989" s="6"/>
    </row>
    <row r="8990" spans="1:1" x14ac:dyDescent="0.3">
      <c r="A8990" s="6"/>
    </row>
    <row r="8991" spans="1:1" x14ac:dyDescent="0.3">
      <c r="A8991" s="6"/>
    </row>
    <row r="8992" spans="1:1" x14ac:dyDescent="0.3">
      <c r="A8992" s="6"/>
    </row>
    <row r="8993" spans="1:1" x14ac:dyDescent="0.3">
      <c r="A8993" s="6"/>
    </row>
    <row r="8994" spans="1:1" x14ac:dyDescent="0.3">
      <c r="A8994" s="6"/>
    </row>
    <row r="8995" spans="1:1" x14ac:dyDescent="0.3">
      <c r="A8995" s="6"/>
    </row>
    <row r="8996" spans="1:1" x14ac:dyDescent="0.3">
      <c r="A8996" s="6"/>
    </row>
    <row r="8997" spans="1:1" x14ac:dyDescent="0.3">
      <c r="A8997" s="6"/>
    </row>
    <row r="8998" spans="1:1" x14ac:dyDescent="0.3">
      <c r="A8998" s="6"/>
    </row>
    <row r="8999" spans="1:1" x14ac:dyDescent="0.3">
      <c r="A8999" s="6"/>
    </row>
    <row r="9000" spans="1:1" x14ac:dyDescent="0.3">
      <c r="A9000" s="6"/>
    </row>
    <row r="9001" spans="1:1" x14ac:dyDescent="0.3">
      <c r="A9001" s="6"/>
    </row>
    <row r="9002" spans="1:1" x14ac:dyDescent="0.3">
      <c r="A9002" s="6"/>
    </row>
    <row r="9003" spans="1:1" x14ac:dyDescent="0.3">
      <c r="A9003" s="6"/>
    </row>
    <row r="9004" spans="1:1" x14ac:dyDescent="0.3">
      <c r="A9004" s="6"/>
    </row>
    <row r="9005" spans="1:1" x14ac:dyDescent="0.3">
      <c r="A9005" s="6"/>
    </row>
    <row r="9006" spans="1:1" x14ac:dyDescent="0.3">
      <c r="A9006" s="6"/>
    </row>
    <row r="9007" spans="1:1" x14ac:dyDescent="0.3">
      <c r="A9007" s="6"/>
    </row>
    <row r="9008" spans="1:1" x14ac:dyDescent="0.3">
      <c r="A9008" s="6"/>
    </row>
    <row r="9009" spans="1:1" x14ac:dyDescent="0.3">
      <c r="A9009" s="6"/>
    </row>
    <row r="9010" spans="1:1" x14ac:dyDescent="0.3">
      <c r="A9010" s="6"/>
    </row>
    <row r="9011" spans="1:1" x14ac:dyDescent="0.3">
      <c r="A9011" s="6"/>
    </row>
    <row r="9012" spans="1:1" x14ac:dyDescent="0.3">
      <c r="A9012" s="6"/>
    </row>
    <row r="9013" spans="1:1" x14ac:dyDescent="0.3">
      <c r="A9013" s="6"/>
    </row>
    <row r="9014" spans="1:1" x14ac:dyDescent="0.3">
      <c r="A9014" s="6"/>
    </row>
    <row r="9015" spans="1:1" x14ac:dyDescent="0.3">
      <c r="A9015" s="6"/>
    </row>
    <row r="9016" spans="1:1" x14ac:dyDescent="0.3">
      <c r="A9016" s="6"/>
    </row>
    <row r="9017" spans="1:1" x14ac:dyDescent="0.3">
      <c r="A9017" s="6"/>
    </row>
    <row r="9018" spans="1:1" x14ac:dyDescent="0.3">
      <c r="A9018" s="6"/>
    </row>
    <row r="9019" spans="1:1" x14ac:dyDescent="0.3">
      <c r="A9019" s="6"/>
    </row>
    <row r="9020" spans="1:1" x14ac:dyDescent="0.3">
      <c r="A9020" s="6"/>
    </row>
    <row r="9021" spans="1:1" x14ac:dyDescent="0.3">
      <c r="A9021" s="6"/>
    </row>
    <row r="9022" spans="1:1" x14ac:dyDescent="0.3">
      <c r="A9022" s="6"/>
    </row>
    <row r="9023" spans="1:1" x14ac:dyDescent="0.3">
      <c r="A9023" s="6"/>
    </row>
    <row r="9024" spans="1:1" x14ac:dyDescent="0.3">
      <c r="A9024" s="6"/>
    </row>
    <row r="9025" spans="1:1" x14ac:dyDescent="0.3">
      <c r="A9025" s="6"/>
    </row>
    <row r="9026" spans="1:1" x14ac:dyDescent="0.3">
      <c r="A9026" s="6"/>
    </row>
    <row r="9027" spans="1:1" x14ac:dyDescent="0.3">
      <c r="A9027" s="6"/>
    </row>
    <row r="9028" spans="1:1" x14ac:dyDescent="0.3">
      <c r="A9028" s="6"/>
    </row>
    <row r="9029" spans="1:1" x14ac:dyDescent="0.3">
      <c r="A9029" s="6"/>
    </row>
    <row r="9030" spans="1:1" x14ac:dyDescent="0.3">
      <c r="A9030" s="6"/>
    </row>
    <row r="9031" spans="1:1" x14ac:dyDescent="0.3">
      <c r="A9031" s="6"/>
    </row>
    <row r="9032" spans="1:1" x14ac:dyDescent="0.3">
      <c r="A9032" s="6"/>
    </row>
    <row r="9033" spans="1:1" x14ac:dyDescent="0.3">
      <c r="A9033" s="6"/>
    </row>
    <row r="9034" spans="1:1" x14ac:dyDescent="0.3">
      <c r="A9034" s="6"/>
    </row>
    <row r="9035" spans="1:1" x14ac:dyDescent="0.3">
      <c r="A9035" s="6"/>
    </row>
    <row r="9036" spans="1:1" x14ac:dyDescent="0.3">
      <c r="A9036" s="6"/>
    </row>
    <row r="9037" spans="1:1" x14ac:dyDescent="0.3">
      <c r="A9037" s="6"/>
    </row>
    <row r="9038" spans="1:1" x14ac:dyDescent="0.3">
      <c r="A9038" s="6"/>
    </row>
    <row r="9039" spans="1:1" x14ac:dyDescent="0.3">
      <c r="A9039" s="6"/>
    </row>
    <row r="9040" spans="1:1" x14ac:dyDescent="0.3">
      <c r="A9040" s="6"/>
    </row>
    <row r="9041" spans="1:1" x14ac:dyDescent="0.3">
      <c r="A9041" s="6"/>
    </row>
    <row r="9042" spans="1:1" x14ac:dyDescent="0.3">
      <c r="A9042" s="6"/>
    </row>
    <row r="9043" spans="1:1" x14ac:dyDescent="0.3">
      <c r="A9043" s="6"/>
    </row>
    <row r="9044" spans="1:1" x14ac:dyDescent="0.3">
      <c r="A9044" s="6"/>
    </row>
    <row r="9045" spans="1:1" x14ac:dyDescent="0.3">
      <c r="A9045" s="6"/>
    </row>
    <row r="9046" spans="1:1" x14ac:dyDescent="0.3">
      <c r="A9046" s="6"/>
    </row>
    <row r="9047" spans="1:1" x14ac:dyDescent="0.3">
      <c r="A9047" s="6"/>
    </row>
    <row r="9048" spans="1:1" x14ac:dyDescent="0.3">
      <c r="A9048" s="6"/>
    </row>
    <row r="9049" spans="1:1" x14ac:dyDescent="0.3">
      <c r="A9049" s="6"/>
    </row>
    <row r="9050" spans="1:1" x14ac:dyDescent="0.3">
      <c r="A9050" s="6"/>
    </row>
    <row r="9051" spans="1:1" x14ac:dyDescent="0.3">
      <c r="A9051" s="6"/>
    </row>
    <row r="9052" spans="1:1" x14ac:dyDescent="0.3">
      <c r="A9052" s="6"/>
    </row>
    <row r="9053" spans="1:1" x14ac:dyDescent="0.3">
      <c r="A9053" s="6"/>
    </row>
    <row r="9054" spans="1:1" x14ac:dyDescent="0.3">
      <c r="A9054" s="6"/>
    </row>
    <row r="9055" spans="1:1" x14ac:dyDescent="0.3">
      <c r="A9055" s="6"/>
    </row>
    <row r="9056" spans="1:1" x14ac:dyDescent="0.3">
      <c r="A9056" s="6"/>
    </row>
    <row r="9057" spans="1:1" x14ac:dyDescent="0.3">
      <c r="A9057" s="6"/>
    </row>
    <row r="9058" spans="1:1" x14ac:dyDescent="0.3">
      <c r="A9058" s="6"/>
    </row>
    <row r="9059" spans="1:1" x14ac:dyDescent="0.3">
      <c r="A9059" s="6"/>
    </row>
    <row r="9060" spans="1:1" x14ac:dyDescent="0.3">
      <c r="A9060" s="6"/>
    </row>
    <row r="9061" spans="1:1" x14ac:dyDescent="0.3">
      <c r="A9061" s="6"/>
    </row>
    <row r="9062" spans="1:1" x14ac:dyDescent="0.3">
      <c r="A9062" s="6"/>
    </row>
    <row r="9063" spans="1:1" x14ac:dyDescent="0.3">
      <c r="A9063" s="6"/>
    </row>
    <row r="9064" spans="1:1" x14ac:dyDescent="0.3">
      <c r="A9064" s="6"/>
    </row>
    <row r="9065" spans="1:1" x14ac:dyDescent="0.3">
      <c r="A9065" s="6"/>
    </row>
    <row r="9066" spans="1:1" x14ac:dyDescent="0.3">
      <c r="A9066" s="6"/>
    </row>
    <row r="9067" spans="1:1" x14ac:dyDescent="0.3">
      <c r="A9067" s="6"/>
    </row>
    <row r="9068" spans="1:1" x14ac:dyDescent="0.3">
      <c r="A9068" s="6"/>
    </row>
    <row r="9069" spans="1:1" x14ac:dyDescent="0.3">
      <c r="A9069" s="6"/>
    </row>
    <row r="9070" spans="1:1" x14ac:dyDescent="0.3">
      <c r="A9070" s="6"/>
    </row>
    <row r="9071" spans="1:1" x14ac:dyDescent="0.3">
      <c r="A9071" s="6"/>
    </row>
    <row r="9072" spans="1:1" x14ac:dyDescent="0.3">
      <c r="A9072" s="6"/>
    </row>
    <row r="9073" spans="1:1" x14ac:dyDescent="0.3">
      <c r="A9073" s="6"/>
    </row>
    <row r="9074" spans="1:1" x14ac:dyDescent="0.3">
      <c r="A9074" s="6"/>
    </row>
    <row r="9075" spans="1:1" x14ac:dyDescent="0.3">
      <c r="A9075" s="6"/>
    </row>
    <row r="9076" spans="1:1" x14ac:dyDescent="0.3">
      <c r="A9076" s="6"/>
    </row>
    <row r="9077" spans="1:1" x14ac:dyDescent="0.3">
      <c r="A9077" s="6"/>
    </row>
    <row r="9078" spans="1:1" x14ac:dyDescent="0.3">
      <c r="A9078" s="6"/>
    </row>
    <row r="9079" spans="1:1" x14ac:dyDescent="0.3">
      <c r="A9079" s="6"/>
    </row>
    <row r="9080" spans="1:1" x14ac:dyDescent="0.3">
      <c r="A9080" s="6"/>
    </row>
    <row r="9081" spans="1:1" x14ac:dyDescent="0.3">
      <c r="A9081" s="6"/>
    </row>
    <row r="9082" spans="1:1" x14ac:dyDescent="0.3">
      <c r="A9082" s="6"/>
    </row>
    <row r="9083" spans="1:1" x14ac:dyDescent="0.3">
      <c r="A9083" s="6"/>
    </row>
    <row r="9084" spans="1:1" x14ac:dyDescent="0.3">
      <c r="A9084" s="6"/>
    </row>
    <row r="9085" spans="1:1" x14ac:dyDescent="0.3">
      <c r="A9085" s="6"/>
    </row>
    <row r="9086" spans="1:1" x14ac:dyDescent="0.3">
      <c r="A9086" s="6"/>
    </row>
    <row r="9087" spans="1:1" x14ac:dyDescent="0.3">
      <c r="A9087" s="6"/>
    </row>
    <row r="9088" spans="1:1" x14ac:dyDescent="0.3">
      <c r="A9088" s="6"/>
    </row>
    <row r="9089" spans="1:1" x14ac:dyDescent="0.3">
      <c r="A9089" s="6"/>
    </row>
    <row r="9090" spans="1:1" x14ac:dyDescent="0.3">
      <c r="A9090" s="6"/>
    </row>
    <row r="9091" spans="1:1" x14ac:dyDescent="0.3">
      <c r="A9091" s="6"/>
    </row>
    <row r="9092" spans="1:1" x14ac:dyDescent="0.3">
      <c r="A9092" s="6"/>
    </row>
    <row r="9093" spans="1:1" x14ac:dyDescent="0.3">
      <c r="A9093" s="6"/>
    </row>
    <row r="9094" spans="1:1" x14ac:dyDescent="0.3">
      <c r="A9094" s="6"/>
    </row>
    <row r="9095" spans="1:1" x14ac:dyDescent="0.3">
      <c r="A9095" s="6"/>
    </row>
    <row r="9096" spans="1:1" x14ac:dyDescent="0.3">
      <c r="A9096" s="6"/>
    </row>
    <row r="9097" spans="1:1" x14ac:dyDescent="0.3">
      <c r="A9097" s="6"/>
    </row>
    <row r="9098" spans="1:1" x14ac:dyDescent="0.3">
      <c r="A9098" s="6"/>
    </row>
    <row r="9099" spans="1:1" x14ac:dyDescent="0.3">
      <c r="A9099" s="6"/>
    </row>
    <row r="9100" spans="1:1" x14ac:dyDescent="0.3">
      <c r="A9100" s="6"/>
    </row>
    <row r="9101" spans="1:1" x14ac:dyDescent="0.3">
      <c r="A9101" s="6"/>
    </row>
    <row r="9102" spans="1:1" x14ac:dyDescent="0.3">
      <c r="A9102" s="6"/>
    </row>
    <row r="9103" spans="1:1" x14ac:dyDescent="0.3">
      <c r="A9103" s="6"/>
    </row>
    <row r="9104" spans="1:1" x14ac:dyDescent="0.3">
      <c r="A9104" s="6"/>
    </row>
    <row r="9105" spans="1:1" x14ac:dyDescent="0.3">
      <c r="A9105" s="6"/>
    </row>
    <row r="9106" spans="1:1" x14ac:dyDescent="0.3">
      <c r="A9106" s="6"/>
    </row>
    <row r="9107" spans="1:1" x14ac:dyDescent="0.3">
      <c r="A9107" s="6"/>
    </row>
    <row r="9108" spans="1:1" x14ac:dyDescent="0.3">
      <c r="A9108" s="6"/>
    </row>
    <row r="9109" spans="1:1" x14ac:dyDescent="0.3">
      <c r="A9109" s="6"/>
    </row>
    <row r="9110" spans="1:1" x14ac:dyDescent="0.3">
      <c r="A9110" s="6"/>
    </row>
    <row r="9111" spans="1:1" x14ac:dyDescent="0.3">
      <c r="A9111" s="6"/>
    </row>
    <row r="9112" spans="1:1" x14ac:dyDescent="0.3">
      <c r="A9112" s="6"/>
    </row>
    <row r="9113" spans="1:1" x14ac:dyDescent="0.3">
      <c r="A9113" s="6"/>
    </row>
    <row r="9114" spans="1:1" x14ac:dyDescent="0.3">
      <c r="A9114" s="6"/>
    </row>
    <row r="9115" spans="1:1" x14ac:dyDescent="0.3">
      <c r="A9115" s="6"/>
    </row>
    <row r="9116" spans="1:1" x14ac:dyDescent="0.3">
      <c r="A9116" s="6"/>
    </row>
    <row r="9117" spans="1:1" x14ac:dyDescent="0.3">
      <c r="A9117" s="6"/>
    </row>
    <row r="9118" spans="1:1" x14ac:dyDescent="0.3">
      <c r="A9118" s="6"/>
    </row>
    <row r="9119" spans="1:1" x14ac:dyDescent="0.3">
      <c r="A9119" s="6"/>
    </row>
    <row r="9120" spans="1:1" x14ac:dyDescent="0.3">
      <c r="A9120" s="6"/>
    </row>
    <row r="9121" spans="1:1" x14ac:dyDescent="0.3">
      <c r="A9121" s="6"/>
    </row>
    <row r="9122" spans="1:1" x14ac:dyDescent="0.3">
      <c r="A9122" s="6"/>
    </row>
    <row r="9123" spans="1:1" x14ac:dyDescent="0.3">
      <c r="A9123" s="6"/>
    </row>
    <row r="9124" spans="1:1" x14ac:dyDescent="0.3">
      <c r="A9124" s="6"/>
    </row>
    <row r="9125" spans="1:1" x14ac:dyDescent="0.3">
      <c r="A9125" s="6"/>
    </row>
    <row r="9126" spans="1:1" x14ac:dyDescent="0.3">
      <c r="A9126" s="6"/>
    </row>
    <row r="9127" spans="1:1" x14ac:dyDescent="0.3">
      <c r="A9127" s="6"/>
    </row>
    <row r="9128" spans="1:1" x14ac:dyDescent="0.3">
      <c r="A9128" s="6"/>
    </row>
    <row r="9129" spans="1:1" x14ac:dyDescent="0.3">
      <c r="A9129" s="6"/>
    </row>
    <row r="9130" spans="1:1" x14ac:dyDescent="0.3">
      <c r="A9130" s="6"/>
    </row>
    <row r="9131" spans="1:1" x14ac:dyDescent="0.3">
      <c r="A9131" s="6"/>
    </row>
    <row r="9132" spans="1:1" x14ac:dyDescent="0.3">
      <c r="A9132" s="6"/>
    </row>
    <row r="9133" spans="1:1" x14ac:dyDescent="0.3">
      <c r="A9133" s="6"/>
    </row>
    <row r="9134" spans="1:1" x14ac:dyDescent="0.3">
      <c r="A9134" s="6"/>
    </row>
    <row r="9135" spans="1:1" x14ac:dyDescent="0.3">
      <c r="A9135" s="6"/>
    </row>
    <row r="9136" spans="1:1" x14ac:dyDescent="0.3">
      <c r="A9136" s="6"/>
    </row>
    <row r="9137" spans="1:1" x14ac:dyDescent="0.3">
      <c r="A9137" s="6"/>
    </row>
    <row r="9138" spans="1:1" x14ac:dyDescent="0.3">
      <c r="A9138" s="6"/>
    </row>
    <row r="9139" spans="1:1" x14ac:dyDescent="0.3">
      <c r="A9139" s="6"/>
    </row>
    <row r="9140" spans="1:1" x14ac:dyDescent="0.3">
      <c r="A9140" s="6"/>
    </row>
    <row r="9141" spans="1:1" x14ac:dyDescent="0.3">
      <c r="A9141" s="6"/>
    </row>
    <row r="9142" spans="1:1" x14ac:dyDescent="0.3">
      <c r="A9142" s="6"/>
    </row>
    <row r="9143" spans="1:1" x14ac:dyDescent="0.3">
      <c r="A9143" s="6"/>
    </row>
    <row r="9144" spans="1:1" x14ac:dyDescent="0.3">
      <c r="A9144" s="6"/>
    </row>
    <row r="9145" spans="1:1" x14ac:dyDescent="0.3">
      <c r="A9145" s="6"/>
    </row>
    <row r="9146" spans="1:1" x14ac:dyDescent="0.3">
      <c r="A9146" s="6"/>
    </row>
    <row r="9147" spans="1:1" x14ac:dyDescent="0.3">
      <c r="A9147" s="6"/>
    </row>
    <row r="9148" spans="1:1" x14ac:dyDescent="0.3">
      <c r="A9148" s="6"/>
    </row>
    <row r="9149" spans="1:1" x14ac:dyDescent="0.3">
      <c r="A9149" s="6"/>
    </row>
    <row r="9150" spans="1:1" x14ac:dyDescent="0.3">
      <c r="A9150" s="6"/>
    </row>
    <row r="9151" spans="1:1" x14ac:dyDescent="0.3">
      <c r="A9151" s="6"/>
    </row>
    <row r="9152" spans="1:1" x14ac:dyDescent="0.3">
      <c r="A9152" s="6"/>
    </row>
    <row r="9153" spans="1:1" x14ac:dyDescent="0.3">
      <c r="A9153" s="6"/>
    </row>
    <row r="9154" spans="1:1" x14ac:dyDescent="0.3">
      <c r="A9154" s="6"/>
    </row>
    <row r="9155" spans="1:1" x14ac:dyDescent="0.3">
      <c r="A9155" s="6"/>
    </row>
    <row r="9156" spans="1:1" x14ac:dyDescent="0.3">
      <c r="A9156" s="6"/>
    </row>
    <row r="9157" spans="1:1" x14ac:dyDescent="0.3">
      <c r="A9157" s="6"/>
    </row>
    <row r="9158" spans="1:1" x14ac:dyDescent="0.3">
      <c r="A9158" s="6"/>
    </row>
    <row r="9159" spans="1:1" x14ac:dyDescent="0.3">
      <c r="A9159" s="6"/>
    </row>
    <row r="9160" spans="1:1" x14ac:dyDescent="0.3">
      <c r="A9160" s="6"/>
    </row>
    <row r="9161" spans="1:1" x14ac:dyDescent="0.3">
      <c r="A9161" s="6"/>
    </row>
    <row r="9162" spans="1:1" x14ac:dyDescent="0.3">
      <c r="A9162" s="6"/>
    </row>
    <row r="9163" spans="1:1" x14ac:dyDescent="0.3">
      <c r="A9163" s="6"/>
    </row>
    <row r="9164" spans="1:1" x14ac:dyDescent="0.3">
      <c r="A9164" s="6"/>
    </row>
    <row r="9165" spans="1:1" x14ac:dyDescent="0.3">
      <c r="A9165" s="6"/>
    </row>
    <row r="9166" spans="1:1" x14ac:dyDescent="0.3">
      <c r="A9166" s="6"/>
    </row>
    <row r="9167" spans="1:1" x14ac:dyDescent="0.3">
      <c r="A9167" s="6"/>
    </row>
    <row r="9168" spans="1:1" x14ac:dyDescent="0.3">
      <c r="A9168" s="6"/>
    </row>
    <row r="9169" spans="1:1" x14ac:dyDescent="0.3">
      <c r="A9169" s="6"/>
    </row>
    <row r="9170" spans="1:1" x14ac:dyDescent="0.3">
      <c r="A9170" s="6"/>
    </row>
    <row r="9171" spans="1:1" x14ac:dyDescent="0.3">
      <c r="A9171" s="6"/>
    </row>
    <row r="9172" spans="1:1" x14ac:dyDescent="0.3">
      <c r="A9172" s="6"/>
    </row>
    <row r="9173" spans="1:1" x14ac:dyDescent="0.3">
      <c r="A9173" s="6"/>
    </row>
    <row r="9174" spans="1:1" x14ac:dyDescent="0.3">
      <c r="A9174" s="6"/>
    </row>
    <row r="9175" spans="1:1" x14ac:dyDescent="0.3">
      <c r="A9175" s="6"/>
    </row>
    <row r="9176" spans="1:1" x14ac:dyDescent="0.3">
      <c r="A9176" s="6"/>
    </row>
    <row r="9177" spans="1:1" x14ac:dyDescent="0.3">
      <c r="A9177" s="6"/>
    </row>
    <row r="9178" spans="1:1" x14ac:dyDescent="0.3">
      <c r="A9178" s="6"/>
    </row>
    <row r="9179" spans="1:1" x14ac:dyDescent="0.3">
      <c r="A9179" s="6"/>
    </row>
    <row r="9180" spans="1:1" x14ac:dyDescent="0.3">
      <c r="A9180" s="6"/>
    </row>
    <row r="9181" spans="1:1" x14ac:dyDescent="0.3">
      <c r="A9181" s="6"/>
    </row>
    <row r="9182" spans="1:1" x14ac:dyDescent="0.3">
      <c r="A9182" s="6"/>
    </row>
    <row r="9183" spans="1:1" x14ac:dyDescent="0.3">
      <c r="A9183" s="6"/>
    </row>
    <row r="9184" spans="1:1" x14ac:dyDescent="0.3">
      <c r="A9184" s="6"/>
    </row>
    <row r="9185" spans="1:1" x14ac:dyDescent="0.3">
      <c r="A9185" s="6"/>
    </row>
    <row r="9186" spans="1:1" x14ac:dyDescent="0.3">
      <c r="A9186" s="6"/>
    </row>
    <row r="9187" spans="1:1" x14ac:dyDescent="0.3">
      <c r="A9187" s="6"/>
    </row>
    <row r="9188" spans="1:1" x14ac:dyDescent="0.3">
      <c r="A9188" s="6"/>
    </row>
    <row r="9189" spans="1:1" x14ac:dyDescent="0.3">
      <c r="A9189" s="6"/>
    </row>
    <row r="9190" spans="1:1" x14ac:dyDescent="0.3">
      <c r="A9190" s="6"/>
    </row>
    <row r="9191" spans="1:1" x14ac:dyDescent="0.3">
      <c r="A9191" s="6"/>
    </row>
    <row r="9192" spans="1:1" x14ac:dyDescent="0.3">
      <c r="A9192" s="6"/>
    </row>
    <row r="9193" spans="1:1" x14ac:dyDescent="0.3">
      <c r="A9193" s="6"/>
    </row>
    <row r="9194" spans="1:1" x14ac:dyDescent="0.3">
      <c r="A9194" s="6"/>
    </row>
    <row r="9195" spans="1:1" x14ac:dyDescent="0.3">
      <c r="A9195" s="6"/>
    </row>
    <row r="9196" spans="1:1" x14ac:dyDescent="0.3">
      <c r="A9196" s="6"/>
    </row>
    <row r="9197" spans="1:1" x14ac:dyDescent="0.3">
      <c r="A9197" s="6"/>
    </row>
    <row r="9198" spans="1:1" x14ac:dyDescent="0.3">
      <c r="A9198" s="6"/>
    </row>
    <row r="9199" spans="1:1" x14ac:dyDescent="0.3">
      <c r="A9199" s="6"/>
    </row>
    <row r="9200" spans="1:1" x14ac:dyDescent="0.3">
      <c r="A9200" s="6"/>
    </row>
    <row r="9201" spans="1:1" x14ac:dyDescent="0.3">
      <c r="A9201" s="6"/>
    </row>
    <row r="9202" spans="1:1" x14ac:dyDescent="0.3">
      <c r="A9202" s="6"/>
    </row>
    <row r="9203" spans="1:1" x14ac:dyDescent="0.3">
      <c r="A9203" s="6"/>
    </row>
    <row r="9204" spans="1:1" x14ac:dyDescent="0.3">
      <c r="A9204" s="6"/>
    </row>
    <row r="9205" spans="1:1" x14ac:dyDescent="0.3">
      <c r="A9205" s="6"/>
    </row>
    <row r="9206" spans="1:1" x14ac:dyDescent="0.3">
      <c r="A9206" s="6"/>
    </row>
    <row r="9207" spans="1:1" x14ac:dyDescent="0.3">
      <c r="A9207" s="6"/>
    </row>
    <row r="9208" spans="1:1" x14ac:dyDescent="0.3">
      <c r="A9208" s="6"/>
    </row>
    <row r="9209" spans="1:1" x14ac:dyDescent="0.3">
      <c r="A9209" s="6"/>
    </row>
    <row r="9210" spans="1:1" x14ac:dyDescent="0.3">
      <c r="A9210" s="6"/>
    </row>
    <row r="9211" spans="1:1" x14ac:dyDescent="0.3">
      <c r="A9211" s="6"/>
    </row>
    <row r="9212" spans="1:1" x14ac:dyDescent="0.3">
      <c r="A9212" s="6"/>
    </row>
    <row r="9213" spans="1:1" x14ac:dyDescent="0.3">
      <c r="A9213" s="6"/>
    </row>
    <row r="9214" spans="1:1" x14ac:dyDescent="0.3">
      <c r="A9214" s="6"/>
    </row>
    <row r="9215" spans="1:1" x14ac:dyDescent="0.3">
      <c r="A9215" s="6"/>
    </row>
    <row r="9216" spans="1:1" x14ac:dyDescent="0.3">
      <c r="A9216" s="6"/>
    </row>
    <row r="9217" spans="1:1" x14ac:dyDescent="0.3">
      <c r="A9217" s="6"/>
    </row>
    <row r="9218" spans="1:1" x14ac:dyDescent="0.3">
      <c r="A9218" s="6"/>
    </row>
    <row r="9219" spans="1:1" x14ac:dyDescent="0.3">
      <c r="A9219" s="6"/>
    </row>
    <row r="9220" spans="1:1" x14ac:dyDescent="0.3">
      <c r="A9220" s="6"/>
    </row>
    <row r="9221" spans="1:1" x14ac:dyDescent="0.3">
      <c r="A9221" s="6"/>
    </row>
    <row r="9222" spans="1:1" x14ac:dyDescent="0.3">
      <c r="A9222" s="6"/>
    </row>
    <row r="9223" spans="1:1" x14ac:dyDescent="0.3">
      <c r="A9223" s="6"/>
    </row>
    <row r="9224" spans="1:1" x14ac:dyDescent="0.3">
      <c r="A9224" s="6"/>
    </row>
    <row r="9225" spans="1:1" x14ac:dyDescent="0.3">
      <c r="A9225" s="6"/>
    </row>
    <row r="9226" spans="1:1" x14ac:dyDescent="0.3">
      <c r="A9226" s="6"/>
    </row>
    <row r="9227" spans="1:1" x14ac:dyDescent="0.3">
      <c r="A9227" s="6"/>
    </row>
    <row r="9228" spans="1:1" x14ac:dyDescent="0.3">
      <c r="A9228" s="6"/>
    </row>
    <row r="9229" spans="1:1" x14ac:dyDescent="0.3">
      <c r="A9229" s="6"/>
    </row>
    <row r="9230" spans="1:1" x14ac:dyDescent="0.3">
      <c r="A9230" s="6"/>
    </row>
    <row r="9231" spans="1:1" x14ac:dyDescent="0.3">
      <c r="A9231" s="6"/>
    </row>
    <row r="9232" spans="1:1" x14ac:dyDescent="0.3">
      <c r="A9232" s="6"/>
    </row>
    <row r="9233" spans="1:1" x14ac:dyDescent="0.3">
      <c r="A9233" s="6"/>
    </row>
    <row r="9234" spans="1:1" x14ac:dyDescent="0.3">
      <c r="A9234" s="6"/>
    </row>
    <row r="9235" spans="1:1" x14ac:dyDescent="0.3">
      <c r="A9235" s="6"/>
    </row>
    <row r="9236" spans="1:1" x14ac:dyDescent="0.3">
      <c r="A9236" s="6"/>
    </row>
    <row r="9237" spans="1:1" x14ac:dyDescent="0.3">
      <c r="A9237" s="6"/>
    </row>
    <row r="9238" spans="1:1" x14ac:dyDescent="0.3">
      <c r="A9238" s="6"/>
    </row>
    <row r="9239" spans="1:1" x14ac:dyDescent="0.3">
      <c r="A9239" s="6"/>
    </row>
    <row r="9240" spans="1:1" x14ac:dyDescent="0.3">
      <c r="A9240" s="6"/>
    </row>
    <row r="9241" spans="1:1" x14ac:dyDescent="0.3">
      <c r="A9241" s="6"/>
    </row>
    <row r="9242" spans="1:1" x14ac:dyDescent="0.3">
      <c r="A9242" s="6"/>
    </row>
    <row r="9243" spans="1:1" x14ac:dyDescent="0.3">
      <c r="A9243" s="6"/>
    </row>
    <row r="9244" spans="1:1" x14ac:dyDescent="0.3">
      <c r="A9244" s="6"/>
    </row>
    <row r="9245" spans="1:1" x14ac:dyDescent="0.3">
      <c r="A9245" s="6"/>
    </row>
    <row r="9246" spans="1:1" x14ac:dyDescent="0.3">
      <c r="A9246" s="6"/>
    </row>
    <row r="9247" spans="1:1" x14ac:dyDescent="0.3">
      <c r="A9247" s="6"/>
    </row>
    <row r="9248" spans="1:1" x14ac:dyDescent="0.3">
      <c r="A9248" s="6"/>
    </row>
    <row r="9249" spans="1:1" x14ac:dyDescent="0.3">
      <c r="A9249" s="6"/>
    </row>
    <row r="9250" spans="1:1" x14ac:dyDescent="0.3">
      <c r="A9250" s="6"/>
    </row>
    <row r="9251" spans="1:1" x14ac:dyDescent="0.3">
      <c r="A9251" s="6"/>
    </row>
    <row r="9252" spans="1:1" x14ac:dyDescent="0.3">
      <c r="A9252" s="6"/>
    </row>
    <row r="9253" spans="1:1" x14ac:dyDescent="0.3">
      <c r="A9253" s="6"/>
    </row>
    <row r="9254" spans="1:1" x14ac:dyDescent="0.3">
      <c r="A9254" s="6"/>
    </row>
    <row r="9255" spans="1:1" x14ac:dyDescent="0.3">
      <c r="A9255" s="6"/>
    </row>
    <row r="9256" spans="1:1" x14ac:dyDescent="0.3">
      <c r="A9256" s="6"/>
    </row>
    <row r="9257" spans="1:1" x14ac:dyDescent="0.3">
      <c r="A9257" s="6"/>
    </row>
    <row r="9258" spans="1:1" x14ac:dyDescent="0.3">
      <c r="A9258" s="6"/>
    </row>
    <row r="9259" spans="1:1" x14ac:dyDescent="0.3">
      <c r="A9259" s="6"/>
    </row>
    <row r="9260" spans="1:1" x14ac:dyDescent="0.3">
      <c r="A9260" s="6"/>
    </row>
    <row r="9261" spans="1:1" x14ac:dyDescent="0.3">
      <c r="A9261" s="6"/>
    </row>
    <row r="9262" spans="1:1" x14ac:dyDescent="0.3">
      <c r="A9262" s="6"/>
    </row>
    <row r="9263" spans="1:1" x14ac:dyDescent="0.3">
      <c r="A9263" s="6"/>
    </row>
    <row r="9264" spans="1:1" x14ac:dyDescent="0.3">
      <c r="A9264" s="6"/>
    </row>
    <row r="9265" spans="1:1" x14ac:dyDescent="0.3">
      <c r="A9265" s="6"/>
    </row>
    <row r="9266" spans="1:1" x14ac:dyDescent="0.3">
      <c r="A9266" s="6"/>
    </row>
    <row r="9267" spans="1:1" x14ac:dyDescent="0.3">
      <c r="A9267" s="6"/>
    </row>
    <row r="9268" spans="1:1" x14ac:dyDescent="0.3">
      <c r="A9268" s="6"/>
    </row>
    <row r="9269" spans="1:1" x14ac:dyDescent="0.3">
      <c r="A9269" s="6"/>
    </row>
    <row r="9270" spans="1:1" x14ac:dyDescent="0.3">
      <c r="A9270" s="6"/>
    </row>
    <row r="9271" spans="1:1" x14ac:dyDescent="0.3">
      <c r="A9271" s="6"/>
    </row>
    <row r="9272" spans="1:1" x14ac:dyDescent="0.3">
      <c r="A9272" s="6"/>
    </row>
    <row r="9273" spans="1:1" x14ac:dyDescent="0.3">
      <c r="A9273" s="6"/>
    </row>
    <row r="9274" spans="1:1" x14ac:dyDescent="0.3">
      <c r="A9274" s="6"/>
    </row>
    <row r="9275" spans="1:1" x14ac:dyDescent="0.3">
      <c r="A9275" s="6"/>
    </row>
    <row r="9276" spans="1:1" x14ac:dyDescent="0.3">
      <c r="A9276" s="6"/>
    </row>
    <row r="9277" spans="1:1" x14ac:dyDescent="0.3">
      <c r="A9277" s="6"/>
    </row>
    <row r="9278" spans="1:1" x14ac:dyDescent="0.3">
      <c r="A9278" s="6"/>
    </row>
    <row r="9279" spans="1:1" x14ac:dyDescent="0.3">
      <c r="A9279" s="6"/>
    </row>
    <row r="9280" spans="1:1" x14ac:dyDescent="0.3">
      <c r="A9280" s="6"/>
    </row>
    <row r="9281" spans="1:1" x14ac:dyDescent="0.3">
      <c r="A9281" s="6"/>
    </row>
    <row r="9282" spans="1:1" x14ac:dyDescent="0.3">
      <c r="A9282" s="6"/>
    </row>
    <row r="9283" spans="1:1" x14ac:dyDescent="0.3">
      <c r="A9283" s="6"/>
    </row>
    <row r="9284" spans="1:1" x14ac:dyDescent="0.3">
      <c r="A9284" s="6"/>
    </row>
    <row r="9285" spans="1:1" x14ac:dyDescent="0.3">
      <c r="A9285" s="6"/>
    </row>
    <row r="9286" spans="1:1" x14ac:dyDescent="0.3">
      <c r="A9286" s="6"/>
    </row>
    <row r="9287" spans="1:1" x14ac:dyDescent="0.3">
      <c r="A9287" s="6"/>
    </row>
    <row r="9288" spans="1:1" x14ac:dyDescent="0.3">
      <c r="A9288" s="6"/>
    </row>
    <row r="9289" spans="1:1" x14ac:dyDescent="0.3">
      <c r="A9289" s="6"/>
    </row>
    <row r="9290" spans="1:1" x14ac:dyDescent="0.3">
      <c r="A9290" s="6"/>
    </row>
    <row r="9291" spans="1:1" x14ac:dyDescent="0.3">
      <c r="A9291" s="6"/>
    </row>
    <row r="9292" spans="1:1" x14ac:dyDescent="0.3">
      <c r="A9292" s="6"/>
    </row>
    <row r="9293" spans="1:1" x14ac:dyDescent="0.3">
      <c r="A9293" s="6"/>
    </row>
    <row r="9294" spans="1:1" x14ac:dyDescent="0.3">
      <c r="A9294" s="6"/>
    </row>
    <row r="9295" spans="1:1" x14ac:dyDescent="0.3">
      <c r="A9295" s="6"/>
    </row>
    <row r="9296" spans="1:1" x14ac:dyDescent="0.3">
      <c r="A9296" s="6"/>
    </row>
    <row r="9297" spans="1:1" x14ac:dyDescent="0.3">
      <c r="A9297" s="6"/>
    </row>
    <row r="9298" spans="1:1" x14ac:dyDescent="0.3">
      <c r="A9298" s="6"/>
    </row>
    <row r="9299" spans="1:1" x14ac:dyDescent="0.3">
      <c r="A9299" s="6"/>
    </row>
    <row r="9300" spans="1:1" x14ac:dyDescent="0.3">
      <c r="A9300" s="6"/>
    </row>
    <row r="9301" spans="1:1" x14ac:dyDescent="0.3">
      <c r="A9301" s="6"/>
    </row>
    <row r="9302" spans="1:1" x14ac:dyDescent="0.3">
      <c r="A9302" s="6"/>
    </row>
    <row r="9303" spans="1:1" x14ac:dyDescent="0.3">
      <c r="A9303" s="6"/>
    </row>
    <row r="9304" spans="1:1" x14ac:dyDescent="0.3">
      <c r="A9304" s="6"/>
    </row>
    <row r="9305" spans="1:1" x14ac:dyDescent="0.3">
      <c r="A9305" s="6"/>
    </row>
    <row r="9306" spans="1:1" x14ac:dyDescent="0.3">
      <c r="A9306" s="6"/>
    </row>
    <row r="9307" spans="1:1" x14ac:dyDescent="0.3">
      <c r="A9307" s="6"/>
    </row>
    <row r="9308" spans="1:1" x14ac:dyDescent="0.3">
      <c r="A9308" s="6"/>
    </row>
    <row r="9309" spans="1:1" x14ac:dyDescent="0.3">
      <c r="A9309" s="6"/>
    </row>
    <row r="9310" spans="1:1" x14ac:dyDescent="0.3">
      <c r="A9310" s="6"/>
    </row>
    <row r="9311" spans="1:1" x14ac:dyDescent="0.3">
      <c r="A9311" s="6"/>
    </row>
    <row r="9312" spans="1:1" x14ac:dyDescent="0.3">
      <c r="A9312" s="6"/>
    </row>
    <row r="9313" spans="1:1" x14ac:dyDescent="0.3">
      <c r="A9313" s="6"/>
    </row>
    <row r="9314" spans="1:1" x14ac:dyDescent="0.3">
      <c r="A9314" s="6"/>
    </row>
    <row r="9315" spans="1:1" x14ac:dyDescent="0.3">
      <c r="A9315" s="6"/>
    </row>
    <row r="9316" spans="1:1" x14ac:dyDescent="0.3">
      <c r="A9316" s="6"/>
    </row>
    <row r="9317" spans="1:1" x14ac:dyDescent="0.3">
      <c r="A9317" s="6"/>
    </row>
    <row r="9318" spans="1:1" x14ac:dyDescent="0.3">
      <c r="A9318" s="6"/>
    </row>
    <row r="9319" spans="1:1" x14ac:dyDescent="0.3">
      <c r="A9319" s="6"/>
    </row>
    <row r="9320" spans="1:1" x14ac:dyDescent="0.3">
      <c r="A9320" s="6"/>
    </row>
    <row r="9321" spans="1:1" x14ac:dyDescent="0.3">
      <c r="A9321" s="6"/>
    </row>
    <row r="9322" spans="1:1" x14ac:dyDescent="0.3">
      <c r="A9322" s="6"/>
    </row>
    <row r="9323" spans="1:1" x14ac:dyDescent="0.3">
      <c r="A9323" s="6"/>
    </row>
    <row r="9324" spans="1:1" x14ac:dyDescent="0.3">
      <c r="A9324" s="6"/>
    </row>
    <row r="9325" spans="1:1" x14ac:dyDescent="0.3">
      <c r="A9325" s="6"/>
    </row>
    <row r="9326" spans="1:1" x14ac:dyDescent="0.3">
      <c r="A9326" s="6"/>
    </row>
    <row r="9327" spans="1:1" x14ac:dyDescent="0.3">
      <c r="A9327" s="6"/>
    </row>
    <row r="9328" spans="1:1" x14ac:dyDescent="0.3">
      <c r="A9328" s="6"/>
    </row>
    <row r="9329" spans="1:1" x14ac:dyDescent="0.3">
      <c r="A9329" s="6"/>
    </row>
    <row r="9330" spans="1:1" x14ac:dyDescent="0.3">
      <c r="A9330" s="6"/>
    </row>
    <row r="9331" spans="1:1" x14ac:dyDescent="0.3">
      <c r="A9331" s="6"/>
    </row>
    <row r="9332" spans="1:1" x14ac:dyDescent="0.3">
      <c r="A9332" s="6"/>
    </row>
    <row r="9333" spans="1:1" x14ac:dyDescent="0.3">
      <c r="A9333" s="6"/>
    </row>
    <row r="9334" spans="1:1" x14ac:dyDescent="0.3">
      <c r="A9334" s="6"/>
    </row>
    <row r="9335" spans="1:1" x14ac:dyDescent="0.3">
      <c r="A9335" s="6"/>
    </row>
    <row r="9336" spans="1:1" x14ac:dyDescent="0.3">
      <c r="A9336" s="6"/>
    </row>
    <row r="9337" spans="1:1" x14ac:dyDescent="0.3">
      <c r="A9337" s="6"/>
    </row>
    <row r="9338" spans="1:1" x14ac:dyDescent="0.3">
      <c r="A9338" s="6"/>
    </row>
    <row r="9339" spans="1:1" x14ac:dyDescent="0.3">
      <c r="A9339" s="6"/>
    </row>
    <row r="9340" spans="1:1" x14ac:dyDescent="0.3">
      <c r="A9340" s="6"/>
    </row>
    <row r="9341" spans="1:1" x14ac:dyDescent="0.3">
      <c r="A9341" s="6"/>
    </row>
    <row r="9342" spans="1:1" x14ac:dyDescent="0.3">
      <c r="A9342" s="6"/>
    </row>
    <row r="9343" spans="1:1" x14ac:dyDescent="0.3">
      <c r="A9343" s="6"/>
    </row>
    <row r="9344" spans="1:1" x14ac:dyDescent="0.3">
      <c r="A9344" s="6"/>
    </row>
    <row r="9345" spans="1:1" x14ac:dyDescent="0.3">
      <c r="A9345" s="6"/>
    </row>
    <row r="9346" spans="1:1" x14ac:dyDescent="0.3">
      <c r="A9346" s="6"/>
    </row>
    <row r="9347" spans="1:1" x14ac:dyDescent="0.3">
      <c r="A9347" s="6"/>
    </row>
    <row r="9348" spans="1:1" x14ac:dyDescent="0.3">
      <c r="A9348" s="6"/>
    </row>
    <row r="9349" spans="1:1" x14ac:dyDescent="0.3">
      <c r="A9349" s="6"/>
    </row>
    <row r="9350" spans="1:1" x14ac:dyDescent="0.3">
      <c r="A9350" s="6"/>
    </row>
    <row r="9351" spans="1:1" x14ac:dyDescent="0.3">
      <c r="A9351" s="6"/>
    </row>
    <row r="9352" spans="1:1" x14ac:dyDescent="0.3">
      <c r="A9352" s="6"/>
    </row>
    <row r="9353" spans="1:1" x14ac:dyDescent="0.3">
      <c r="A9353" s="6"/>
    </row>
    <row r="9354" spans="1:1" x14ac:dyDescent="0.3">
      <c r="A9354" s="6"/>
    </row>
    <row r="9355" spans="1:1" x14ac:dyDescent="0.3">
      <c r="A9355" s="6"/>
    </row>
    <row r="9356" spans="1:1" x14ac:dyDescent="0.3">
      <c r="A9356" s="6"/>
    </row>
    <row r="9357" spans="1:1" x14ac:dyDescent="0.3">
      <c r="A9357" s="6"/>
    </row>
    <row r="9358" spans="1:1" x14ac:dyDescent="0.3">
      <c r="A9358" s="6"/>
    </row>
    <row r="9359" spans="1:1" x14ac:dyDescent="0.3">
      <c r="A9359" s="6"/>
    </row>
    <row r="9360" spans="1:1" x14ac:dyDescent="0.3">
      <c r="A9360" s="6"/>
    </row>
    <row r="9361" spans="1:1" x14ac:dyDescent="0.3">
      <c r="A9361" s="6"/>
    </row>
    <row r="9362" spans="1:1" x14ac:dyDescent="0.3">
      <c r="A9362" s="6"/>
    </row>
    <row r="9363" spans="1:1" x14ac:dyDescent="0.3">
      <c r="A9363" s="6"/>
    </row>
    <row r="9364" spans="1:1" x14ac:dyDescent="0.3">
      <c r="A9364" s="6"/>
    </row>
    <row r="9365" spans="1:1" x14ac:dyDescent="0.3">
      <c r="A9365" s="6"/>
    </row>
    <row r="9366" spans="1:1" x14ac:dyDescent="0.3">
      <c r="A9366" s="6"/>
    </row>
    <row r="9367" spans="1:1" x14ac:dyDescent="0.3">
      <c r="A9367" s="6"/>
    </row>
    <row r="9368" spans="1:1" x14ac:dyDescent="0.3">
      <c r="A9368" s="6"/>
    </row>
    <row r="9369" spans="1:1" x14ac:dyDescent="0.3">
      <c r="A9369" s="6"/>
    </row>
    <row r="9370" spans="1:1" x14ac:dyDescent="0.3">
      <c r="A9370" s="6"/>
    </row>
    <row r="9371" spans="1:1" x14ac:dyDescent="0.3">
      <c r="A9371" s="6"/>
    </row>
    <row r="9372" spans="1:1" x14ac:dyDescent="0.3">
      <c r="A9372" s="6"/>
    </row>
    <row r="9373" spans="1:1" x14ac:dyDescent="0.3">
      <c r="A9373" s="6"/>
    </row>
    <row r="9374" spans="1:1" x14ac:dyDescent="0.3">
      <c r="A9374" s="6"/>
    </row>
    <row r="9375" spans="1:1" x14ac:dyDescent="0.3">
      <c r="A9375" s="6"/>
    </row>
    <row r="9376" spans="1:1" x14ac:dyDescent="0.3">
      <c r="A9376" s="6"/>
    </row>
    <row r="9377" spans="1:1" x14ac:dyDescent="0.3">
      <c r="A9377" s="6"/>
    </row>
    <row r="9378" spans="1:1" x14ac:dyDescent="0.3">
      <c r="A9378" s="6"/>
    </row>
    <row r="9379" spans="1:1" x14ac:dyDescent="0.3">
      <c r="A9379" s="6"/>
    </row>
    <row r="9380" spans="1:1" x14ac:dyDescent="0.3">
      <c r="A9380" s="6"/>
    </row>
    <row r="9381" spans="1:1" x14ac:dyDescent="0.3">
      <c r="A9381" s="6"/>
    </row>
    <row r="9382" spans="1:1" x14ac:dyDescent="0.3">
      <c r="A9382" s="6"/>
    </row>
    <row r="9383" spans="1:1" x14ac:dyDescent="0.3">
      <c r="A9383" s="6"/>
    </row>
    <row r="9384" spans="1:1" x14ac:dyDescent="0.3">
      <c r="A9384" s="6"/>
    </row>
    <row r="9385" spans="1:1" x14ac:dyDescent="0.3">
      <c r="A9385" s="6"/>
    </row>
    <row r="9386" spans="1:1" x14ac:dyDescent="0.3">
      <c r="A9386" s="6"/>
    </row>
    <row r="9387" spans="1:1" x14ac:dyDescent="0.3">
      <c r="A9387" s="6"/>
    </row>
    <row r="9388" spans="1:1" x14ac:dyDescent="0.3">
      <c r="A9388" s="6"/>
    </row>
    <row r="9389" spans="1:1" x14ac:dyDescent="0.3">
      <c r="A9389" s="6"/>
    </row>
    <row r="9390" spans="1:1" x14ac:dyDescent="0.3">
      <c r="A9390" s="6"/>
    </row>
    <row r="9391" spans="1:1" x14ac:dyDescent="0.3">
      <c r="A9391" s="6"/>
    </row>
    <row r="9392" spans="1:1" x14ac:dyDescent="0.3">
      <c r="A9392" s="6"/>
    </row>
    <row r="9393" spans="1:1" x14ac:dyDescent="0.3">
      <c r="A9393" s="6"/>
    </row>
    <row r="9394" spans="1:1" x14ac:dyDescent="0.3">
      <c r="A9394" s="6"/>
    </row>
    <row r="9395" spans="1:1" x14ac:dyDescent="0.3">
      <c r="A9395" s="6"/>
    </row>
    <row r="9396" spans="1:1" x14ac:dyDescent="0.3">
      <c r="A9396" s="6"/>
    </row>
    <row r="9397" spans="1:1" x14ac:dyDescent="0.3">
      <c r="A9397" s="6"/>
    </row>
    <row r="9398" spans="1:1" x14ac:dyDescent="0.3">
      <c r="A9398" s="6"/>
    </row>
    <row r="9399" spans="1:1" x14ac:dyDescent="0.3">
      <c r="A9399" s="6"/>
    </row>
    <row r="9400" spans="1:1" x14ac:dyDescent="0.3">
      <c r="A9400" s="6"/>
    </row>
    <row r="9401" spans="1:1" x14ac:dyDescent="0.3">
      <c r="A9401" s="6"/>
    </row>
    <row r="9402" spans="1:1" x14ac:dyDescent="0.3">
      <c r="A9402" s="6"/>
    </row>
    <row r="9403" spans="1:1" x14ac:dyDescent="0.3">
      <c r="A9403" s="6"/>
    </row>
    <row r="9404" spans="1:1" x14ac:dyDescent="0.3">
      <c r="A9404" s="6"/>
    </row>
    <row r="9405" spans="1:1" x14ac:dyDescent="0.3">
      <c r="A9405" s="6"/>
    </row>
    <row r="9406" spans="1:1" x14ac:dyDescent="0.3">
      <c r="A9406" s="6"/>
    </row>
    <row r="9407" spans="1:1" x14ac:dyDescent="0.3">
      <c r="A9407" s="6"/>
    </row>
    <row r="9408" spans="1:1" x14ac:dyDescent="0.3">
      <c r="A9408" s="6"/>
    </row>
    <row r="9409" spans="1:1" x14ac:dyDescent="0.3">
      <c r="A9409" s="6"/>
    </row>
    <row r="9410" spans="1:1" x14ac:dyDescent="0.3">
      <c r="A9410" s="6"/>
    </row>
    <row r="9411" spans="1:1" x14ac:dyDescent="0.3">
      <c r="A9411" s="6"/>
    </row>
    <row r="9412" spans="1:1" x14ac:dyDescent="0.3">
      <c r="A9412" s="6"/>
    </row>
    <row r="9413" spans="1:1" x14ac:dyDescent="0.3">
      <c r="A9413" s="6"/>
    </row>
    <row r="9414" spans="1:1" x14ac:dyDescent="0.3">
      <c r="A9414" s="6"/>
    </row>
    <row r="9415" spans="1:1" x14ac:dyDescent="0.3">
      <c r="A9415" s="6"/>
    </row>
    <row r="9416" spans="1:1" x14ac:dyDescent="0.3">
      <c r="A9416" s="6"/>
    </row>
    <row r="9417" spans="1:1" x14ac:dyDescent="0.3">
      <c r="A9417" s="6"/>
    </row>
    <row r="9418" spans="1:1" x14ac:dyDescent="0.3">
      <c r="A9418" s="6"/>
    </row>
    <row r="9419" spans="1:1" x14ac:dyDescent="0.3">
      <c r="A9419" s="6"/>
    </row>
    <row r="9420" spans="1:1" x14ac:dyDescent="0.3">
      <c r="A9420" s="6"/>
    </row>
    <row r="9421" spans="1:1" x14ac:dyDescent="0.3">
      <c r="A9421" s="6"/>
    </row>
    <row r="9422" spans="1:1" x14ac:dyDescent="0.3">
      <c r="A9422" s="6"/>
    </row>
    <row r="9423" spans="1:1" x14ac:dyDescent="0.3">
      <c r="A9423" s="6"/>
    </row>
    <row r="9424" spans="1:1" x14ac:dyDescent="0.3">
      <c r="A9424" s="6"/>
    </row>
    <row r="9425" spans="1:1" x14ac:dyDescent="0.3">
      <c r="A9425" s="6"/>
    </row>
    <row r="9426" spans="1:1" x14ac:dyDescent="0.3">
      <c r="A9426" s="6"/>
    </row>
    <row r="9427" spans="1:1" x14ac:dyDescent="0.3">
      <c r="A9427" s="6"/>
    </row>
    <row r="9428" spans="1:1" x14ac:dyDescent="0.3">
      <c r="A9428" s="6"/>
    </row>
    <row r="9429" spans="1:1" x14ac:dyDescent="0.3">
      <c r="A9429" s="6"/>
    </row>
    <row r="9430" spans="1:1" x14ac:dyDescent="0.3">
      <c r="A9430" s="6"/>
    </row>
    <row r="9431" spans="1:1" x14ac:dyDescent="0.3">
      <c r="A9431" s="6"/>
    </row>
    <row r="9432" spans="1:1" x14ac:dyDescent="0.3">
      <c r="A9432" s="6"/>
    </row>
    <row r="9433" spans="1:1" x14ac:dyDescent="0.3">
      <c r="A9433" s="6"/>
    </row>
    <row r="9434" spans="1:1" x14ac:dyDescent="0.3">
      <c r="A9434" s="6"/>
    </row>
    <row r="9435" spans="1:1" x14ac:dyDescent="0.3">
      <c r="A9435" s="6"/>
    </row>
    <row r="9436" spans="1:1" x14ac:dyDescent="0.3">
      <c r="A9436" s="6"/>
    </row>
    <row r="9437" spans="1:1" x14ac:dyDescent="0.3">
      <c r="A9437" s="6"/>
    </row>
    <row r="9438" spans="1:1" x14ac:dyDescent="0.3">
      <c r="A9438" s="6"/>
    </row>
    <row r="9439" spans="1:1" x14ac:dyDescent="0.3">
      <c r="A9439" s="6"/>
    </row>
    <row r="9440" spans="1:1" x14ac:dyDescent="0.3">
      <c r="A9440" s="6"/>
    </row>
    <row r="9441" spans="1:1" x14ac:dyDescent="0.3">
      <c r="A9441" s="6"/>
    </row>
    <row r="9442" spans="1:1" x14ac:dyDescent="0.3">
      <c r="A9442" s="6"/>
    </row>
    <row r="9443" spans="1:1" x14ac:dyDescent="0.3">
      <c r="A9443" s="6"/>
    </row>
    <row r="9444" spans="1:1" x14ac:dyDescent="0.3">
      <c r="A9444" s="6"/>
    </row>
    <row r="9445" spans="1:1" x14ac:dyDescent="0.3">
      <c r="A9445" s="6"/>
    </row>
    <row r="9446" spans="1:1" x14ac:dyDescent="0.3">
      <c r="A9446" s="6"/>
    </row>
    <row r="9447" spans="1:1" x14ac:dyDescent="0.3">
      <c r="A9447" s="6"/>
    </row>
    <row r="9448" spans="1:1" x14ac:dyDescent="0.3">
      <c r="A9448" s="6"/>
    </row>
    <row r="9449" spans="1:1" x14ac:dyDescent="0.3">
      <c r="A9449" s="6"/>
    </row>
    <row r="9450" spans="1:1" x14ac:dyDescent="0.3">
      <c r="A9450" s="6"/>
    </row>
    <row r="9451" spans="1:1" x14ac:dyDescent="0.3">
      <c r="A9451" s="6"/>
    </row>
    <row r="9452" spans="1:1" x14ac:dyDescent="0.3">
      <c r="A9452" s="6"/>
    </row>
    <row r="9453" spans="1:1" x14ac:dyDescent="0.3">
      <c r="A9453" s="6"/>
    </row>
    <row r="9454" spans="1:1" x14ac:dyDescent="0.3">
      <c r="A9454" s="6"/>
    </row>
    <row r="9455" spans="1:1" x14ac:dyDescent="0.3">
      <c r="A9455" s="6"/>
    </row>
    <row r="9456" spans="1:1" x14ac:dyDescent="0.3">
      <c r="A9456" s="6"/>
    </row>
    <row r="9457" spans="1:1" x14ac:dyDescent="0.3">
      <c r="A9457" s="6"/>
    </row>
    <row r="9458" spans="1:1" x14ac:dyDescent="0.3">
      <c r="A9458" s="6"/>
    </row>
    <row r="9459" spans="1:1" x14ac:dyDescent="0.3">
      <c r="A9459" s="6"/>
    </row>
    <row r="9460" spans="1:1" x14ac:dyDescent="0.3">
      <c r="A9460" s="6"/>
    </row>
    <row r="9461" spans="1:1" x14ac:dyDescent="0.3">
      <c r="A9461" s="6"/>
    </row>
    <row r="9462" spans="1:1" x14ac:dyDescent="0.3">
      <c r="A9462" s="6"/>
    </row>
    <row r="9463" spans="1:1" x14ac:dyDescent="0.3">
      <c r="A9463" s="6"/>
    </row>
    <row r="9464" spans="1:1" x14ac:dyDescent="0.3">
      <c r="A9464" s="6"/>
    </row>
    <row r="9465" spans="1:1" x14ac:dyDescent="0.3">
      <c r="A9465" s="6"/>
    </row>
    <row r="9466" spans="1:1" x14ac:dyDescent="0.3">
      <c r="A9466" s="6"/>
    </row>
    <row r="9467" spans="1:1" x14ac:dyDescent="0.3">
      <c r="A9467" s="6"/>
    </row>
    <row r="9468" spans="1:1" x14ac:dyDescent="0.3">
      <c r="A9468" s="6"/>
    </row>
    <row r="9469" spans="1:1" x14ac:dyDescent="0.3">
      <c r="A9469" s="6"/>
    </row>
    <row r="9470" spans="1:1" x14ac:dyDescent="0.3">
      <c r="A9470" s="6"/>
    </row>
    <row r="9471" spans="1:1" x14ac:dyDescent="0.3">
      <c r="A9471" s="6"/>
    </row>
    <row r="9472" spans="1:1" x14ac:dyDescent="0.3">
      <c r="A9472" s="6"/>
    </row>
    <row r="9473" spans="1:1" x14ac:dyDescent="0.3">
      <c r="A9473" s="6"/>
    </row>
    <row r="9474" spans="1:1" x14ac:dyDescent="0.3">
      <c r="A9474" s="6"/>
    </row>
    <row r="9475" spans="1:1" x14ac:dyDescent="0.3">
      <c r="A9475" s="6"/>
    </row>
    <row r="9476" spans="1:1" x14ac:dyDescent="0.3">
      <c r="A9476" s="6"/>
    </row>
    <row r="9477" spans="1:1" x14ac:dyDescent="0.3">
      <c r="A9477" s="6"/>
    </row>
    <row r="9478" spans="1:1" x14ac:dyDescent="0.3">
      <c r="A9478" s="6"/>
    </row>
    <row r="9479" spans="1:1" x14ac:dyDescent="0.3">
      <c r="A9479" s="6"/>
    </row>
    <row r="9480" spans="1:1" x14ac:dyDescent="0.3">
      <c r="A9480" s="6"/>
    </row>
    <row r="9481" spans="1:1" x14ac:dyDescent="0.3">
      <c r="A9481" s="6"/>
    </row>
    <row r="9482" spans="1:1" x14ac:dyDescent="0.3">
      <c r="A9482" s="6"/>
    </row>
    <row r="9483" spans="1:1" x14ac:dyDescent="0.3">
      <c r="A9483" s="6"/>
    </row>
    <row r="9484" spans="1:1" x14ac:dyDescent="0.3">
      <c r="A9484" s="6"/>
    </row>
    <row r="9485" spans="1:1" x14ac:dyDescent="0.3">
      <c r="A9485" s="6"/>
    </row>
    <row r="9486" spans="1:1" x14ac:dyDescent="0.3">
      <c r="A9486" s="6"/>
    </row>
    <row r="9487" spans="1:1" x14ac:dyDescent="0.3">
      <c r="A9487" s="6"/>
    </row>
    <row r="9488" spans="1:1" x14ac:dyDescent="0.3">
      <c r="A9488" s="6"/>
    </row>
    <row r="9489" spans="1:1" x14ac:dyDescent="0.3">
      <c r="A9489" s="6"/>
    </row>
    <row r="9490" spans="1:1" x14ac:dyDescent="0.3">
      <c r="A9490" s="6"/>
    </row>
    <row r="9491" spans="1:1" x14ac:dyDescent="0.3">
      <c r="A9491" s="6"/>
    </row>
    <row r="9492" spans="1:1" x14ac:dyDescent="0.3">
      <c r="A9492" s="6"/>
    </row>
    <row r="9493" spans="1:1" x14ac:dyDescent="0.3">
      <c r="A9493" s="6"/>
    </row>
    <row r="9494" spans="1:1" x14ac:dyDescent="0.3">
      <c r="A9494" s="6"/>
    </row>
    <row r="9495" spans="1:1" x14ac:dyDescent="0.3">
      <c r="A9495" s="6"/>
    </row>
    <row r="9496" spans="1:1" x14ac:dyDescent="0.3">
      <c r="A9496" s="6"/>
    </row>
    <row r="9497" spans="1:1" x14ac:dyDescent="0.3">
      <c r="A9497" s="6"/>
    </row>
    <row r="9498" spans="1:1" x14ac:dyDescent="0.3">
      <c r="A9498" s="6"/>
    </row>
    <row r="9499" spans="1:1" x14ac:dyDescent="0.3">
      <c r="A9499" s="6"/>
    </row>
    <row r="9500" spans="1:1" x14ac:dyDescent="0.3">
      <c r="A9500" s="6"/>
    </row>
    <row r="9501" spans="1:1" x14ac:dyDescent="0.3">
      <c r="A9501" s="6"/>
    </row>
    <row r="9502" spans="1:1" x14ac:dyDescent="0.3">
      <c r="A9502" s="6"/>
    </row>
    <row r="9503" spans="1:1" x14ac:dyDescent="0.3">
      <c r="A9503" s="6"/>
    </row>
    <row r="9504" spans="1:1" x14ac:dyDescent="0.3">
      <c r="A9504" s="6"/>
    </row>
    <row r="9505" spans="1:1" x14ac:dyDescent="0.3">
      <c r="A9505" s="6"/>
    </row>
    <row r="9506" spans="1:1" x14ac:dyDescent="0.3">
      <c r="A9506" s="6"/>
    </row>
    <row r="9507" spans="1:1" x14ac:dyDescent="0.3">
      <c r="A9507" s="6"/>
    </row>
    <row r="9508" spans="1:1" x14ac:dyDescent="0.3">
      <c r="A9508" s="6"/>
    </row>
    <row r="9509" spans="1:1" x14ac:dyDescent="0.3">
      <c r="A9509" s="6"/>
    </row>
    <row r="9510" spans="1:1" x14ac:dyDescent="0.3">
      <c r="A9510" s="6"/>
    </row>
    <row r="9511" spans="1:1" x14ac:dyDescent="0.3">
      <c r="A9511" s="6"/>
    </row>
    <row r="9512" spans="1:1" x14ac:dyDescent="0.3">
      <c r="A9512" s="6"/>
    </row>
    <row r="9513" spans="1:1" x14ac:dyDescent="0.3">
      <c r="A9513" s="6"/>
    </row>
    <row r="9514" spans="1:1" x14ac:dyDescent="0.3">
      <c r="A9514" s="6"/>
    </row>
    <row r="9515" spans="1:1" x14ac:dyDescent="0.3">
      <c r="A9515" s="6"/>
    </row>
    <row r="9516" spans="1:1" x14ac:dyDescent="0.3">
      <c r="A9516" s="6"/>
    </row>
    <row r="9517" spans="1:1" x14ac:dyDescent="0.3">
      <c r="A9517" s="6"/>
    </row>
    <row r="9518" spans="1:1" x14ac:dyDescent="0.3">
      <c r="A9518" s="6"/>
    </row>
    <row r="9519" spans="1:1" x14ac:dyDescent="0.3">
      <c r="A9519" s="6"/>
    </row>
    <row r="9520" spans="1:1" x14ac:dyDescent="0.3">
      <c r="A9520" s="6"/>
    </row>
    <row r="9521" spans="1:1" x14ac:dyDescent="0.3">
      <c r="A9521" s="6"/>
    </row>
    <row r="9522" spans="1:1" x14ac:dyDescent="0.3">
      <c r="A9522" s="6"/>
    </row>
    <row r="9523" spans="1:1" x14ac:dyDescent="0.3">
      <c r="A9523" s="6"/>
    </row>
    <row r="9524" spans="1:1" x14ac:dyDescent="0.3">
      <c r="A9524" s="6"/>
    </row>
    <row r="9525" spans="1:1" x14ac:dyDescent="0.3">
      <c r="A9525" s="6"/>
    </row>
    <row r="9526" spans="1:1" x14ac:dyDescent="0.3">
      <c r="A9526" s="6"/>
    </row>
    <row r="9527" spans="1:1" x14ac:dyDescent="0.3">
      <c r="A9527" s="6"/>
    </row>
    <row r="9528" spans="1:1" x14ac:dyDescent="0.3">
      <c r="A9528" s="6"/>
    </row>
    <row r="9529" spans="1:1" x14ac:dyDescent="0.3">
      <c r="A9529" s="6"/>
    </row>
    <row r="9530" spans="1:1" x14ac:dyDescent="0.3">
      <c r="A9530" s="6"/>
    </row>
    <row r="9531" spans="1:1" x14ac:dyDescent="0.3">
      <c r="A9531" s="6"/>
    </row>
    <row r="9532" spans="1:1" x14ac:dyDescent="0.3">
      <c r="A9532" s="6"/>
    </row>
    <row r="9533" spans="1:1" x14ac:dyDescent="0.3">
      <c r="A9533" s="6"/>
    </row>
    <row r="9534" spans="1:1" x14ac:dyDescent="0.3">
      <c r="A9534" s="6"/>
    </row>
    <row r="9535" spans="1:1" x14ac:dyDescent="0.3">
      <c r="A9535" s="6"/>
    </row>
    <row r="9536" spans="1:1" x14ac:dyDescent="0.3">
      <c r="A9536" s="6"/>
    </row>
    <row r="9537" spans="1:1" x14ac:dyDescent="0.3">
      <c r="A9537" s="6"/>
    </row>
    <row r="9538" spans="1:1" x14ac:dyDescent="0.3">
      <c r="A9538" s="6"/>
    </row>
    <row r="9539" spans="1:1" x14ac:dyDescent="0.3">
      <c r="A9539" s="6"/>
    </row>
    <row r="9540" spans="1:1" x14ac:dyDescent="0.3">
      <c r="A9540" s="6"/>
    </row>
    <row r="9541" spans="1:1" x14ac:dyDescent="0.3">
      <c r="A9541" s="6"/>
    </row>
    <row r="9542" spans="1:1" x14ac:dyDescent="0.3">
      <c r="A9542" s="6"/>
    </row>
    <row r="9543" spans="1:1" x14ac:dyDescent="0.3">
      <c r="A9543" s="6"/>
    </row>
    <row r="9544" spans="1:1" x14ac:dyDescent="0.3">
      <c r="A9544" s="6"/>
    </row>
    <row r="9545" spans="1:1" x14ac:dyDescent="0.3">
      <c r="A9545" s="6"/>
    </row>
    <row r="9546" spans="1:1" x14ac:dyDescent="0.3">
      <c r="A9546" s="6"/>
    </row>
    <row r="9547" spans="1:1" x14ac:dyDescent="0.3">
      <c r="A9547" s="6"/>
    </row>
    <row r="9548" spans="1:1" x14ac:dyDescent="0.3">
      <c r="A9548" s="6"/>
    </row>
    <row r="9549" spans="1:1" x14ac:dyDescent="0.3">
      <c r="A9549" s="6"/>
    </row>
    <row r="9550" spans="1:1" x14ac:dyDescent="0.3">
      <c r="A9550" s="6"/>
    </row>
    <row r="9551" spans="1:1" x14ac:dyDescent="0.3">
      <c r="A9551" s="6"/>
    </row>
    <row r="9552" spans="1:1" x14ac:dyDescent="0.3">
      <c r="A9552" s="6"/>
    </row>
    <row r="9553" spans="1:1" x14ac:dyDescent="0.3">
      <c r="A9553" s="6"/>
    </row>
    <row r="9554" spans="1:1" x14ac:dyDescent="0.3">
      <c r="A9554" s="6"/>
    </row>
    <row r="9555" spans="1:1" x14ac:dyDescent="0.3">
      <c r="A9555" s="6"/>
    </row>
    <row r="9556" spans="1:1" x14ac:dyDescent="0.3">
      <c r="A9556" s="6"/>
    </row>
    <row r="9557" spans="1:1" x14ac:dyDescent="0.3">
      <c r="A9557" s="6"/>
    </row>
    <row r="9558" spans="1:1" x14ac:dyDescent="0.3">
      <c r="A9558" s="6"/>
    </row>
    <row r="9559" spans="1:1" x14ac:dyDescent="0.3">
      <c r="A9559" s="6"/>
    </row>
    <row r="9560" spans="1:1" x14ac:dyDescent="0.3">
      <c r="A9560" s="6"/>
    </row>
    <row r="9561" spans="1:1" x14ac:dyDescent="0.3">
      <c r="A9561" s="6"/>
    </row>
    <row r="9562" spans="1:1" x14ac:dyDescent="0.3">
      <c r="A9562" s="6"/>
    </row>
    <row r="9563" spans="1:1" x14ac:dyDescent="0.3">
      <c r="A9563" s="6"/>
    </row>
    <row r="9564" spans="1:1" x14ac:dyDescent="0.3">
      <c r="A9564" s="6"/>
    </row>
    <row r="9565" spans="1:1" x14ac:dyDescent="0.3">
      <c r="A9565" s="6"/>
    </row>
    <row r="9566" spans="1:1" x14ac:dyDescent="0.3">
      <c r="A9566" s="6"/>
    </row>
    <row r="9567" spans="1:1" x14ac:dyDescent="0.3">
      <c r="A9567" s="6"/>
    </row>
    <row r="9568" spans="1:1" x14ac:dyDescent="0.3">
      <c r="A9568" s="6"/>
    </row>
    <row r="9569" spans="1:1" x14ac:dyDescent="0.3">
      <c r="A9569" s="6"/>
    </row>
    <row r="9570" spans="1:1" x14ac:dyDescent="0.3">
      <c r="A9570" s="6"/>
    </row>
    <row r="9571" spans="1:1" x14ac:dyDescent="0.3">
      <c r="A9571" s="6"/>
    </row>
    <row r="9572" spans="1:1" x14ac:dyDescent="0.3">
      <c r="A9572" s="6"/>
    </row>
    <row r="9573" spans="1:1" x14ac:dyDescent="0.3">
      <c r="A9573" s="6"/>
    </row>
    <row r="9574" spans="1:1" x14ac:dyDescent="0.3">
      <c r="A9574" s="6"/>
    </row>
    <row r="9575" spans="1:1" x14ac:dyDescent="0.3">
      <c r="A9575" s="6"/>
    </row>
    <row r="9576" spans="1:1" x14ac:dyDescent="0.3">
      <c r="A9576" s="6"/>
    </row>
    <row r="9577" spans="1:1" x14ac:dyDescent="0.3">
      <c r="A9577" s="6"/>
    </row>
    <row r="9578" spans="1:1" x14ac:dyDescent="0.3">
      <c r="A9578" s="6"/>
    </row>
    <row r="9579" spans="1:1" x14ac:dyDescent="0.3">
      <c r="A9579" s="6"/>
    </row>
    <row r="9580" spans="1:1" x14ac:dyDescent="0.3">
      <c r="A9580" s="6"/>
    </row>
    <row r="9581" spans="1:1" x14ac:dyDescent="0.3">
      <c r="A9581" s="6"/>
    </row>
    <row r="9582" spans="1:1" x14ac:dyDescent="0.3">
      <c r="A9582" s="6"/>
    </row>
    <row r="9583" spans="1:1" x14ac:dyDescent="0.3">
      <c r="A9583" s="6"/>
    </row>
    <row r="9584" spans="1:1" x14ac:dyDescent="0.3">
      <c r="A9584" s="6"/>
    </row>
    <row r="9585" spans="1:1" x14ac:dyDescent="0.3">
      <c r="A9585" s="6"/>
    </row>
    <row r="9586" spans="1:1" x14ac:dyDescent="0.3">
      <c r="A9586" s="6"/>
    </row>
    <row r="9587" spans="1:1" x14ac:dyDescent="0.3">
      <c r="A9587" s="6"/>
    </row>
    <row r="9588" spans="1:1" x14ac:dyDescent="0.3">
      <c r="A9588" s="6"/>
    </row>
    <row r="9589" spans="1:1" x14ac:dyDescent="0.3">
      <c r="A9589" s="6"/>
    </row>
    <row r="9590" spans="1:1" x14ac:dyDescent="0.3">
      <c r="A9590" s="6"/>
    </row>
    <row r="9591" spans="1:1" x14ac:dyDescent="0.3">
      <c r="A9591" s="6"/>
    </row>
    <row r="9592" spans="1:1" x14ac:dyDescent="0.3">
      <c r="A9592" s="6"/>
    </row>
    <row r="9593" spans="1:1" x14ac:dyDescent="0.3">
      <c r="A9593" s="6"/>
    </row>
    <row r="9594" spans="1:1" x14ac:dyDescent="0.3">
      <c r="A9594" s="6"/>
    </row>
    <row r="9595" spans="1:1" x14ac:dyDescent="0.3">
      <c r="A9595" s="6"/>
    </row>
    <row r="9596" spans="1:1" x14ac:dyDescent="0.3">
      <c r="A9596" s="6"/>
    </row>
    <row r="9597" spans="1:1" x14ac:dyDescent="0.3">
      <c r="A9597" s="6"/>
    </row>
    <row r="9598" spans="1:1" x14ac:dyDescent="0.3">
      <c r="A9598" s="6"/>
    </row>
    <row r="9599" spans="1:1" x14ac:dyDescent="0.3">
      <c r="A9599" s="6"/>
    </row>
    <row r="9600" spans="1:1" x14ac:dyDescent="0.3">
      <c r="A9600" s="6"/>
    </row>
    <row r="9601" spans="1:1" x14ac:dyDescent="0.3">
      <c r="A9601" s="6"/>
    </row>
    <row r="9602" spans="1:1" x14ac:dyDescent="0.3">
      <c r="A9602" s="6"/>
    </row>
    <row r="9603" spans="1:1" x14ac:dyDescent="0.3">
      <c r="A9603" s="6"/>
    </row>
    <row r="9604" spans="1:1" x14ac:dyDescent="0.3">
      <c r="A9604" s="6"/>
    </row>
    <row r="9605" spans="1:1" x14ac:dyDescent="0.3">
      <c r="A9605" s="6"/>
    </row>
    <row r="9606" spans="1:1" x14ac:dyDescent="0.3">
      <c r="A9606" s="6"/>
    </row>
    <row r="9607" spans="1:1" x14ac:dyDescent="0.3">
      <c r="A9607" s="6"/>
    </row>
    <row r="9608" spans="1:1" x14ac:dyDescent="0.3">
      <c r="A9608" s="6"/>
    </row>
    <row r="9609" spans="1:1" x14ac:dyDescent="0.3">
      <c r="A9609" s="6"/>
    </row>
    <row r="9610" spans="1:1" x14ac:dyDescent="0.3">
      <c r="A9610" s="6"/>
    </row>
    <row r="9611" spans="1:1" x14ac:dyDescent="0.3">
      <c r="A9611" s="6"/>
    </row>
    <row r="9612" spans="1:1" x14ac:dyDescent="0.3">
      <c r="A9612" s="6"/>
    </row>
    <row r="9613" spans="1:1" x14ac:dyDescent="0.3">
      <c r="A9613" s="6"/>
    </row>
    <row r="9614" spans="1:1" x14ac:dyDescent="0.3">
      <c r="A9614" s="6"/>
    </row>
    <row r="9615" spans="1:1" x14ac:dyDescent="0.3">
      <c r="A9615" s="6"/>
    </row>
    <row r="9616" spans="1:1" x14ac:dyDescent="0.3">
      <c r="A9616" s="6"/>
    </row>
    <row r="9617" spans="1:1" x14ac:dyDescent="0.3">
      <c r="A9617" s="6"/>
    </row>
    <row r="9618" spans="1:1" x14ac:dyDescent="0.3">
      <c r="A9618" s="6"/>
    </row>
    <row r="9619" spans="1:1" x14ac:dyDescent="0.3">
      <c r="A9619" s="6"/>
    </row>
    <row r="9620" spans="1:1" x14ac:dyDescent="0.3">
      <c r="A9620" s="6"/>
    </row>
    <row r="9621" spans="1:1" x14ac:dyDescent="0.3">
      <c r="A9621" s="6"/>
    </row>
    <row r="9622" spans="1:1" x14ac:dyDescent="0.3">
      <c r="A9622" s="6"/>
    </row>
    <row r="9623" spans="1:1" x14ac:dyDescent="0.3">
      <c r="A9623" s="6"/>
    </row>
    <row r="9624" spans="1:1" x14ac:dyDescent="0.3">
      <c r="A9624" s="6"/>
    </row>
    <row r="9625" spans="1:1" x14ac:dyDescent="0.3">
      <c r="A9625" s="6"/>
    </row>
    <row r="9626" spans="1:1" x14ac:dyDescent="0.3">
      <c r="A9626" s="6"/>
    </row>
    <row r="9627" spans="1:1" x14ac:dyDescent="0.3">
      <c r="A9627" s="6"/>
    </row>
    <row r="9628" spans="1:1" x14ac:dyDescent="0.3">
      <c r="A9628" s="6"/>
    </row>
    <row r="9629" spans="1:1" x14ac:dyDescent="0.3">
      <c r="A9629" s="6"/>
    </row>
    <row r="9630" spans="1:1" x14ac:dyDescent="0.3">
      <c r="A9630" s="6"/>
    </row>
    <row r="9631" spans="1:1" x14ac:dyDescent="0.3">
      <c r="A9631" s="6"/>
    </row>
    <row r="9632" spans="1:1" x14ac:dyDescent="0.3">
      <c r="A9632" s="6"/>
    </row>
    <row r="9633" spans="1:1" x14ac:dyDescent="0.3">
      <c r="A9633" s="6"/>
    </row>
    <row r="9634" spans="1:1" x14ac:dyDescent="0.3">
      <c r="A9634" s="6"/>
    </row>
    <row r="9635" spans="1:1" x14ac:dyDescent="0.3">
      <c r="A9635" s="6"/>
    </row>
    <row r="9636" spans="1:1" x14ac:dyDescent="0.3">
      <c r="A9636" s="6"/>
    </row>
    <row r="9637" spans="1:1" x14ac:dyDescent="0.3">
      <c r="A9637" s="6"/>
    </row>
    <row r="9638" spans="1:1" x14ac:dyDescent="0.3">
      <c r="A9638" s="6"/>
    </row>
    <row r="9639" spans="1:1" x14ac:dyDescent="0.3">
      <c r="A9639" s="6"/>
    </row>
    <row r="9640" spans="1:1" x14ac:dyDescent="0.3">
      <c r="A9640" s="6"/>
    </row>
    <row r="9641" spans="1:1" x14ac:dyDescent="0.3">
      <c r="A9641" s="6"/>
    </row>
    <row r="9642" spans="1:1" x14ac:dyDescent="0.3">
      <c r="A9642" s="6"/>
    </row>
    <row r="9643" spans="1:1" x14ac:dyDescent="0.3">
      <c r="A9643" s="6"/>
    </row>
    <row r="9644" spans="1:1" x14ac:dyDescent="0.3">
      <c r="A9644" s="6"/>
    </row>
    <row r="9645" spans="1:1" x14ac:dyDescent="0.3">
      <c r="A9645" s="6"/>
    </row>
    <row r="9646" spans="1:1" x14ac:dyDescent="0.3">
      <c r="A9646" s="6"/>
    </row>
    <row r="9647" spans="1:1" x14ac:dyDescent="0.3">
      <c r="A9647" s="6"/>
    </row>
    <row r="9648" spans="1:1" x14ac:dyDescent="0.3">
      <c r="A9648" s="6"/>
    </row>
    <row r="9649" spans="1:1" x14ac:dyDescent="0.3">
      <c r="A9649" s="6"/>
    </row>
    <row r="9650" spans="1:1" x14ac:dyDescent="0.3">
      <c r="A9650" s="6"/>
    </row>
    <row r="9651" spans="1:1" x14ac:dyDescent="0.3">
      <c r="A9651" s="6"/>
    </row>
    <row r="9652" spans="1:1" x14ac:dyDescent="0.3">
      <c r="A9652" s="6"/>
    </row>
    <row r="9653" spans="1:1" x14ac:dyDescent="0.3">
      <c r="A9653" s="6"/>
    </row>
    <row r="9654" spans="1:1" x14ac:dyDescent="0.3">
      <c r="A9654" s="6"/>
    </row>
    <row r="9655" spans="1:1" x14ac:dyDescent="0.3">
      <c r="A9655" s="6"/>
    </row>
    <row r="9656" spans="1:1" x14ac:dyDescent="0.3">
      <c r="A9656" s="6"/>
    </row>
    <row r="9657" spans="1:1" x14ac:dyDescent="0.3">
      <c r="A9657" s="6"/>
    </row>
    <row r="9658" spans="1:1" x14ac:dyDescent="0.3">
      <c r="A9658" s="6"/>
    </row>
    <row r="9659" spans="1:1" x14ac:dyDescent="0.3">
      <c r="A9659" s="6"/>
    </row>
    <row r="9660" spans="1:1" x14ac:dyDescent="0.3">
      <c r="A9660" s="6"/>
    </row>
    <row r="9661" spans="1:1" x14ac:dyDescent="0.3">
      <c r="A9661" s="6"/>
    </row>
    <row r="9662" spans="1:1" x14ac:dyDescent="0.3">
      <c r="A9662" s="6"/>
    </row>
    <row r="9663" spans="1:1" x14ac:dyDescent="0.3">
      <c r="A9663" s="6"/>
    </row>
    <row r="9664" spans="1:1" x14ac:dyDescent="0.3">
      <c r="A9664" s="6"/>
    </row>
    <row r="9665" spans="1:1" x14ac:dyDescent="0.3">
      <c r="A9665" s="6"/>
    </row>
    <row r="9666" spans="1:1" x14ac:dyDescent="0.3">
      <c r="A9666" s="6"/>
    </row>
    <row r="9667" spans="1:1" x14ac:dyDescent="0.3">
      <c r="A9667" s="6"/>
    </row>
    <row r="9668" spans="1:1" x14ac:dyDescent="0.3">
      <c r="A9668" s="6"/>
    </row>
    <row r="9669" spans="1:1" x14ac:dyDescent="0.3">
      <c r="A9669" s="6"/>
    </row>
    <row r="9670" spans="1:1" x14ac:dyDescent="0.3">
      <c r="A9670" s="6"/>
    </row>
    <row r="9671" spans="1:1" x14ac:dyDescent="0.3">
      <c r="A9671" s="6"/>
    </row>
    <row r="9672" spans="1:1" x14ac:dyDescent="0.3">
      <c r="A9672" s="6"/>
    </row>
    <row r="9673" spans="1:1" x14ac:dyDescent="0.3">
      <c r="A9673" s="6"/>
    </row>
    <row r="9674" spans="1:1" x14ac:dyDescent="0.3">
      <c r="A9674" s="6"/>
    </row>
    <row r="9675" spans="1:1" x14ac:dyDescent="0.3">
      <c r="A9675" s="6"/>
    </row>
    <row r="9676" spans="1:1" x14ac:dyDescent="0.3">
      <c r="A9676" s="6"/>
    </row>
    <row r="9677" spans="1:1" x14ac:dyDescent="0.3">
      <c r="A9677" s="6"/>
    </row>
    <row r="9678" spans="1:1" x14ac:dyDescent="0.3">
      <c r="A9678" s="6"/>
    </row>
    <row r="9679" spans="1:1" x14ac:dyDescent="0.3">
      <c r="A9679" s="6"/>
    </row>
    <row r="9680" spans="1:1" x14ac:dyDescent="0.3">
      <c r="A9680" s="6"/>
    </row>
    <row r="9681" spans="1:1" x14ac:dyDescent="0.3">
      <c r="A9681" s="6"/>
    </row>
    <row r="9682" spans="1:1" x14ac:dyDescent="0.3">
      <c r="A9682" s="6"/>
    </row>
    <row r="9683" spans="1:1" x14ac:dyDescent="0.3">
      <c r="A9683" s="6"/>
    </row>
    <row r="9684" spans="1:1" x14ac:dyDescent="0.3">
      <c r="A9684" s="6"/>
    </row>
    <row r="9685" spans="1:1" x14ac:dyDescent="0.3">
      <c r="A9685" s="6"/>
    </row>
    <row r="9686" spans="1:1" x14ac:dyDescent="0.3">
      <c r="A9686" s="6"/>
    </row>
    <row r="9687" spans="1:1" x14ac:dyDescent="0.3">
      <c r="A9687" s="6"/>
    </row>
    <row r="9688" spans="1:1" x14ac:dyDescent="0.3">
      <c r="A9688" s="6"/>
    </row>
    <row r="9689" spans="1:1" x14ac:dyDescent="0.3">
      <c r="A9689" s="6"/>
    </row>
    <row r="9690" spans="1:1" x14ac:dyDescent="0.3">
      <c r="A9690" s="6"/>
    </row>
    <row r="9691" spans="1:1" x14ac:dyDescent="0.3">
      <c r="A9691" s="6"/>
    </row>
    <row r="9692" spans="1:1" x14ac:dyDescent="0.3">
      <c r="A9692" s="6"/>
    </row>
    <row r="9693" spans="1:1" x14ac:dyDescent="0.3">
      <c r="A9693" s="6"/>
    </row>
    <row r="9694" spans="1:1" x14ac:dyDescent="0.3">
      <c r="A9694" s="6"/>
    </row>
    <row r="9695" spans="1:1" x14ac:dyDescent="0.3">
      <c r="A9695" s="6"/>
    </row>
    <row r="9696" spans="1:1" x14ac:dyDescent="0.3">
      <c r="A9696" s="6"/>
    </row>
    <row r="9697" spans="1:1" x14ac:dyDescent="0.3">
      <c r="A9697" s="6"/>
    </row>
    <row r="9698" spans="1:1" x14ac:dyDescent="0.3">
      <c r="A9698" s="6"/>
    </row>
    <row r="9699" spans="1:1" x14ac:dyDescent="0.3">
      <c r="A9699" s="6"/>
    </row>
    <row r="9700" spans="1:1" x14ac:dyDescent="0.3">
      <c r="A9700" s="6"/>
    </row>
    <row r="9701" spans="1:1" x14ac:dyDescent="0.3">
      <c r="A9701" s="6"/>
    </row>
    <row r="9702" spans="1:1" x14ac:dyDescent="0.3">
      <c r="A9702" s="6"/>
    </row>
    <row r="9703" spans="1:1" x14ac:dyDescent="0.3">
      <c r="A9703" s="6"/>
    </row>
    <row r="9704" spans="1:1" x14ac:dyDescent="0.3">
      <c r="A9704" s="6"/>
    </row>
    <row r="9705" spans="1:1" x14ac:dyDescent="0.3">
      <c r="A9705" s="6"/>
    </row>
    <row r="9706" spans="1:1" x14ac:dyDescent="0.3">
      <c r="A9706" s="6"/>
    </row>
    <row r="9707" spans="1:1" x14ac:dyDescent="0.3">
      <c r="A9707" s="6"/>
    </row>
    <row r="9708" spans="1:1" x14ac:dyDescent="0.3">
      <c r="A9708" s="6"/>
    </row>
    <row r="9709" spans="1:1" x14ac:dyDescent="0.3">
      <c r="A9709" s="6"/>
    </row>
    <row r="9710" spans="1:1" x14ac:dyDescent="0.3">
      <c r="A9710" s="6"/>
    </row>
    <row r="9711" spans="1:1" x14ac:dyDescent="0.3">
      <c r="A9711" s="6"/>
    </row>
    <row r="9712" spans="1:1" x14ac:dyDescent="0.3">
      <c r="A9712" s="6"/>
    </row>
    <row r="9713" spans="1:1" x14ac:dyDescent="0.3">
      <c r="A9713" s="6"/>
    </row>
    <row r="9714" spans="1:1" x14ac:dyDescent="0.3">
      <c r="A9714" s="6"/>
    </row>
    <row r="9715" spans="1:1" x14ac:dyDescent="0.3">
      <c r="A9715" s="6"/>
    </row>
    <row r="9716" spans="1:1" x14ac:dyDescent="0.3">
      <c r="A9716" s="6"/>
    </row>
    <row r="9717" spans="1:1" x14ac:dyDescent="0.3">
      <c r="A9717" s="6"/>
    </row>
    <row r="9718" spans="1:1" x14ac:dyDescent="0.3">
      <c r="A9718" s="6"/>
    </row>
    <row r="9719" spans="1:1" x14ac:dyDescent="0.3">
      <c r="A9719" s="6"/>
    </row>
    <row r="9720" spans="1:1" x14ac:dyDescent="0.3">
      <c r="A9720" s="6"/>
    </row>
    <row r="9721" spans="1:1" x14ac:dyDescent="0.3">
      <c r="A9721" s="6"/>
    </row>
    <row r="9722" spans="1:1" x14ac:dyDescent="0.3">
      <c r="A9722" s="6"/>
    </row>
    <row r="9723" spans="1:1" x14ac:dyDescent="0.3">
      <c r="A9723" s="6"/>
    </row>
    <row r="9724" spans="1:1" x14ac:dyDescent="0.3">
      <c r="A9724" s="6"/>
    </row>
    <row r="9725" spans="1:1" x14ac:dyDescent="0.3">
      <c r="A9725" s="6"/>
    </row>
    <row r="9726" spans="1:1" x14ac:dyDescent="0.3">
      <c r="A9726" s="6"/>
    </row>
    <row r="9727" spans="1:1" x14ac:dyDescent="0.3">
      <c r="A9727" s="6"/>
    </row>
    <row r="9728" spans="1:1" x14ac:dyDescent="0.3">
      <c r="A9728" s="6"/>
    </row>
    <row r="9729" spans="1:1" x14ac:dyDescent="0.3">
      <c r="A9729" s="6"/>
    </row>
    <row r="9730" spans="1:1" x14ac:dyDescent="0.3">
      <c r="A9730" s="6"/>
    </row>
    <row r="9731" spans="1:1" x14ac:dyDescent="0.3">
      <c r="A9731" s="6"/>
    </row>
    <row r="9732" spans="1:1" x14ac:dyDescent="0.3">
      <c r="A9732" s="6"/>
    </row>
    <row r="9733" spans="1:1" x14ac:dyDescent="0.3">
      <c r="A9733" s="6"/>
    </row>
    <row r="9734" spans="1:1" x14ac:dyDescent="0.3">
      <c r="A9734" s="6"/>
    </row>
    <row r="9735" spans="1:1" x14ac:dyDescent="0.3">
      <c r="A9735" s="6"/>
    </row>
    <row r="9736" spans="1:1" x14ac:dyDescent="0.3">
      <c r="A9736" s="6"/>
    </row>
    <row r="9737" spans="1:1" x14ac:dyDescent="0.3">
      <c r="A9737" s="6"/>
    </row>
    <row r="9738" spans="1:1" x14ac:dyDescent="0.3">
      <c r="A9738" s="6"/>
    </row>
    <row r="9739" spans="1:1" x14ac:dyDescent="0.3">
      <c r="A9739" s="6"/>
    </row>
    <row r="9740" spans="1:1" x14ac:dyDescent="0.3">
      <c r="A9740" s="6"/>
    </row>
    <row r="9741" spans="1:1" x14ac:dyDescent="0.3">
      <c r="A9741" s="6"/>
    </row>
    <row r="9742" spans="1:1" x14ac:dyDescent="0.3">
      <c r="A9742" s="6"/>
    </row>
    <row r="9743" spans="1:1" x14ac:dyDescent="0.3">
      <c r="A9743" s="6"/>
    </row>
    <row r="9744" spans="1:1" x14ac:dyDescent="0.3">
      <c r="A9744" s="6"/>
    </row>
    <row r="9745" spans="1:1" x14ac:dyDescent="0.3">
      <c r="A9745" s="6"/>
    </row>
    <row r="9746" spans="1:1" x14ac:dyDescent="0.3">
      <c r="A9746" s="6"/>
    </row>
    <row r="9747" spans="1:1" x14ac:dyDescent="0.3">
      <c r="A9747" s="6"/>
    </row>
    <row r="9748" spans="1:1" x14ac:dyDescent="0.3">
      <c r="A9748" s="6"/>
    </row>
    <row r="9749" spans="1:1" x14ac:dyDescent="0.3">
      <c r="A9749" s="6"/>
    </row>
    <row r="9750" spans="1:1" x14ac:dyDescent="0.3">
      <c r="A9750" s="6"/>
    </row>
    <row r="9751" spans="1:1" x14ac:dyDescent="0.3">
      <c r="A9751" s="6"/>
    </row>
    <row r="9752" spans="1:1" x14ac:dyDescent="0.3">
      <c r="A9752" s="6"/>
    </row>
    <row r="9753" spans="1:1" x14ac:dyDescent="0.3">
      <c r="A9753" s="6"/>
    </row>
    <row r="9754" spans="1:1" x14ac:dyDescent="0.3">
      <c r="A9754" s="6"/>
    </row>
    <row r="9755" spans="1:1" x14ac:dyDescent="0.3">
      <c r="A9755" s="6"/>
    </row>
    <row r="9756" spans="1:1" x14ac:dyDescent="0.3">
      <c r="A9756" s="6"/>
    </row>
    <row r="9757" spans="1:1" x14ac:dyDescent="0.3">
      <c r="A9757" s="6"/>
    </row>
    <row r="9758" spans="1:1" x14ac:dyDescent="0.3">
      <c r="A9758" s="6"/>
    </row>
    <row r="9759" spans="1:1" x14ac:dyDescent="0.3">
      <c r="A9759" s="6"/>
    </row>
    <row r="9760" spans="1:1" x14ac:dyDescent="0.3">
      <c r="A9760" s="6"/>
    </row>
    <row r="9761" spans="1:1" x14ac:dyDescent="0.3">
      <c r="A9761" s="6"/>
    </row>
    <row r="9762" spans="1:1" x14ac:dyDescent="0.3">
      <c r="A9762" s="6"/>
    </row>
    <row r="9763" spans="1:1" x14ac:dyDescent="0.3">
      <c r="A9763" s="6"/>
    </row>
    <row r="9764" spans="1:1" x14ac:dyDescent="0.3">
      <c r="A9764" s="6"/>
    </row>
    <row r="9765" spans="1:1" x14ac:dyDescent="0.3">
      <c r="A9765" s="6"/>
    </row>
    <row r="9766" spans="1:1" x14ac:dyDescent="0.3">
      <c r="A9766" s="6"/>
    </row>
    <row r="9767" spans="1:1" x14ac:dyDescent="0.3">
      <c r="A9767" s="6"/>
    </row>
    <row r="9768" spans="1:1" x14ac:dyDescent="0.3">
      <c r="A9768" s="6"/>
    </row>
    <row r="9769" spans="1:1" x14ac:dyDescent="0.3">
      <c r="A9769" s="6"/>
    </row>
    <row r="9770" spans="1:1" x14ac:dyDescent="0.3">
      <c r="A9770" s="6"/>
    </row>
    <row r="9771" spans="1:1" x14ac:dyDescent="0.3">
      <c r="A9771" s="6"/>
    </row>
    <row r="9772" spans="1:1" x14ac:dyDescent="0.3">
      <c r="A9772" s="6"/>
    </row>
    <row r="9773" spans="1:1" x14ac:dyDescent="0.3">
      <c r="A9773" s="6"/>
    </row>
    <row r="9774" spans="1:1" x14ac:dyDescent="0.3">
      <c r="A9774" s="6"/>
    </row>
    <row r="9775" spans="1:1" x14ac:dyDescent="0.3">
      <c r="A9775" s="6"/>
    </row>
    <row r="9776" spans="1:1" x14ac:dyDescent="0.3">
      <c r="A9776" s="6"/>
    </row>
    <row r="9777" spans="1:1" x14ac:dyDescent="0.3">
      <c r="A9777" s="6"/>
    </row>
    <row r="9778" spans="1:1" x14ac:dyDescent="0.3">
      <c r="A9778" s="6"/>
    </row>
    <row r="9779" spans="1:1" x14ac:dyDescent="0.3">
      <c r="A9779" s="6"/>
    </row>
    <row r="9780" spans="1:1" x14ac:dyDescent="0.3">
      <c r="A9780" s="6"/>
    </row>
    <row r="9781" spans="1:1" x14ac:dyDescent="0.3">
      <c r="A9781" s="6"/>
    </row>
    <row r="9782" spans="1:1" x14ac:dyDescent="0.3">
      <c r="A9782" s="6"/>
    </row>
    <row r="9783" spans="1:1" x14ac:dyDescent="0.3">
      <c r="A9783" s="6"/>
    </row>
    <row r="9784" spans="1:1" x14ac:dyDescent="0.3">
      <c r="A9784" s="6"/>
    </row>
    <row r="9785" spans="1:1" x14ac:dyDescent="0.3">
      <c r="A9785" s="6"/>
    </row>
    <row r="9786" spans="1:1" x14ac:dyDescent="0.3">
      <c r="A9786" s="6"/>
    </row>
    <row r="9787" spans="1:1" x14ac:dyDescent="0.3">
      <c r="A9787" s="6"/>
    </row>
    <row r="9788" spans="1:1" x14ac:dyDescent="0.3">
      <c r="A9788" s="6"/>
    </row>
    <row r="9789" spans="1:1" x14ac:dyDescent="0.3">
      <c r="A9789" s="6"/>
    </row>
    <row r="9790" spans="1:1" x14ac:dyDescent="0.3">
      <c r="A9790" s="6"/>
    </row>
    <row r="9791" spans="1:1" x14ac:dyDescent="0.3">
      <c r="A9791" s="6"/>
    </row>
    <row r="9792" spans="1:1" x14ac:dyDescent="0.3">
      <c r="A9792" s="6"/>
    </row>
    <row r="9793" spans="1:1" x14ac:dyDescent="0.3">
      <c r="A9793" s="6"/>
    </row>
    <row r="9794" spans="1:1" x14ac:dyDescent="0.3">
      <c r="A9794" s="6"/>
    </row>
    <row r="9795" spans="1:1" x14ac:dyDescent="0.3">
      <c r="A9795" s="6"/>
    </row>
    <row r="9796" spans="1:1" x14ac:dyDescent="0.3">
      <c r="A9796" s="6"/>
    </row>
    <row r="9797" spans="1:1" x14ac:dyDescent="0.3">
      <c r="A9797" s="6"/>
    </row>
    <row r="9798" spans="1:1" x14ac:dyDescent="0.3">
      <c r="A9798" s="6"/>
    </row>
    <row r="9799" spans="1:1" x14ac:dyDescent="0.3">
      <c r="A9799" s="6"/>
    </row>
    <row r="9800" spans="1:1" x14ac:dyDescent="0.3">
      <c r="A9800" s="6"/>
    </row>
    <row r="9801" spans="1:1" x14ac:dyDescent="0.3">
      <c r="A9801" s="6"/>
    </row>
    <row r="9802" spans="1:1" x14ac:dyDescent="0.3">
      <c r="A9802" s="6"/>
    </row>
    <row r="9803" spans="1:1" x14ac:dyDescent="0.3">
      <c r="A9803" s="6"/>
    </row>
    <row r="9804" spans="1:1" x14ac:dyDescent="0.3">
      <c r="A9804" s="6"/>
    </row>
    <row r="9805" spans="1:1" x14ac:dyDescent="0.3">
      <c r="A9805" s="6"/>
    </row>
    <row r="9806" spans="1:1" x14ac:dyDescent="0.3">
      <c r="A9806" s="6"/>
    </row>
    <row r="9807" spans="1:1" x14ac:dyDescent="0.3">
      <c r="A9807" s="6"/>
    </row>
    <row r="9808" spans="1:1" x14ac:dyDescent="0.3">
      <c r="A9808" s="6"/>
    </row>
    <row r="9809" spans="1:1" x14ac:dyDescent="0.3">
      <c r="A9809" s="6"/>
    </row>
    <row r="9810" spans="1:1" x14ac:dyDescent="0.3">
      <c r="A9810" s="6"/>
    </row>
    <row r="9811" spans="1:1" x14ac:dyDescent="0.3">
      <c r="A9811" s="6"/>
    </row>
    <row r="9812" spans="1:1" x14ac:dyDescent="0.3">
      <c r="A9812" s="6"/>
    </row>
    <row r="9813" spans="1:1" x14ac:dyDescent="0.3">
      <c r="A9813" s="6"/>
    </row>
    <row r="9814" spans="1:1" x14ac:dyDescent="0.3">
      <c r="A9814" s="6"/>
    </row>
    <row r="9815" spans="1:1" x14ac:dyDescent="0.3">
      <c r="A9815" s="6"/>
    </row>
    <row r="9816" spans="1:1" x14ac:dyDescent="0.3">
      <c r="A9816" s="6"/>
    </row>
    <row r="9817" spans="1:1" x14ac:dyDescent="0.3">
      <c r="A9817" s="6"/>
    </row>
    <row r="9818" spans="1:1" x14ac:dyDescent="0.3">
      <c r="A9818" s="6"/>
    </row>
    <row r="9819" spans="1:1" x14ac:dyDescent="0.3">
      <c r="A9819" s="6"/>
    </row>
    <row r="9820" spans="1:1" x14ac:dyDescent="0.3">
      <c r="A9820" s="6"/>
    </row>
    <row r="9821" spans="1:1" x14ac:dyDescent="0.3">
      <c r="A9821" s="6"/>
    </row>
    <row r="9822" spans="1:1" x14ac:dyDescent="0.3">
      <c r="A9822" s="6"/>
    </row>
    <row r="9823" spans="1:1" x14ac:dyDescent="0.3">
      <c r="A9823" s="6"/>
    </row>
    <row r="9824" spans="1:1" x14ac:dyDescent="0.3">
      <c r="A9824" s="6"/>
    </row>
    <row r="9825" spans="1:1" x14ac:dyDescent="0.3">
      <c r="A9825" s="6"/>
    </row>
    <row r="9826" spans="1:1" x14ac:dyDescent="0.3">
      <c r="A9826" s="6"/>
    </row>
    <row r="9827" spans="1:1" x14ac:dyDescent="0.3">
      <c r="A9827" s="6"/>
    </row>
    <row r="9828" spans="1:1" x14ac:dyDescent="0.3">
      <c r="A9828" s="6"/>
    </row>
    <row r="9829" spans="1:1" x14ac:dyDescent="0.3">
      <c r="A9829" s="6"/>
    </row>
    <row r="9830" spans="1:1" x14ac:dyDescent="0.3">
      <c r="A9830" s="6"/>
    </row>
    <row r="9831" spans="1:1" x14ac:dyDescent="0.3">
      <c r="A9831" s="6"/>
    </row>
    <row r="9832" spans="1:1" x14ac:dyDescent="0.3">
      <c r="A9832" s="6"/>
    </row>
    <row r="9833" spans="1:1" x14ac:dyDescent="0.3">
      <c r="A9833" s="6"/>
    </row>
    <row r="9834" spans="1:1" x14ac:dyDescent="0.3">
      <c r="A9834" s="6"/>
    </row>
    <row r="9835" spans="1:1" x14ac:dyDescent="0.3">
      <c r="A9835" s="6"/>
    </row>
    <row r="9836" spans="1:1" x14ac:dyDescent="0.3">
      <c r="A9836" s="6"/>
    </row>
    <row r="9837" spans="1:1" x14ac:dyDescent="0.3">
      <c r="A9837" s="6"/>
    </row>
    <row r="9838" spans="1:1" x14ac:dyDescent="0.3">
      <c r="A9838" s="6"/>
    </row>
    <row r="9839" spans="1:1" x14ac:dyDescent="0.3">
      <c r="A9839" s="6"/>
    </row>
    <row r="9840" spans="1:1" x14ac:dyDescent="0.3">
      <c r="A9840" s="6"/>
    </row>
    <row r="9841" spans="1:1" x14ac:dyDescent="0.3">
      <c r="A9841" s="6"/>
    </row>
    <row r="9842" spans="1:1" x14ac:dyDescent="0.3">
      <c r="A9842" s="6"/>
    </row>
    <row r="9843" spans="1:1" x14ac:dyDescent="0.3">
      <c r="A9843" s="6"/>
    </row>
    <row r="9844" spans="1:1" x14ac:dyDescent="0.3">
      <c r="A9844" s="6"/>
    </row>
    <row r="9845" spans="1:1" x14ac:dyDescent="0.3">
      <c r="A9845" s="6"/>
    </row>
    <row r="9846" spans="1:1" x14ac:dyDescent="0.3">
      <c r="A9846" s="6"/>
    </row>
    <row r="9847" spans="1:1" x14ac:dyDescent="0.3">
      <c r="A9847" s="6"/>
    </row>
    <row r="9848" spans="1:1" x14ac:dyDescent="0.3">
      <c r="A9848" s="6"/>
    </row>
    <row r="9849" spans="1:1" x14ac:dyDescent="0.3">
      <c r="A9849" s="6"/>
    </row>
    <row r="9850" spans="1:1" x14ac:dyDescent="0.3">
      <c r="A9850" s="6"/>
    </row>
    <row r="9851" spans="1:1" x14ac:dyDescent="0.3">
      <c r="A9851" s="6"/>
    </row>
    <row r="9852" spans="1:1" x14ac:dyDescent="0.3">
      <c r="A9852" s="6"/>
    </row>
    <row r="9853" spans="1:1" x14ac:dyDescent="0.3">
      <c r="A9853" s="6"/>
    </row>
    <row r="9854" spans="1:1" x14ac:dyDescent="0.3">
      <c r="A9854" s="6"/>
    </row>
    <row r="9855" spans="1:1" x14ac:dyDescent="0.3">
      <c r="A9855" s="6"/>
    </row>
    <row r="9856" spans="1:1" x14ac:dyDescent="0.3">
      <c r="A9856" s="6"/>
    </row>
    <row r="9857" spans="1:1" x14ac:dyDescent="0.3">
      <c r="A9857" s="6"/>
    </row>
    <row r="9858" spans="1:1" x14ac:dyDescent="0.3">
      <c r="A9858" s="6"/>
    </row>
    <row r="9859" spans="1:1" x14ac:dyDescent="0.3">
      <c r="A9859" s="6"/>
    </row>
    <row r="9860" spans="1:1" x14ac:dyDescent="0.3">
      <c r="A9860" s="6"/>
    </row>
    <row r="9861" spans="1:1" x14ac:dyDescent="0.3">
      <c r="A9861" s="6"/>
    </row>
    <row r="9862" spans="1:1" x14ac:dyDescent="0.3">
      <c r="A9862" s="6"/>
    </row>
    <row r="9863" spans="1:1" x14ac:dyDescent="0.3">
      <c r="A9863" s="6"/>
    </row>
    <row r="9864" spans="1:1" x14ac:dyDescent="0.3">
      <c r="A9864" s="6"/>
    </row>
    <row r="9865" spans="1:1" x14ac:dyDescent="0.3">
      <c r="A9865" s="6"/>
    </row>
    <row r="9866" spans="1:1" x14ac:dyDescent="0.3">
      <c r="A9866" s="6"/>
    </row>
    <row r="9867" spans="1:1" x14ac:dyDescent="0.3">
      <c r="A9867" s="6"/>
    </row>
    <row r="9868" spans="1:1" x14ac:dyDescent="0.3">
      <c r="A9868" s="6"/>
    </row>
    <row r="9869" spans="1:1" x14ac:dyDescent="0.3">
      <c r="A9869" s="6"/>
    </row>
    <row r="9870" spans="1:1" x14ac:dyDescent="0.3">
      <c r="A9870" s="6"/>
    </row>
    <row r="9871" spans="1:1" x14ac:dyDescent="0.3">
      <c r="A9871" s="6"/>
    </row>
    <row r="9872" spans="1:1" x14ac:dyDescent="0.3">
      <c r="A9872" s="6"/>
    </row>
    <row r="9873" spans="1:1" x14ac:dyDescent="0.3">
      <c r="A9873" s="6"/>
    </row>
    <row r="9874" spans="1:1" x14ac:dyDescent="0.3">
      <c r="A9874" s="6"/>
    </row>
    <row r="9875" spans="1:1" x14ac:dyDescent="0.3">
      <c r="A9875" s="6"/>
    </row>
    <row r="9876" spans="1:1" x14ac:dyDescent="0.3">
      <c r="A9876" s="6"/>
    </row>
    <row r="9877" spans="1:1" x14ac:dyDescent="0.3">
      <c r="A9877" s="6"/>
    </row>
    <row r="9878" spans="1:1" x14ac:dyDescent="0.3">
      <c r="A9878" s="6"/>
    </row>
    <row r="9879" spans="1:1" x14ac:dyDescent="0.3">
      <c r="A9879" s="6"/>
    </row>
    <row r="9880" spans="1:1" x14ac:dyDescent="0.3">
      <c r="A9880" s="6"/>
    </row>
    <row r="9881" spans="1:1" x14ac:dyDescent="0.3">
      <c r="A9881" s="6"/>
    </row>
    <row r="9882" spans="1:1" x14ac:dyDescent="0.3">
      <c r="A9882" s="6"/>
    </row>
    <row r="9883" spans="1:1" x14ac:dyDescent="0.3">
      <c r="A9883" s="6"/>
    </row>
    <row r="9884" spans="1:1" x14ac:dyDescent="0.3">
      <c r="A9884" s="6"/>
    </row>
    <row r="9885" spans="1:1" x14ac:dyDescent="0.3">
      <c r="A9885" s="6"/>
    </row>
    <row r="9886" spans="1:1" x14ac:dyDescent="0.3">
      <c r="A9886" s="6"/>
    </row>
    <row r="9887" spans="1:1" x14ac:dyDescent="0.3">
      <c r="A9887" s="6"/>
    </row>
    <row r="9888" spans="1:1" x14ac:dyDescent="0.3">
      <c r="A9888" s="6"/>
    </row>
    <row r="9889" spans="1:1" x14ac:dyDescent="0.3">
      <c r="A9889" s="6"/>
    </row>
    <row r="9890" spans="1:1" x14ac:dyDescent="0.3">
      <c r="A9890" s="6"/>
    </row>
    <row r="9891" spans="1:1" x14ac:dyDescent="0.3">
      <c r="A9891" s="6"/>
    </row>
    <row r="9892" spans="1:1" x14ac:dyDescent="0.3">
      <c r="A9892" s="6"/>
    </row>
    <row r="9893" spans="1:1" x14ac:dyDescent="0.3">
      <c r="A9893" s="6"/>
    </row>
    <row r="9894" spans="1:1" x14ac:dyDescent="0.3">
      <c r="A9894" s="6"/>
    </row>
    <row r="9895" spans="1:1" x14ac:dyDescent="0.3">
      <c r="A9895" s="6"/>
    </row>
    <row r="9896" spans="1:1" x14ac:dyDescent="0.3">
      <c r="A9896" s="6"/>
    </row>
    <row r="9897" spans="1:1" x14ac:dyDescent="0.3">
      <c r="A9897" s="6"/>
    </row>
    <row r="9898" spans="1:1" x14ac:dyDescent="0.3">
      <c r="A9898" s="6"/>
    </row>
    <row r="9899" spans="1:1" x14ac:dyDescent="0.3">
      <c r="A9899" s="6"/>
    </row>
    <row r="9900" spans="1:1" x14ac:dyDescent="0.3">
      <c r="A9900" s="6"/>
    </row>
    <row r="9901" spans="1:1" x14ac:dyDescent="0.3">
      <c r="A9901" s="6"/>
    </row>
    <row r="9902" spans="1:1" x14ac:dyDescent="0.3">
      <c r="A9902" s="6"/>
    </row>
    <row r="9903" spans="1:1" x14ac:dyDescent="0.3">
      <c r="A9903" s="6"/>
    </row>
    <row r="9904" spans="1:1" x14ac:dyDescent="0.3">
      <c r="A9904" s="6"/>
    </row>
    <row r="9905" spans="1:1" x14ac:dyDescent="0.3">
      <c r="A9905" s="6"/>
    </row>
    <row r="9906" spans="1:1" x14ac:dyDescent="0.3">
      <c r="A9906" s="6"/>
    </row>
    <row r="9907" spans="1:1" x14ac:dyDescent="0.3">
      <c r="A9907" s="6"/>
    </row>
    <row r="9908" spans="1:1" x14ac:dyDescent="0.3">
      <c r="A9908" s="6"/>
    </row>
    <row r="9909" spans="1:1" x14ac:dyDescent="0.3">
      <c r="A9909" s="6"/>
    </row>
    <row r="9910" spans="1:1" x14ac:dyDescent="0.3">
      <c r="A9910" s="6"/>
    </row>
    <row r="9911" spans="1:1" x14ac:dyDescent="0.3">
      <c r="A9911" s="6"/>
    </row>
    <row r="9912" spans="1:1" x14ac:dyDescent="0.3">
      <c r="A9912" s="6"/>
    </row>
    <row r="9913" spans="1:1" x14ac:dyDescent="0.3">
      <c r="A9913" s="6"/>
    </row>
    <row r="9914" spans="1:1" x14ac:dyDescent="0.3">
      <c r="A9914" s="6"/>
    </row>
    <row r="9915" spans="1:1" x14ac:dyDescent="0.3">
      <c r="A9915" s="6"/>
    </row>
    <row r="9916" spans="1:1" x14ac:dyDescent="0.3">
      <c r="A9916" s="6"/>
    </row>
    <row r="9917" spans="1:1" x14ac:dyDescent="0.3">
      <c r="A9917" s="6"/>
    </row>
    <row r="9918" spans="1:1" x14ac:dyDescent="0.3">
      <c r="A9918" s="6"/>
    </row>
    <row r="9919" spans="1:1" x14ac:dyDescent="0.3">
      <c r="A9919" s="6"/>
    </row>
    <row r="9920" spans="1:1" x14ac:dyDescent="0.3">
      <c r="A9920" s="6"/>
    </row>
    <row r="9921" spans="1:1" x14ac:dyDescent="0.3">
      <c r="A9921" s="6"/>
    </row>
    <row r="9922" spans="1:1" x14ac:dyDescent="0.3">
      <c r="A9922" s="6"/>
    </row>
    <row r="9923" spans="1:1" x14ac:dyDescent="0.3">
      <c r="A9923" s="6"/>
    </row>
    <row r="9924" spans="1:1" x14ac:dyDescent="0.3">
      <c r="A9924" s="6"/>
    </row>
    <row r="9925" spans="1:1" x14ac:dyDescent="0.3">
      <c r="A9925" s="6"/>
    </row>
    <row r="9926" spans="1:1" x14ac:dyDescent="0.3">
      <c r="A9926" s="6"/>
    </row>
    <row r="9927" spans="1:1" x14ac:dyDescent="0.3">
      <c r="A9927" s="6"/>
    </row>
    <row r="9928" spans="1:1" x14ac:dyDescent="0.3">
      <c r="A9928" s="6"/>
    </row>
    <row r="9929" spans="1:1" x14ac:dyDescent="0.3">
      <c r="A9929" s="6"/>
    </row>
    <row r="9930" spans="1:1" x14ac:dyDescent="0.3">
      <c r="A9930" s="6"/>
    </row>
    <row r="9931" spans="1:1" x14ac:dyDescent="0.3">
      <c r="A9931" s="6"/>
    </row>
    <row r="9932" spans="1:1" x14ac:dyDescent="0.3">
      <c r="A9932" s="6"/>
    </row>
    <row r="9933" spans="1:1" x14ac:dyDescent="0.3">
      <c r="A9933" s="6"/>
    </row>
    <row r="9934" spans="1:1" x14ac:dyDescent="0.3">
      <c r="A9934" s="6"/>
    </row>
    <row r="9935" spans="1:1" x14ac:dyDescent="0.3">
      <c r="A9935" s="6"/>
    </row>
    <row r="9936" spans="1:1" x14ac:dyDescent="0.3">
      <c r="A9936" s="6"/>
    </row>
    <row r="9937" spans="1:1" x14ac:dyDescent="0.3">
      <c r="A9937" s="6"/>
    </row>
    <row r="9938" spans="1:1" x14ac:dyDescent="0.3">
      <c r="A9938" s="6"/>
    </row>
    <row r="9939" spans="1:1" x14ac:dyDescent="0.3">
      <c r="A9939" s="6"/>
    </row>
    <row r="9940" spans="1:1" x14ac:dyDescent="0.3">
      <c r="A9940" s="6"/>
    </row>
    <row r="9941" spans="1:1" x14ac:dyDescent="0.3">
      <c r="A9941" s="6"/>
    </row>
    <row r="9942" spans="1:1" x14ac:dyDescent="0.3">
      <c r="A9942" s="6"/>
    </row>
    <row r="9943" spans="1:1" x14ac:dyDescent="0.3">
      <c r="A9943" s="6"/>
    </row>
    <row r="9944" spans="1:1" x14ac:dyDescent="0.3">
      <c r="A9944" s="6"/>
    </row>
    <row r="9945" spans="1:1" x14ac:dyDescent="0.3">
      <c r="A9945" s="6"/>
    </row>
    <row r="9946" spans="1:1" x14ac:dyDescent="0.3">
      <c r="A9946" s="6"/>
    </row>
    <row r="9947" spans="1:1" x14ac:dyDescent="0.3">
      <c r="A9947" s="6"/>
    </row>
    <row r="9948" spans="1:1" x14ac:dyDescent="0.3">
      <c r="A9948" s="6"/>
    </row>
    <row r="9949" spans="1:1" x14ac:dyDescent="0.3">
      <c r="A9949" s="6"/>
    </row>
    <row r="9950" spans="1:1" x14ac:dyDescent="0.3">
      <c r="A9950" s="6"/>
    </row>
    <row r="9951" spans="1:1" x14ac:dyDescent="0.3">
      <c r="A9951" s="6"/>
    </row>
    <row r="9952" spans="1:1" x14ac:dyDescent="0.3">
      <c r="A9952" s="6"/>
    </row>
    <row r="9953" spans="1:1" x14ac:dyDescent="0.3">
      <c r="A9953" s="6"/>
    </row>
    <row r="9954" spans="1:1" x14ac:dyDescent="0.3">
      <c r="A9954" s="6"/>
    </row>
    <row r="9955" spans="1:1" x14ac:dyDescent="0.3">
      <c r="A9955" s="6"/>
    </row>
    <row r="9956" spans="1:1" x14ac:dyDescent="0.3">
      <c r="A9956" s="6"/>
    </row>
    <row r="9957" spans="1:1" x14ac:dyDescent="0.3">
      <c r="A9957" s="6"/>
    </row>
    <row r="9958" spans="1:1" x14ac:dyDescent="0.3">
      <c r="A9958" s="6"/>
    </row>
    <row r="9959" spans="1:1" x14ac:dyDescent="0.3">
      <c r="A9959" s="6"/>
    </row>
    <row r="9960" spans="1:1" x14ac:dyDescent="0.3">
      <c r="A9960" s="6"/>
    </row>
    <row r="9961" spans="1:1" x14ac:dyDescent="0.3">
      <c r="A9961" s="6"/>
    </row>
    <row r="9962" spans="1:1" x14ac:dyDescent="0.3">
      <c r="A9962" s="6"/>
    </row>
    <row r="9963" spans="1:1" x14ac:dyDescent="0.3">
      <c r="A9963" s="6"/>
    </row>
    <row r="9964" spans="1:1" x14ac:dyDescent="0.3">
      <c r="A9964" s="6"/>
    </row>
    <row r="9965" spans="1:1" x14ac:dyDescent="0.3">
      <c r="A9965" s="6"/>
    </row>
    <row r="9966" spans="1:1" x14ac:dyDescent="0.3">
      <c r="A9966" s="6"/>
    </row>
    <row r="9967" spans="1:1" x14ac:dyDescent="0.3">
      <c r="A9967" s="6"/>
    </row>
    <row r="9968" spans="1:1" x14ac:dyDescent="0.3">
      <c r="A9968" s="6"/>
    </row>
    <row r="9969" spans="1:1" x14ac:dyDescent="0.3">
      <c r="A9969" s="6"/>
    </row>
    <row r="9970" spans="1:1" x14ac:dyDescent="0.3">
      <c r="A9970" s="6"/>
    </row>
    <row r="9971" spans="1:1" x14ac:dyDescent="0.3">
      <c r="A9971" s="6"/>
    </row>
    <row r="9972" spans="1:1" x14ac:dyDescent="0.3">
      <c r="A9972" s="6"/>
    </row>
    <row r="9973" spans="1:1" x14ac:dyDescent="0.3">
      <c r="A9973" s="6"/>
    </row>
    <row r="9974" spans="1:1" x14ac:dyDescent="0.3">
      <c r="A9974" s="6"/>
    </row>
    <row r="9975" spans="1:1" x14ac:dyDescent="0.3">
      <c r="A9975" s="6"/>
    </row>
    <row r="9976" spans="1:1" x14ac:dyDescent="0.3">
      <c r="A9976" s="6"/>
    </row>
    <row r="9977" spans="1:1" x14ac:dyDescent="0.3">
      <c r="A9977" s="6"/>
    </row>
    <row r="9978" spans="1:1" x14ac:dyDescent="0.3">
      <c r="A9978" s="6"/>
    </row>
    <row r="9979" spans="1:1" x14ac:dyDescent="0.3">
      <c r="A9979" s="6"/>
    </row>
    <row r="9980" spans="1:1" x14ac:dyDescent="0.3">
      <c r="A9980" s="6"/>
    </row>
    <row r="9981" spans="1:1" x14ac:dyDescent="0.3">
      <c r="A9981" s="6"/>
    </row>
    <row r="9982" spans="1:1" x14ac:dyDescent="0.3">
      <c r="A9982" s="6"/>
    </row>
    <row r="9983" spans="1:1" x14ac:dyDescent="0.3">
      <c r="A9983" s="6"/>
    </row>
    <row r="9984" spans="1:1" x14ac:dyDescent="0.3">
      <c r="A9984" s="6"/>
    </row>
    <row r="9985" spans="1:1" x14ac:dyDescent="0.3">
      <c r="A9985" s="6"/>
    </row>
    <row r="9986" spans="1:1" x14ac:dyDescent="0.3">
      <c r="A9986" s="6"/>
    </row>
    <row r="9987" spans="1:1" x14ac:dyDescent="0.3">
      <c r="A9987" s="6"/>
    </row>
    <row r="9988" spans="1:1" x14ac:dyDescent="0.3">
      <c r="A9988" s="6"/>
    </row>
    <row r="9989" spans="1:1" x14ac:dyDescent="0.3">
      <c r="A9989" s="6"/>
    </row>
    <row r="9990" spans="1:1" x14ac:dyDescent="0.3">
      <c r="A9990" s="6"/>
    </row>
    <row r="9991" spans="1:1" x14ac:dyDescent="0.3">
      <c r="A9991" s="6"/>
    </row>
    <row r="9992" spans="1:1" x14ac:dyDescent="0.3">
      <c r="A9992" s="6"/>
    </row>
    <row r="9993" spans="1:1" x14ac:dyDescent="0.3">
      <c r="A9993" s="6"/>
    </row>
    <row r="9994" spans="1:1" x14ac:dyDescent="0.3">
      <c r="A9994" s="6"/>
    </row>
    <row r="9995" spans="1:1" x14ac:dyDescent="0.3">
      <c r="A9995" s="6"/>
    </row>
    <row r="9996" spans="1:1" x14ac:dyDescent="0.3">
      <c r="A9996" s="6"/>
    </row>
    <row r="9997" spans="1:1" x14ac:dyDescent="0.3">
      <c r="A9997" s="6"/>
    </row>
    <row r="9998" spans="1:1" x14ac:dyDescent="0.3">
      <c r="A9998" s="6"/>
    </row>
    <row r="9999" spans="1:1" x14ac:dyDescent="0.3">
      <c r="A9999" s="6"/>
    </row>
    <row r="10000" spans="1:1" x14ac:dyDescent="0.3">
      <c r="A10000" s="6"/>
    </row>
  </sheetData>
  <sortState xmlns:xlrd2="http://schemas.microsoft.com/office/spreadsheetml/2017/richdata2" ref="A4:B104">
    <sortCondition descending="1" ref="B4"/>
  </sortState>
  <conditionalFormatting sqref="F4:F2500">
    <cfRule type="cellIs" dxfId="0" priority="1" operator="equal">
      <formula>FALSE</formula>
    </cfRule>
  </conditionalFormatting>
  <pageMargins left="0.7" right="0.7" top="0.75" bottom="0.75" header="0.3" footer="0.3"/>
  <pageSetup paperSize="9" orientation="portrait" r:id="rId1"/>
  <headerFooter>
    <oddFooter>&amp;LINTERNAL</oddFooter>
    <evenFooter>&amp;LINTERNAL</evenFooter>
    <firstFooter>&amp;LINTERNAL</first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9" r:id="rId4" name="Button 1">
              <controlPr defaultSize="0" print="0" autoFill="0" autoPict="0" macro="[0]!Bloomberg.BBG_INDEX_WGTS_AND_STATIC_DATA">
                <anchor moveWithCells="1" sizeWithCells="1">
                  <from>
                    <xdr:col>0</xdr:col>
                    <xdr:colOff>38100</xdr:colOff>
                    <xdr:row>2</xdr:row>
                    <xdr:rowOff>38100</xdr:rowOff>
                  </from>
                  <to>
                    <xdr:col>0</xdr:col>
                    <xdr:colOff>1181100</xdr:colOff>
                    <xdr:row>2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1BCA986EF1F37419398D678418422DD" ma:contentTypeVersion="35" ma:contentTypeDescription="Create a new document." ma:contentTypeScope="" ma:versionID="9b77fbc8b6530ea56f5888e2a1f055dc">
  <xsd:schema xmlns:xsd="http://www.w3.org/2001/XMLSchema" xmlns:xs="http://www.w3.org/2001/XMLSchema" xmlns:p="http://schemas.microsoft.com/office/2006/metadata/properties" xmlns:ns2="95757e98-2b43-486c-8ee7-8b03e7fccc8c" xmlns:ns3="4eb3df26-5b14-46df-afad-6251c43d7d9d" xmlns:ns4="c08db2e5-6e2a-407c-bd28-3d947864d5f6" targetNamespace="http://schemas.microsoft.com/office/2006/metadata/properties" ma:root="true" ma:fieldsID="c30d0a838d39b4ab288f5803bc15ddb8" ns2:_="" ns3:_="" ns4:_="">
    <xsd:import namespace="95757e98-2b43-486c-8ee7-8b03e7fccc8c"/>
    <xsd:import namespace="4eb3df26-5b14-46df-afad-6251c43d7d9d"/>
    <xsd:import namespace="c08db2e5-6e2a-407c-bd28-3d947864d5f6"/>
    <xsd:element name="properties">
      <xsd:complexType>
        <xsd:sequence>
          <xsd:element name="documentManagement">
            <xsd:complexType>
              <xsd:all>
                <xsd:element ref="ns2:TaxCatchAll" minOccurs="0"/>
                <xsd:element ref="ns2:TaxCatchAllLabel" minOccurs="0"/>
                <xsd:element ref="ns2:acd85e62d5c14e5395eb980cc79ff142" minOccurs="0"/>
                <xsd:element ref="ns2:MetaDescription" minOccurs="0"/>
                <xsd:element ref="ns3:MediaServiceEventHashCode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4:SharedWithUsers" minOccurs="0"/>
                <xsd:element ref="ns4:SharedWithDetails" minOccurs="0"/>
                <xsd:element ref="ns3:MediaServiceGenerationTime" minOccurs="0"/>
                <xsd:element ref="ns3:MediaServiceOCR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757e98-2b43-486c-8ee7-8b03e7fccc8c" elementFormDefault="qualified">
    <xsd:import namespace="http://schemas.microsoft.com/office/2006/documentManagement/types"/>
    <xsd:import namespace="http://schemas.microsoft.com/office/infopath/2007/PartnerControls"/>
    <xsd:element name="TaxCatchAll" ma:index="8" nillable="true" ma:displayName="Taxonomy Catch All Column" ma:hidden="true" ma:list="{6e260043-9dff-411a-9a01-75587c07be4c}" ma:internalName="TaxCatchAll" ma:showField="CatchAllData" ma:web="c08db2e5-6e2a-407c-bd28-3d947864d5f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9" nillable="true" ma:displayName="Taxonomy Catch All Column1" ma:hidden="true" ma:list="{6e260043-9dff-411a-9a01-75587c07be4c}" ma:internalName="TaxCatchAllLabel" ma:readOnly="true" ma:showField="CatchAllDataLabel" ma:web="c08db2e5-6e2a-407c-bd28-3d947864d5f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acd85e62d5c14e5395eb980cc79ff142" ma:index="10" nillable="true" ma:taxonomy="true" ma:internalName="acd85e62d5c14e5395eb980cc79ff142" ma:taxonomyFieldName="MetaKeywords" ma:displayName="MetaKeywords" ma:readOnly="false" ma:default="" ma:fieldId="{acd85e62-d5c1-4e53-95eb-980cc79ff142}" ma:taxonomyMulti="true" ma:sspId="f436eb5e-c63d-4189-9248-e6e0fddb7cf9" ma:termSetId="1b81bd74-edac-423f-9865-4ef86d0522e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etaDescription" ma:index="12" nillable="true" ma:displayName="MetaDescription" ma:internalName="MetaDescription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b3df26-5b14-46df-afad-6251c43d7d9d" elementFormDefault="qualified">
    <xsd:import namespace="http://schemas.microsoft.com/office/2006/documentManagement/types"/>
    <xsd:import namespace="http://schemas.microsoft.com/office/infopath/2007/PartnerControls"/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Metadata" ma:index="14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5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8" nillable="true" ma:displayName="Tags" ma:internalName="MediaServiceAutoTags" ma:readOnly="true">
      <xsd:simpleType>
        <xsd:restriction base="dms:Text"/>
      </xsd:simpleType>
    </xsd:element>
    <xsd:element name="MediaServiceGenerationTime" ma:index="2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23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8db2e5-6e2a-407c-bd28-3d947864d5f6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5757e98-2b43-486c-8ee7-8b03e7fccc8c"/>
    <MetaDescription xmlns="95757e98-2b43-486c-8ee7-8b03e7fccc8c" xsi:nil="true"/>
    <acd85e62d5c14e5395eb980cc79ff142 xmlns="95757e98-2b43-486c-8ee7-8b03e7fccc8c">
      <Terms xmlns="http://schemas.microsoft.com/office/infopath/2007/PartnerControls"/>
    </acd85e62d5c14e5395eb980cc79ff142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haredContentType xmlns="Microsoft.SharePoint.Taxonomy.ContentTypeSync" SourceId="f436eb5e-c63d-4189-9248-e6e0fddb7cf9" ContentTypeId="0x0101" PreviousValue="false"/>
</file>

<file path=customXml/itemProps1.xml><?xml version="1.0" encoding="utf-8"?>
<ds:datastoreItem xmlns:ds="http://schemas.openxmlformats.org/officeDocument/2006/customXml" ds:itemID="{D5925017-4525-4B95-A4CD-5C2ADED57D9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5757e98-2b43-486c-8ee7-8b03e7fccc8c"/>
    <ds:schemaRef ds:uri="4eb3df26-5b14-46df-afad-6251c43d7d9d"/>
    <ds:schemaRef ds:uri="c08db2e5-6e2a-407c-bd28-3d947864d5f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5EAF006-EE34-409D-B45B-D588C4AE5449}">
  <ds:schemaRefs>
    <ds:schemaRef ds:uri="http://schemas.microsoft.com/office/2006/metadata/properties"/>
    <ds:schemaRef ds:uri="c08db2e5-6e2a-407c-bd28-3d947864d5f6"/>
    <ds:schemaRef ds:uri="http://www.w3.org/XML/1998/namespace"/>
    <ds:schemaRef ds:uri="4eb3df26-5b14-46df-afad-6251c43d7d9d"/>
    <ds:schemaRef ds:uri="http://schemas.openxmlformats.org/package/2006/metadata/core-properties"/>
    <ds:schemaRef ds:uri="95757e98-2b43-486c-8ee7-8b03e7fccc8c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purl.org/dc/dcmitype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C77B08D-89B5-4F7E-9E17-B822237AFA7C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C490704-140A-4A18-A0DD-B1B11AD0CB48}">
  <ds:schemaRefs>
    <ds:schemaRef ds:uri="Microsoft.SharePoint.Taxonomy.ContentTypeSyn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Sheet1</vt:lpstr>
      <vt:lpstr>TIMESERIES</vt:lpstr>
      <vt:lpstr>xlwings</vt:lpstr>
      <vt:lpstr>Enhanced</vt:lpstr>
      <vt:lpstr>Core</vt:lpstr>
      <vt:lpstr>SMM</vt:lpstr>
      <vt:lpstr>Sheet2</vt:lpstr>
      <vt:lpstr>BDH</vt:lpstr>
      <vt:lpstr>BDP</vt:lpstr>
      <vt:lpstr>BDP_BULK</vt:lpstr>
      <vt:lpstr>PMI</vt:lpstr>
      <vt:lpstr>INDX_MWEIGHT</vt:lpstr>
      <vt:lpstr>BBG_PMI_DATA</vt:lpstr>
    </vt:vector>
  </TitlesOfParts>
  <Company>HSBC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J MCNAY</dc:creator>
  <cp:keywords>INTERNAL</cp:keywords>
  <dc:description>INTERNAL</dc:description>
  <cp:lastModifiedBy>Mdwara, Muntu</cp:lastModifiedBy>
  <cp:lastPrinted>2020-02-25T09:01:33Z</cp:lastPrinted>
  <dcterms:created xsi:type="dcterms:W3CDTF">2016-05-23T16:51:47Z</dcterms:created>
  <dcterms:modified xsi:type="dcterms:W3CDTF">2021-07-14T16:02:59Z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assification">
    <vt:lpwstr>INTERNAL</vt:lpwstr>
  </property>
  <property fmtid="{D5CDD505-2E9C-101B-9397-08002B2CF9AE}" pid="3" name="Source">
    <vt:lpwstr>Internal</vt:lpwstr>
  </property>
  <property fmtid="{D5CDD505-2E9C-101B-9397-08002B2CF9AE}" pid="4" name="Footers">
    <vt:lpwstr>Footers</vt:lpwstr>
  </property>
  <property fmtid="{D5CDD505-2E9C-101B-9397-08002B2CF9AE}" pid="5" name="DocClassification">
    <vt:lpwstr>CLAINTERN</vt:lpwstr>
  </property>
  <property fmtid="{D5CDD505-2E9C-101B-9397-08002B2CF9AE}" pid="6" name="ContentTypeId">
    <vt:lpwstr>0x01010021BCA986EF1F37419398D678418422DD</vt:lpwstr>
  </property>
  <property fmtid="{D5CDD505-2E9C-101B-9397-08002B2CF9AE}" pid="7" name="MetaKeywords">
    <vt:lpwstr/>
  </property>
  <property fmtid="{D5CDD505-2E9C-101B-9397-08002B2CF9AE}" pid="8" name="MSIP_Label_027a3850-2850-457c-8efb-fdd5fa4d27d3_Enabled">
    <vt:lpwstr>true</vt:lpwstr>
  </property>
  <property fmtid="{D5CDD505-2E9C-101B-9397-08002B2CF9AE}" pid="9" name="MSIP_Label_027a3850-2850-457c-8efb-fdd5fa4d27d3_SetDate">
    <vt:lpwstr>2021-07-14T16:02:58Z</vt:lpwstr>
  </property>
  <property fmtid="{D5CDD505-2E9C-101B-9397-08002B2CF9AE}" pid="10" name="MSIP_Label_027a3850-2850-457c-8efb-fdd5fa4d27d3_Method">
    <vt:lpwstr>Standard</vt:lpwstr>
  </property>
  <property fmtid="{D5CDD505-2E9C-101B-9397-08002B2CF9AE}" pid="11" name="MSIP_Label_027a3850-2850-457c-8efb-fdd5fa4d27d3_Name">
    <vt:lpwstr>027a3850-2850-457c-8efb-fdd5fa4d27d3</vt:lpwstr>
  </property>
  <property fmtid="{D5CDD505-2E9C-101B-9397-08002B2CF9AE}" pid="12" name="MSIP_Label_027a3850-2850-457c-8efb-fdd5fa4d27d3_SiteId">
    <vt:lpwstr>7369e6ec-faa6-42fa-bc0e-4f332da5b1db</vt:lpwstr>
  </property>
  <property fmtid="{D5CDD505-2E9C-101B-9397-08002B2CF9AE}" pid="13" name="MSIP_Label_027a3850-2850-457c-8efb-fdd5fa4d27d3_ActionId">
    <vt:lpwstr>b85f5770-8c9e-47b2-9555-a43806e7f6a7</vt:lpwstr>
  </property>
  <property fmtid="{D5CDD505-2E9C-101B-9397-08002B2CF9AE}" pid="14" name="MSIP_Label_027a3850-2850-457c-8efb-fdd5fa4d27d3_ContentBits">
    <vt:lpwstr>0</vt:lpwstr>
  </property>
</Properties>
</file>